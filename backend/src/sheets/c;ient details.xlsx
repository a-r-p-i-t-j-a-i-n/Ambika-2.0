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Detail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\ &quot;Pcs&quot;"/>
    <numFmt numFmtId="165" formatCode="0.00\ &quot;Kgs&quot;"/>
    <numFmt numFmtId="166" formatCode="0 &quot;days&quot;"/>
  </numFmts>
  <fonts count="5">
    <font>
      <sz val="10.0"/>
      <color rgb="FF000000"/>
      <name val="Arial"/>
      <scheme val="minor"/>
    </font>
    <font>
      <b/>
      <sz val="11.0"/>
      <color rgb="FF0C00B2"/>
      <name val="Calibri"/>
    </font>
    <font>
      <sz val="10.0"/>
      <color theme="1"/>
      <name val="Arial"/>
      <scheme val="minor"/>
    </font>
    <font>
      <sz val="11.0"/>
      <color rgb="FF0C00B2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medium">
        <color rgb="FF1155CC"/>
      </left>
      <right style="medium">
        <color rgb="FF1155CC"/>
      </right>
      <top style="medium">
        <color rgb="FF1155CC"/>
      </top>
      <bottom style="medium">
        <color rgb="FF1155CC"/>
      </bottom>
    </border>
    <border>
      <right style="medium">
        <color rgb="FF1155CC"/>
      </right>
      <top style="medium">
        <color rgb="FF1155CC"/>
      </top>
      <bottom style="medium">
        <color rgb="FF1155CC"/>
      </bottom>
    </border>
    <border>
      <left style="hair">
        <color rgb="FF1C4587"/>
      </left>
      <right style="hair">
        <color rgb="FF1C4587"/>
      </right>
      <bottom style="hair">
        <color rgb="FF1C4587"/>
      </bottom>
    </border>
    <border>
      <right style="hair">
        <color rgb="FF1C4587"/>
      </right>
      <bottom style="hair">
        <color rgb="FF1C4587"/>
      </bottom>
    </border>
    <border>
      <bottom style="hair">
        <color rgb="FF1C4587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6" fillId="0" fontId="3" numFmtId="165" xfId="0" applyAlignment="1" applyBorder="1" applyFont="1" applyNumberFormat="1">
      <alignment horizontal="center" vertical="center"/>
    </xf>
    <xf borderId="6" fillId="0" fontId="3" numFmtId="166" xfId="0" applyAlignment="1" applyBorder="1" applyFont="1" applyNumberFormat="1">
      <alignment horizontal="center" vertical="center"/>
    </xf>
    <xf borderId="6" fillId="0" fontId="3" numFmtId="166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6.13"/>
    <col customWidth="1" min="3" max="3" width="18.88"/>
  </cols>
  <sheetData>
    <row r="1">
      <c r="A1" s="1" t="str">
        <f>IFERROR(__xludf.DUMMYFUNCTION("IMPORTRANGE(""https://docs.google.com/spreadsheets/d/1d--u1LatVk_H9eEWkfWP6j5XjSR7GpvXoN1KOCRJJQk/edit?gid=2011405679#gid=2011405679"",""Client Details!A1:M100"")"),"Client Name")</f>
        <v>Client Name</v>
      </c>
      <c r="B1" s="2" t="str">
        <f>IFERROR(__xludf.DUMMYFUNCTION("""COMPUTED_VALUE"""),"Place")</f>
        <v>Place</v>
      </c>
      <c r="C1" s="3" t="str">
        <f>IFERROR(__xludf.DUMMYFUNCTION("""COMPUTED_VALUE"""),"Address")</f>
        <v>Address</v>
      </c>
      <c r="D1" s="4" t="str">
        <f>IFERROR(__xludf.DUMMYFUNCTION("""COMPUTED_VALUE"""),"SKU")</f>
        <v>SKU</v>
      </c>
      <c r="E1" s="4" t="str">
        <f>IFERROR(__xludf.DUMMYFUNCTION("""COMPUTED_VALUE"""),"Unit")</f>
        <v>Unit</v>
      </c>
      <c r="F1" s="3" t="str">
        <f>IFERROR(__xludf.DUMMYFUNCTION("""COMPUTED_VALUE"""),"Pcs Per Box")</f>
        <v>Pcs Per Box</v>
      </c>
      <c r="G1" s="3" t="str">
        <f>IFERROR(__xludf.DUMMYFUNCTION("""COMPUTED_VALUE"""),"Weight Per Box")</f>
        <v>Weight Per Box</v>
      </c>
      <c r="H1" s="3" t="str">
        <f>IFERROR(__xludf.DUMMYFUNCTION("""COMPUTED_VALUE"""),"Approx Days")</f>
        <v>Approx Days</v>
      </c>
      <c r="I1" s="3" t="str">
        <f>IFERROR(__xludf.DUMMYFUNCTION("""COMPUTED_VALUE"""),"Credit Period")</f>
        <v>Credit Period</v>
      </c>
      <c r="J1" s="3" t="str">
        <f>IFERROR(__xludf.DUMMYFUNCTION("""COMPUTED_VALUE"""),"To Email Address")</f>
        <v>To Email Address</v>
      </c>
      <c r="K1" s="3" t="str">
        <f>IFERROR(__xludf.DUMMYFUNCTION("""COMPUTED_VALUE"""),"BCC Email Address")</f>
        <v>BCC Email Address</v>
      </c>
      <c r="L1" s="3" t="str">
        <f>IFERROR(__xludf.DUMMYFUNCTION("""COMPUTED_VALUE"""),"CC Email Address")</f>
        <v>CC Email Address</v>
      </c>
      <c r="M1" s="3" t="str">
        <f>IFERROR(__xludf.DUMMYFUNCTION("""COMPUTED_VALUE"""),"SKU Code")</f>
        <v>SKU Code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.25" customHeight="1">
      <c r="A2" s="6" t="str">
        <f>IFERROR(__xludf.DUMMYFUNCTION("""COMPUTED_VALUE"""),"Mittal Electronics")</f>
        <v>Mittal Electronics</v>
      </c>
      <c r="B2" s="7" t="str">
        <f>IFERROR(__xludf.DUMMYFUNCTION("""COMPUTED_VALUE"""),"Delhi")</f>
        <v>Delhi</v>
      </c>
      <c r="C2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2" s="9" t="str">
        <f>IFERROR(__xludf.DUMMYFUNCTION("""COMPUTED_VALUE"""),"Grinder Jar")</f>
        <v>Grinder Jar</v>
      </c>
      <c r="E2" s="9" t="str">
        <f>IFERROR(__xludf.DUMMYFUNCTION("""COMPUTED_VALUE"""),"Pcs")</f>
        <v>Pcs</v>
      </c>
      <c r="F2" s="10">
        <f>IFERROR(__xludf.DUMMYFUNCTION("""COMPUTED_VALUE"""),126.0)</f>
        <v>126</v>
      </c>
      <c r="G2" s="11">
        <f>IFERROR(__xludf.DUMMYFUNCTION("""COMPUTED_VALUE"""),30.8)</f>
        <v>30.8</v>
      </c>
      <c r="H2" s="12">
        <f>IFERROR(__xludf.DUMMYFUNCTION("""COMPUTED_VALUE"""),5.0)</f>
        <v>5</v>
      </c>
      <c r="I2" s="12">
        <f>IFERROR(__xludf.DUMMYFUNCTION("""COMPUTED_VALUE"""),30.0)</f>
        <v>30</v>
      </c>
      <c r="J2" s="13" t="str">
        <f>IFERROR(__xludf.DUMMYFUNCTION("""COMPUTED_VALUE"""),"purchase@sujatamail.com,purchase1@sujatamail.com,ea3@sujatamail.com")</f>
        <v>purchase@sujatamail.com,purchase1@sujatamail.com,ea3@sujatamail.com</v>
      </c>
      <c r="K2" s="13" t="str">
        <f>IFERROR(__xludf.DUMMYFUNCTION("""COMPUTED_VALUE"""),"agl.mailout@gmail.com")</f>
        <v>agl.mailout@gmail.com</v>
      </c>
      <c r="L2" s="13" t="str">
        <f>IFERROR(__xludf.DUMMYFUNCTION("""COMPUTED_VALUE"""),"gaurav@msambikaglobal.in")</f>
        <v>gaurav@msambikaglobal.in</v>
      </c>
      <c r="M2" s="13" t="str">
        <f>IFERROR(__xludf.DUMMYFUNCTION("""COMPUTED_VALUE"""),"GJ1000-204")</f>
        <v>GJ1000-204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8.25" customHeight="1">
      <c r="A3" s="6" t="str">
        <f>IFERROR(__xludf.DUMMYFUNCTION("""COMPUTED_VALUE"""),"Mittal Electronics")</f>
        <v>Mittal Electronics</v>
      </c>
      <c r="B3" s="7" t="str">
        <f>IFERROR(__xludf.DUMMYFUNCTION("""COMPUTED_VALUE"""),"Delhi")</f>
        <v>Delhi</v>
      </c>
      <c r="C3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3" s="9" t="str">
        <f>IFERROR(__xludf.DUMMYFUNCTION("""COMPUTED_VALUE"""),"Chutney Katori")</f>
        <v>Chutney Katori</v>
      </c>
      <c r="E3" s="9" t="str">
        <f>IFERROR(__xludf.DUMMYFUNCTION("""COMPUTED_VALUE"""),"Pcs")</f>
        <v>Pcs</v>
      </c>
      <c r="F3" s="10">
        <f>IFERROR(__xludf.DUMMYFUNCTION("""COMPUTED_VALUE"""),144.0)</f>
        <v>144</v>
      </c>
      <c r="G3" s="11">
        <f>IFERROR(__xludf.DUMMYFUNCTION("""COMPUTED_VALUE"""),21.8)</f>
        <v>21.8</v>
      </c>
      <c r="H3" s="12">
        <f>IFERROR(__xludf.DUMMYFUNCTION("""COMPUTED_VALUE"""),5.0)</f>
        <v>5</v>
      </c>
      <c r="I3" s="12">
        <f>IFERROR(__xludf.DUMMYFUNCTION("""COMPUTED_VALUE"""),30.0)</f>
        <v>30</v>
      </c>
      <c r="J3" s="13" t="str">
        <f>IFERROR(__xludf.DUMMYFUNCTION("""COMPUTED_VALUE"""),"purchase@sujatamail.com,purchase1@sujatamail.com,ea3@sujatamail.com")</f>
        <v>purchase@sujatamail.com,purchase1@sujatamail.com,ea3@sujatamail.com</v>
      </c>
      <c r="K3" s="13" t="str">
        <f>IFERROR(__xludf.DUMMYFUNCTION("""COMPUTED_VALUE"""),"agl.mailout@gmail.com")</f>
        <v>agl.mailout@gmail.com</v>
      </c>
      <c r="L3" s="13" t="str">
        <f>IFERROR(__xludf.DUMMYFUNCTION("""COMPUTED_VALUE"""),"gaurav@msambikaglobal.in")</f>
        <v>gaurav@msambikaglobal.in</v>
      </c>
      <c r="M3" s="13" t="str">
        <f>IFERROR(__xludf.DUMMYFUNCTION("""COMPUTED_VALUE"""),"CK0600-204")</f>
        <v>CK0600-204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8.25" customHeight="1">
      <c r="A4" s="6" t="str">
        <f>IFERROR(__xludf.DUMMYFUNCTION("""COMPUTED_VALUE"""),"Mittal Electronics")</f>
        <v>Mittal Electronics</v>
      </c>
      <c r="B4" s="7" t="str">
        <f>IFERROR(__xludf.DUMMYFUNCTION("""COMPUTED_VALUE"""),"Delhi")</f>
        <v>Delhi</v>
      </c>
      <c r="C4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4" s="9" t="str">
        <f>IFERROR(__xludf.DUMMYFUNCTION("""COMPUTED_VALUE"""),"Dome Jar")</f>
        <v>Dome Jar</v>
      </c>
      <c r="E4" s="9" t="str">
        <f>IFERROR(__xludf.DUMMYFUNCTION("""COMPUTED_VALUE"""),"Pcs")</f>
        <v>Pcs</v>
      </c>
      <c r="F4" s="10">
        <f>IFERROR(__xludf.DUMMYFUNCTION("""COMPUTED_VALUE"""),105.0)</f>
        <v>105</v>
      </c>
      <c r="G4" s="11">
        <f>IFERROR(__xludf.DUMMYFUNCTION("""COMPUTED_VALUE"""),34.8)</f>
        <v>34.8</v>
      </c>
      <c r="H4" s="12">
        <f>IFERROR(__xludf.DUMMYFUNCTION("""COMPUTED_VALUE"""),5.0)</f>
        <v>5</v>
      </c>
      <c r="I4" s="12">
        <f>IFERROR(__xludf.DUMMYFUNCTION("""COMPUTED_VALUE"""),30.0)</f>
        <v>30</v>
      </c>
      <c r="J4" s="13" t="str">
        <f>IFERROR(__xludf.DUMMYFUNCTION("""COMPUTED_VALUE"""),"purchase@sujatamail.com,purchase1@sujatamail.com,ea3@sujatamail.com")</f>
        <v>purchase@sujatamail.com,purchase1@sujatamail.com,ea3@sujatamail.com</v>
      </c>
      <c r="K4" s="13" t="str">
        <f>IFERROR(__xludf.DUMMYFUNCTION("""COMPUTED_VALUE"""),"agl.mailout@gmail.com")</f>
        <v>agl.mailout@gmail.com</v>
      </c>
      <c r="L4" s="13" t="str">
        <f>IFERROR(__xludf.DUMMYFUNCTION("""COMPUTED_VALUE"""),"gaurav@msambikaglobal.in")</f>
        <v>gaurav@msambikaglobal.in</v>
      </c>
      <c r="M4" s="13" t="str">
        <f>IFERROR(__xludf.DUMMYFUNCTION("""COMPUTED_VALUE"""),"DJ1500-204")</f>
        <v>DJ1500-204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8.25" customHeight="1">
      <c r="A5" s="6" t="str">
        <f>IFERROR(__xludf.DUMMYFUNCTION("""COMPUTED_VALUE"""),"Mittal Electronics")</f>
        <v>Mittal Electronics</v>
      </c>
      <c r="B5" s="7" t="str">
        <f>IFERROR(__xludf.DUMMYFUNCTION("""COMPUTED_VALUE"""),"Delhi")</f>
        <v>Delhi</v>
      </c>
      <c r="C5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5" s="9" t="str">
        <f>IFERROR(__xludf.DUMMYFUNCTION("""COMPUTED_VALUE"""),"Flat Jar")</f>
        <v>Flat Jar</v>
      </c>
      <c r="E5" s="9" t="str">
        <f>IFERROR(__xludf.DUMMYFUNCTION("""COMPUTED_VALUE"""),"Pcs")</f>
        <v>Pcs</v>
      </c>
      <c r="F5" s="10">
        <f>IFERROR(__xludf.DUMMYFUNCTION("""COMPUTED_VALUE"""),120.0)</f>
        <v>120</v>
      </c>
      <c r="G5" s="11">
        <f>IFERROR(__xludf.DUMMYFUNCTION("""COMPUTED_VALUE"""),33.0)</f>
        <v>33</v>
      </c>
      <c r="H5" s="12">
        <f>IFERROR(__xludf.DUMMYFUNCTION("""COMPUTED_VALUE"""),5.0)</f>
        <v>5</v>
      </c>
      <c r="I5" s="12">
        <f>IFERROR(__xludf.DUMMYFUNCTION("""COMPUTED_VALUE"""),30.0)</f>
        <v>30</v>
      </c>
      <c r="J5" s="13" t="str">
        <f>IFERROR(__xludf.DUMMYFUNCTION("""COMPUTED_VALUE"""),"purchase@sujatamail.com,purchase1@sujatamail.com,ea3@sujatamail.com")</f>
        <v>purchase@sujatamail.com,purchase1@sujatamail.com,ea3@sujatamail.com</v>
      </c>
      <c r="K5" s="13" t="str">
        <f>IFERROR(__xludf.DUMMYFUNCTION("""COMPUTED_VALUE"""),"agl.mailout@gmail.com")</f>
        <v>agl.mailout@gmail.com</v>
      </c>
      <c r="L5" s="13" t="str">
        <f>IFERROR(__xludf.DUMMYFUNCTION("""COMPUTED_VALUE"""),"gaurav@msambikaglobal.in")</f>
        <v>gaurav@msambikaglobal.in</v>
      </c>
      <c r="M5" s="13" t="str">
        <f>IFERROR(__xludf.DUMMYFUNCTION("""COMPUTED_VALUE"""),"FJ1000-204")</f>
        <v>FJ1000-204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8.25" customHeight="1">
      <c r="A6" s="6" t="str">
        <f>IFERROR(__xludf.DUMMYFUNCTION("""COMPUTED_VALUE"""),"Mittal Electronics")</f>
        <v>Mittal Electronics</v>
      </c>
      <c r="B6" s="7" t="str">
        <f>IFERROR(__xludf.DUMMYFUNCTION("""COMPUTED_VALUE"""),"Delhi")</f>
        <v>Delhi</v>
      </c>
      <c r="C6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6" s="9" t="str">
        <f>IFERROR(__xludf.DUMMYFUNCTION("""COMPUTED_VALUE"""),"Nano Dome Jar")</f>
        <v>Nano Dome Jar</v>
      </c>
      <c r="E6" s="9" t="str">
        <f>IFERROR(__xludf.DUMMYFUNCTION("""COMPUTED_VALUE"""),"Pcs")</f>
        <v>Pcs</v>
      </c>
      <c r="F6" s="10">
        <f>IFERROR(__xludf.DUMMYFUNCTION("""COMPUTED_VALUE"""),120.0)</f>
        <v>120</v>
      </c>
      <c r="G6" s="11">
        <f>IFERROR(__xludf.DUMMYFUNCTION("""COMPUTED_VALUE"""),26.3)</f>
        <v>26.3</v>
      </c>
      <c r="H6" s="12">
        <f>IFERROR(__xludf.DUMMYFUNCTION("""COMPUTED_VALUE"""),5.0)</f>
        <v>5</v>
      </c>
      <c r="I6" s="12">
        <f>IFERROR(__xludf.DUMMYFUNCTION("""COMPUTED_VALUE"""),30.0)</f>
        <v>30</v>
      </c>
      <c r="J6" s="13" t="str">
        <f>IFERROR(__xludf.DUMMYFUNCTION("""COMPUTED_VALUE"""),"purchase@sujatamail.com,purchase1@sujatamail.com,ea3@sujatamail.com")</f>
        <v>purchase@sujatamail.com,purchase1@sujatamail.com,ea3@sujatamail.com</v>
      </c>
      <c r="K6" s="13" t="str">
        <f>IFERROR(__xludf.DUMMYFUNCTION("""COMPUTED_VALUE"""),"agl.mailout@gmail.com")</f>
        <v>agl.mailout@gmail.com</v>
      </c>
      <c r="L6" s="13" t="str">
        <f>IFERROR(__xludf.DUMMYFUNCTION("""COMPUTED_VALUE"""),"gaurav@msambikaglobal.in")</f>
        <v>gaurav@msambikaglobal.in</v>
      </c>
      <c r="M6" s="13" t="str">
        <f>IFERROR(__xludf.DUMMYFUNCTION("""COMPUTED_VALUE"""),"ND1500-204")</f>
        <v>ND1500-204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8.25" customHeight="1">
      <c r="A7" s="6" t="str">
        <f>IFERROR(__xludf.DUMMYFUNCTION("""COMPUTED_VALUE"""),"Mittal Electronics")</f>
        <v>Mittal Electronics</v>
      </c>
      <c r="B7" s="7" t="str">
        <f>IFERROR(__xludf.DUMMYFUNCTION("""COMPUTED_VALUE"""),"Delhi")</f>
        <v>Delhi</v>
      </c>
      <c r="C7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7" s="9" t="str">
        <f>IFERROR(__xludf.DUMMYFUNCTION("""COMPUTED_VALUE"""),"Nano Flat Jar")</f>
        <v>Nano Flat Jar</v>
      </c>
      <c r="E7" s="9" t="str">
        <f>IFERROR(__xludf.DUMMYFUNCTION("""COMPUTED_VALUE"""),"Pcs")</f>
        <v>Pcs</v>
      </c>
      <c r="F7" s="10">
        <f>IFERROR(__xludf.DUMMYFUNCTION("""COMPUTED_VALUE"""),105.0)</f>
        <v>105</v>
      </c>
      <c r="G7" s="11">
        <f>IFERROR(__xludf.DUMMYFUNCTION("""COMPUTED_VALUE"""),26.0)</f>
        <v>26</v>
      </c>
      <c r="H7" s="12">
        <f>IFERROR(__xludf.DUMMYFUNCTION("""COMPUTED_VALUE"""),5.0)</f>
        <v>5</v>
      </c>
      <c r="I7" s="12">
        <f>IFERROR(__xludf.DUMMYFUNCTION("""COMPUTED_VALUE"""),30.0)</f>
        <v>30</v>
      </c>
      <c r="J7" s="13" t="str">
        <f>IFERROR(__xludf.DUMMYFUNCTION("""COMPUTED_VALUE"""),"purchase@sujatamail.com,purchase1@sujatamail.com,ea3@sujatamail.com")</f>
        <v>purchase@sujatamail.com,purchase1@sujatamail.com,ea3@sujatamail.com</v>
      </c>
      <c r="K7" s="13" t="str">
        <f>IFERROR(__xludf.DUMMYFUNCTION("""COMPUTED_VALUE"""),"agl.mailout@gmail.com")</f>
        <v>agl.mailout@gmail.com</v>
      </c>
      <c r="L7" s="13" t="str">
        <f>IFERROR(__xludf.DUMMYFUNCTION("""COMPUTED_VALUE"""),"gaurav@msambikaglobal.in")</f>
        <v>gaurav@msambikaglobal.in</v>
      </c>
      <c r="M7" s="13" t="str">
        <f>IFERROR(__xludf.DUMMYFUNCTION("""COMPUTED_VALUE"""),"NF1000-204")</f>
        <v>NF1000-204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8.25" customHeight="1">
      <c r="A8" s="6" t="str">
        <f>IFERROR(__xludf.DUMMYFUNCTION("""COMPUTED_VALUE"""),"Mittal Electronics")</f>
        <v>Mittal Electronics</v>
      </c>
      <c r="B8" s="7" t="str">
        <f>IFERROR(__xludf.DUMMYFUNCTION("""COMPUTED_VALUE"""),"Delhi")</f>
        <v>Delhi</v>
      </c>
      <c r="C8" s="8" t="str">
        <f>IFERROR(__xludf.DUMMYFUNCTION("""COMPUTED_VALUE"""),"38 SSI Industrial Area,
G T Karnal Road,
Jahagir Puri Metro Station,
Near Piller No 144,  Delhi-110033")</f>
        <v>38 SSI Industrial Area,
G T Karnal Road,
Jahagir Puri Metro Station,
Near Piller No 144,  Delhi-110033</v>
      </c>
      <c r="D8" s="9" t="str">
        <f>IFERROR(__xludf.DUMMYFUNCTION("""COMPUTED_VALUE"""),"Nano Chutney Jar")</f>
        <v>Nano Chutney Jar</v>
      </c>
      <c r="E8" s="9" t="str">
        <f>IFERROR(__xludf.DUMMYFUNCTION("""COMPUTED_VALUE"""),"Pcs")</f>
        <v>Pcs</v>
      </c>
      <c r="F8" s="10">
        <f>IFERROR(__xludf.DUMMYFUNCTION("""COMPUTED_VALUE"""),210.0)</f>
        <v>210</v>
      </c>
      <c r="G8" s="11">
        <f>IFERROR(__xludf.DUMMYFUNCTION("""COMPUTED_VALUE"""),21.0)</f>
        <v>21</v>
      </c>
      <c r="H8" s="12">
        <f>IFERROR(__xludf.DUMMYFUNCTION("""COMPUTED_VALUE"""),5.0)</f>
        <v>5</v>
      </c>
      <c r="I8" s="12">
        <f>IFERROR(__xludf.DUMMYFUNCTION("""COMPUTED_VALUE"""),30.0)</f>
        <v>30</v>
      </c>
      <c r="J8" s="13" t="str">
        <f>IFERROR(__xludf.DUMMYFUNCTION("""COMPUTED_VALUE"""),"purchase@sujatamail.com,purchase1@sujatamail.com,ea3@sujatamail.com")</f>
        <v>purchase@sujatamail.com,purchase1@sujatamail.com,ea3@sujatamail.com</v>
      </c>
      <c r="K8" s="13" t="str">
        <f>IFERROR(__xludf.DUMMYFUNCTION("""COMPUTED_VALUE"""),"agl.mailout@gmail.com")</f>
        <v>agl.mailout@gmail.com</v>
      </c>
      <c r="L8" s="13" t="str">
        <f>IFERROR(__xludf.DUMMYFUNCTION("""COMPUTED_VALUE"""),"gaurav@msambikaglobal.in")</f>
        <v>gaurav@msambikaglobal.in</v>
      </c>
      <c r="M8" s="13" t="str">
        <f>IFERROR(__xludf.DUMMYFUNCTION("""COMPUTED_VALUE"""),"NC0400-204")</f>
        <v>NC0400-204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8.25" customHeight="1">
      <c r="A9" s="6" t="str">
        <f>IFERROR(__xludf.DUMMYFUNCTION("""COMPUTED_VALUE"""),"Epack Durable Ltd")</f>
        <v>Epack Durable Ltd</v>
      </c>
      <c r="B9" s="7" t="str">
        <f>IFERROR(__xludf.DUMMYFUNCTION("""COMPUTED_VALUE"""),"Bhiwadi")</f>
        <v>Bhiwadi</v>
      </c>
      <c r="C9" s="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9" s="9" t="str">
        <f>IFERROR(__xludf.DUMMYFUNCTION("""COMPUTED_VALUE"""),"PP Wet")</f>
        <v>PP Wet</v>
      </c>
      <c r="E9" s="9" t="str">
        <f>IFERROR(__xludf.DUMMYFUNCTION("""COMPUTED_VALUE"""),"Pcs")</f>
        <v>Pcs</v>
      </c>
      <c r="F9" s="10">
        <f>IFERROR(__xludf.DUMMYFUNCTION("""COMPUTED_VALUE"""),120.0)</f>
        <v>120</v>
      </c>
      <c r="G9" s="11">
        <f>IFERROR(__xludf.DUMMYFUNCTION("""COMPUTED_VALUE"""),33.02)</f>
        <v>33.02</v>
      </c>
      <c r="H9" s="12">
        <f>IFERROR(__xludf.DUMMYFUNCTION("""COMPUTED_VALUE"""),6.0)</f>
        <v>6</v>
      </c>
      <c r="I9" s="12">
        <f>IFERROR(__xludf.DUMMYFUNCTION("""COMPUTED_VALUE"""),30.0)</f>
        <v>30</v>
      </c>
      <c r="J9" s="13" t="str">
        <f>IFERROR(__xludf.DUMMYFUNCTION("""COMPUTED_VALUE"""),"abhishek.karwa_ed@epack.in,devendar.singh_ed@epack.in,ankit.upadhyay_ed@epack.in,riya.tyagi_ed@epack.in")</f>
        <v>abhishek.karwa_ed@epack.in,devendar.singh_ed@epack.in,ankit.upadhyay_ed@epack.in,riya.tyagi_ed@epack.in</v>
      </c>
      <c r="K9" s="13" t="str">
        <f>IFERROR(__xludf.DUMMYFUNCTION("""COMPUTED_VALUE"""),"agl.mailout@gmail.com")</f>
        <v>agl.mailout@gmail.com</v>
      </c>
      <c r="L9" s="13" t="str">
        <f>IFERROR(__xludf.DUMMYFUNCTION("""COMPUTED_VALUE"""),"gaurav@msambikaglobal.in")</f>
        <v>gaurav@msambikaglobal.in</v>
      </c>
      <c r="M9" s="13" t="str">
        <f>IFERROR(__xludf.DUMMYFUNCTION("""COMPUTED_VALUE"""),"PP1500-202")</f>
        <v>PP1500-202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8.25" customHeight="1">
      <c r="A10" s="6" t="str">
        <f>IFERROR(__xludf.DUMMYFUNCTION("""COMPUTED_VALUE"""),"Epack Durable Ltd")</f>
        <v>Epack Durable Ltd</v>
      </c>
      <c r="B10" s="7" t="str">
        <f>IFERROR(__xludf.DUMMYFUNCTION("""COMPUTED_VALUE"""),"Bhiwadi")</f>
        <v>Bhiwadi</v>
      </c>
      <c r="C10" s="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0" s="9" t="str">
        <f>IFERROR(__xludf.DUMMYFUNCTION("""COMPUTED_VALUE"""),"PP Dry")</f>
        <v>PP Dry</v>
      </c>
      <c r="E10" s="9" t="str">
        <f>IFERROR(__xludf.DUMMYFUNCTION("""COMPUTED_VALUE"""),"Pcs")</f>
        <v>Pcs</v>
      </c>
      <c r="F10" s="10">
        <f>IFERROR(__xludf.DUMMYFUNCTION("""COMPUTED_VALUE"""),120.0)</f>
        <v>120</v>
      </c>
      <c r="G10" s="11">
        <f>IFERROR(__xludf.DUMMYFUNCTION("""COMPUTED_VALUE"""),28.8)</f>
        <v>28.8</v>
      </c>
      <c r="H10" s="12">
        <f>IFERROR(__xludf.DUMMYFUNCTION("""COMPUTED_VALUE"""),6.0)</f>
        <v>6</v>
      </c>
      <c r="I10" s="12">
        <f>IFERROR(__xludf.DUMMYFUNCTION("""COMPUTED_VALUE"""),30.0)</f>
        <v>30</v>
      </c>
      <c r="J10" s="13" t="str">
        <f>IFERROR(__xludf.DUMMYFUNCTION("""COMPUTED_VALUE"""),"abhishek.karwa_ed@epack.in,devendar.singh_ed@epack.in,ankit.upadhyay_ed@epack.in,riya.tyagi_ed@epack.in")</f>
        <v>abhishek.karwa_ed@epack.in,devendar.singh_ed@epack.in,ankit.upadhyay_ed@epack.in,riya.tyagi_ed@epack.in</v>
      </c>
      <c r="K10" s="13" t="str">
        <f>IFERROR(__xludf.DUMMYFUNCTION("""COMPUTED_VALUE"""),"agl.mailout@gmail.com")</f>
        <v>agl.mailout@gmail.com</v>
      </c>
      <c r="L10" s="13" t="str">
        <f>IFERROR(__xludf.DUMMYFUNCTION("""COMPUTED_VALUE"""),"gaurav@msambikaglobal.in")</f>
        <v>gaurav@msambikaglobal.in</v>
      </c>
      <c r="M10" s="13" t="str">
        <f>IFERROR(__xludf.DUMMYFUNCTION("""COMPUTED_VALUE"""),"PP1000-202")</f>
        <v>PP1000-202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8.25" customHeight="1">
      <c r="A11" s="6" t="str">
        <f>IFERROR(__xludf.DUMMYFUNCTION("""COMPUTED_VALUE"""),"Epack Durable Ltd")</f>
        <v>Epack Durable Ltd</v>
      </c>
      <c r="B11" s="7" t="str">
        <f>IFERROR(__xludf.DUMMYFUNCTION("""COMPUTED_VALUE"""),"Dehradun")</f>
        <v>Dehradun</v>
      </c>
      <c r="C11" s="8" t="str">
        <f>IFERROR(__xludf.DUMMYFUNCTION("""COMPUTED_VALUE"""),"C- 6 &amp; C-7, UPSIDC Industrial Area, Selaqul,
Dehradun, Uttrakhand - 248011")</f>
        <v>C- 6 &amp; C-7, UPSIDC Industrial Area, Selaqul,
Dehradun, Uttrakhand - 248011</v>
      </c>
      <c r="D11" s="9" t="str">
        <f>IFERROR(__xludf.DUMMYFUNCTION("""COMPUTED_VALUE"""),"PP Chutney")</f>
        <v>PP Chutney</v>
      </c>
      <c r="E11" s="9" t="str">
        <f>IFERROR(__xludf.DUMMYFUNCTION("""COMPUTED_VALUE"""),"Pcs")</f>
        <v>Pcs</v>
      </c>
      <c r="F11" s="10">
        <f>IFERROR(__xludf.DUMMYFUNCTION("""COMPUTED_VALUE"""),180.0)</f>
        <v>180</v>
      </c>
      <c r="G11" s="11">
        <f>IFERROR(__xludf.DUMMYFUNCTION("""COMPUTED_VALUE"""),23.29)</f>
        <v>23.29</v>
      </c>
      <c r="H11" s="12">
        <f>IFERROR(__xludf.DUMMYFUNCTION("""COMPUTED_VALUE"""),6.0)</f>
        <v>6</v>
      </c>
      <c r="I11" s="12">
        <f>IFERROR(__xludf.DUMMYFUNCTION("""COMPUTED_VALUE"""),30.0)</f>
        <v>30</v>
      </c>
      <c r="J11" s="13" t="str">
        <f>IFERROR(__xludf.DUMMYFUNCTION("""COMPUTED_VALUE"""),"abhishek.karwa_ed@epack.in,devendar.singh_ed@epack.in,ankit.upadhyay_ed@epack.in,riya.tyagi_ed@epack.in")</f>
        <v>abhishek.karwa_ed@epack.in,devendar.singh_ed@epack.in,ankit.upadhyay_ed@epack.in,riya.tyagi_ed@epack.in</v>
      </c>
      <c r="K11" s="13" t="str">
        <f>IFERROR(__xludf.DUMMYFUNCTION("""COMPUTED_VALUE"""),"agl.mailout@gmail.com")</f>
        <v>agl.mailout@gmail.com</v>
      </c>
      <c r="L11" s="13" t="str">
        <f>IFERROR(__xludf.DUMMYFUNCTION("""COMPUTED_VALUE"""),"gaurav@msambikaglobal.in")</f>
        <v>gaurav@msambikaglobal.in</v>
      </c>
      <c r="M11" s="13" t="str">
        <f>IFERROR(__xludf.DUMMYFUNCTION("""COMPUTED_VALUE"""),"PP0400-202")</f>
        <v>PP0400-202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8.25" customHeight="1">
      <c r="A12" s="6" t="str">
        <f>IFERROR(__xludf.DUMMYFUNCTION("""COMPUTED_VALUE"""),"Epack Durable Ltd")</f>
        <v>Epack Durable Ltd</v>
      </c>
      <c r="B12" s="7" t="str">
        <f>IFERROR(__xludf.DUMMYFUNCTION("""COMPUTED_VALUE"""),"Bhiwadi")</f>
        <v>Bhiwadi</v>
      </c>
      <c r="C12" s="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2" s="9" t="str">
        <f>IFERROR(__xludf.DUMMYFUNCTION("""COMPUTED_VALUE"""),"PP Flat Wet")</f>
        <v>PP Flat Wet</v>
      </c>
      <c r="E12" s="9" t="str">
        <f>IFERROR(__xludf.DUMMYFUNCTION("""COMPUTED_VALUE"""),"Pcs")</f>
        <v>Pcs</v>
      </c>
      <c r="F12" s="10">
        <f>IFERROR(__xludf.DUMMYFUNCTION("""COMPUTED_VALUE"""),120.0)</f>
        <v>120</v>
      </c>
      <c r="G12" s="11">
        <f>IFERROR(__xludf.DUMMYFUNCTION("""COMPUTED_VALUE"""),31.95)</f>
        <v>31.95</v>
      </c>
      <c r="H12" s="12">
        <f>IFERROR(__xludf.DUMMYFUNCTION("""COMPUTED_VALUE"""),6.0)</f>
        <v>6</v>
      </c>
      <c r="I12" s="12">
        <f>IFERROR(__xludf.DUMMYFUNCTION("""COMPUTED_VALUE"""),30.0)</f>
        <v>30</v>
      </c>
      <c r="J12" s="13" t="str">
        <f>IFERROR(__xludf.DUMMYFUNCTION("""COMPUTED_VALUE"""),"abhishek.karwa_ed@epack.in,devendar.singh_ed@epack.in,ankit.upadhyay_ed@epack.in,riya.tyagi_ed@epack.in")</f>
        <v>abhishek.karwa_ed@epack.in,devendar.singh_ed@epack.in,ankit.upadhyay_ed@epack.in,riya.tyagi_ed@epack.in</v>
      </c>
      <c r="K12" s="13" t="str">
        <f>IFERROR(__xludf.DUMMYFUNCTION("""COMPUTED_VALUE"""),"agl.mailout@gmail.com")</f>
        <v>agl.mailout@gmail.com</v>
      </c>
      <c r="L12" s="13" t="str">
        <f>IFERROR(__xludf.DUMMYFUNCTION("""COMPUTED_VALUE"""),"gaurav@msambikaglobal.in")</f>
        <v>gaurav@msambikaglobal.in</v>
      </c>
      <c r="M12" s="13" t="str">
        <f>IFERROR(__xludf.DUMMYFUNCTION("""COMPUTED_VALUE"""),"PF1500-202")</f>
        <v>PF1500-202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8.25" customHeight="1">
      <c r="A13" s="6" t="str">
        <f>IFERROR(__xludf.DUMMYFUNCTION("""COMPUTED_VALUE"""),"Epack Durable Ltd")</f>
        <v>Epack Durable Ltd</v>
      </c>
      <c r="B13" s="7" t="str">
        <f>IFERROR(__xludf.DUMMYFUNCTION("""COMPUTED_VALUE"""),"Bhiwadi")</f>
        <v>Bhiwadi</v>
      </c>
      <c r="C13" s="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3" s="9" t="str">
        <f>IFERROR(__xludf.DUMMYFUNCTION("""COMPUTED_VALUE"""),"PP Flat Dry")</f>
        <v>PP Flat Dry</v>
      </c>
      <c r="E13" s="9" t="str">
        <f>IFERROR(__xludf.DUMMYFUNCTION("""COMPUTED_VALUE"""),"Pcs")</f>
        <v>Pcs</v>
      </c>
      <c r="F13" s="10">
        <f>IFERROR(__xludf.DUMMYFUNCTION("""COMPUTED_VALUE"""),120.0)</f>
        <v>120</v>
      </c>
      <c r="G13" s="11">
        <f>IFERROR(__xludf.DUMMYFUNCTION("""COMPUTED_VALUE"""),27.96)</f>
        <v>27.96</v>
      </c>
      <c r="H13" s="12">
        <f>IFERROR(__xludf.DUMMYFUNCTION("""COMPUTED_VALUE"""),6.0)</f>
        <v>6</v>
      </c>
      <c r="I13" s="12">
        <f>IFERROR(__xludf.DUMMYFUNCTION("""COMPUTED_VALUE"""),30.0)</f>
        <v>30</v>
      </c>
      <c r="J13" s="13" t="str">
        <f>IFERROR(__xludf.DUMMYFUNCTION("""COMPUTED_VALUE"""),"abhishek.karwa_ed@epack.in,devendar.singh_ed@epack.in,ankit.upadhyay_ed@epack.in,riya.tyagi_ed@epack.in")</f>
        <v>abhishek.karwa_ed@epack.in,devendar.singh_ed@epack.in,ankit.upadhyay_ed@epack.in,riya.tyagi_ed@epack.in</v>
      </c>
      <c r="K13" s="13" t="str">
        <f>IFERROR(__xludf.DUMMYFUNCTION("""COMPUTED_VALUE"""),"agl.mailout@gmail.com")</f>
        <v>agl.mailout@gmail.com</v>
      </c>
      <c r="L13" s="13" t="str">
        <f>IFERROR(__xludf.DUMMYFUNCTION("""COMPUTED_VALUE"""),"gaurav@msambikaglobal.in")</f>
        <v>gaurav@msambikaglobal.in</v>
      </c>
      <c r="M13" s="13" t="str">
        <f>IFERROR(__xludf.DUMMYFUNCTION("""COMPUTED_VALUE"""),"PF1000-202")</f>
        <v>PF1000-202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8.25" customHeight="1">
      <c r="A14" s="6" t="str">
        <f>IFERROR(__xludf.DUMMYFUNCTION("""COMPUTED_VALUE"""),"Epack Durable Ltd")</f>
        <v>Epack Durable Ltd</v>
      </c>
      <c r="B14" s="7" t="str">
        <f>IFERROR(__xludf.DUMMYFUNCTION("""COMPUTED_VALUE"""),"Bhiwadi")</f>
        <v>Bhiwadi</v>
      </c>
      <c r="C14" s="8" t="str">
        <f>IFERROR(__xludf.DUMMYFUNCTION("""COMPUTED_VALUE"""),"Plot No. A1-A2, D6-D7-D8, Elcina Electronics,
Manufacturing Cluster, Industrial Area,
Salarpur, Bhiwadi, Alwar, Rajasthan - 301019")</f>
        <v>Plot No. A1-A2, D6-D7-D8, Elcina Electronics,
Manufacturing Cluster, Industrial Area,
Salarpur, Bhiwadi, Alwar, Rajasthan - 301019</v>
      </c>
      <c r="D14" s="9" t="str">
        <f>IFERROR(__xludf.DUMMYFUNCTION("""COMPUTED_VALUE"""),"PP Flat Chutney")</f>
        <v>PP Flat Chutney</v>
      </c>
      <c r="E14" s="9" t="str">
        <f>IFERROR(__xludf.DUMMYFUNCTION("""COMPUTED_VALUE"""),"Pcs")</f>
        <v>Pcs</v>
      </c>
      <c r="F14" s="10">
        <f>IFERROR(__xludf.DUMMYFUNCTION("""COMPUTED_VALUE"""),180.0)</f>
        <v>180</v>
      </c>
      <c r="G14" s="11">
        <f>IFERROR(__xludf.DUMMYFUNCTION("""COMPUTED_VALUE"""),23.7)</f>
        <v>23.7</v>
      </c>
      <c r="H14" s="12">
        <f>IFERROR(__xludf.DUMMYFUNCTION("""COMPUTED_VALUE"""),6.0)</f>
        <v>6</v>
      </c>
      <c r="I14" s="12">
        <f>IFERROR(__xludf.DUMMYFUNCTION("""COMPUTED_VALUE"""),30.0)</f>
        <v>30</v>
      </c>
      <c r="J14" s="13" t="str">
        <f>IFERROR(__xludf.DUMMYFUNCTION("""COMPUTED_VALUE"""),"abhishek.karwa_ed@epack.in,devendar.singh_ed@epack.in,ankit.upadhyay_ed@epack.in,riya.tyagi_ed@epack.in")</f>
        <v>abhishek.karwa_ed@epack.in,devendar.singh_ed@epack.in,ankit.upadhyay_ed@epack.in,riya.tyagi_ed@epack.in</v>
      </c>
      <c r="K14" s="13" t="str">
        <f>IFERROR(__xludf.DUMMYFUNCTION("""COMPUTED_VALUE"""),"agl.mailout@gmail.com")</f>
        <v>agl.mailout@gmail.com</v>
      </c>
      <c r="L14" s="13" t="str">
        <f>IFERROR(__xludf.DUMMYFUNCTION("""COMPUTED_VALUE"""),"gaurav@msambikaglobal.in")</f>
        <v>gaurav@msambikaglobal.in</v>
      </c>
      <c r="M14" s="13" t="str">
        <f>IFERROR(__xludf.DUMMYFUNCTION("""COMPUTED_VALUE"""),"PF0600-202")</f>
        <v>PF0600-202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8.25" customHeight="1">
      <c r="A15" s="6" t="str">
        <f>IFERROR(__xludf.DUMMYFUNCTION("""COMPUTED_VALUE"""),"Elin Electronics Limited.")</f>
        <v>Elin Electronics Limited.</v>
      </c>
      <c r="B15" s="7" t="str">
        <f>IFERROR(__xludf.DUMMYFUNCTION("""COMPUTED_VALUE"""),"Himachal Pradesh")</f>
        <v>Himachal Pradesh</v>
      </c>
      <c r="C15" s="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5" s="9" t="str">
        <f>IFERROR(__xludf.DUMMYFUNCTION("""COMPUTED_VALUE"""),"VA Wet")</f>
        <v>VA Wet</v>
      </c>
      <c r="E15" s="9" t="str">
        <f>IFERROR(__xludf.DUMMYFUNCTION("""COMPUTED_VALUE"""),"Pcs")</f>
        <v>Pcs</v>
      </c>
      <c r="F15" s="10">
        <f>IFERROR(__xludf.DUMMYFUNCTION("""COMPUTED_VALUE"""),120.0)</f>
        <v>120</v>
      </c>
      <c r="G15" s="11">
        <f>IFERROR(__xludf.DUMMYFUNCTION("""COMPUTED_VALUE"""),31.95)</f>
        <v>31.95</v>
      </c>
      <c r="H15" s="12">
        <f>IFERROR(__xludf.DUMMYFUNCTION("""COMPUTED_VALUE"""),6.0)</f>
        <v>6</v>
      </c>
      <c r="I15" s="12">
        <f>IFERROR(__xludf.DUMMYFUNCTION("""COMPUTED_VALUE"""),45.0)</f>
        <v>45</v>
      </c>
      <c r="J15" s="13" t="str">
        <f>IFERROR(__xludf.DUMMYFUNCTION("""COMPUTED_VALUE"""),"a.ranaut@elinindia.com,kartik.chandel@elinindia.com,pawan.kumar@elinindia.com")</f>
        <v>a.ranaut@elinindia.com,kartik.chandel@elinindia.com,pawan.kumar@elinindia.com</v>
      </c>
      <c r="K15" s="13" t="str">
        <f>IFERROR(__xludf.DUMMYFUNCTION("""COMPUTED_VALUE"""),"agl.mailout@gmail.com")</f>
        <v>agl.mailout@gmail.com</v>
      </c>
      <c r="L15" s="13" t="str">
        <f>IFERROR(__xludf.DUMMYFUNCTION("""COMPUTED_VALUE"""),"gaurav@msambikaglobal.in")</f>
        <v>gaurav@msambikaglobal.in</v>
      </c>
      <c r="M15" s="13" t="str">
        <f>IFERROR(__xludf.DUMMYFUNCTION("""COMPUTED_VALUE"""),"VA1500-202")</f>
        <v>VA1500-202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8.25" customHeight="1">
      <c r="A16" s="6" t="str">
        <f>IFERROR(__xludf.DUMMYFUNCTION("""COMPUTED_VALUE"""),"Elin Electronics Limited.")</f>
        <v>Elin Electronics Limited.</v>
      </c>
      <c r="B16" s="7" t="str">
        <f>IFERROR(__xludf.DUMMYFUNCTION("""COMPUTED_VALUE"""),"Himachal Pradesh")</f>
        <v>Himachal Pradesh</v>
      </c>
      <c r="C16" s="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6" s="9" t="str">
        <f>IFERROR(__xludf.DUMMYFUNCTION("""COMPUTED_VALUE"""),"VA Dry")</f>
        <v>VA Dry</v>
      </c>
      <c r="E16" s="9" t="str">
        <f>IFERROR(__xludf.DUMMYFUNCTION("""COMPUTED_VALUE"""),"Pcs")</f>
        <v>Pcs</v>
      </c>
      <c r="F16" s="10">
        <f>IFERROR(__xludf.DUMMYFUNCTION("""COMPUTED_VALUE"""),120.0)</f>
        <v>120</v>
      </c>
      <c r="G16" s="11">
        <f>IFERROR(__xludf.DUMMYFUNCTION("""COMPUTED_VALUE"""),27.96)</f>
        <v>27.96</v>
      </c>
      <c r="H16" s="12">
        <f>IFERROR(__xludf.DUMMYFUNCTION("""COMPUTED_VALUE"""),6.0)</f>
        <v>6</v>
      </c>
      <c r="I16" s="12">
        <f>IFERROR(__xludf.DUMMYFUNCTION("""COMPUTED_VALUE"""),45.0)</f>
        <v>45</v>
      </c>
      <c r="J16" s="13" t="str">
        <f>IFERROR(__xludf.DUMMYFUNCTION("""COMPUTED_VALUE"""),"a.ranaut@elinindia.com,kartik.chandel@elinindia.com,pawan.kumar@elinindia.com")</f>
        <v>a.ranaut@elinindia.com,kartik.chandel@elinindia.com,pawan.kumar@elinindia.com</v>
      </c>
      <c r="K16" s="13" t="str">
        <f>IFERROR(__xludf.DUMMYFUNCTION("""COMPUTED_VALUE"""),"agl.mailout@gmail.com")</f>
        <v>agl.mailout@gmail.com</v>
      </c>
      <c r="L16" s="13" t="str">
        <f>IFERROR(__xludf.DUMMYFUNCTION("""COMPUTED_VALUE"""),"gaurav@msambikaglobal.in")</f>
        <v>gaurav@msambikaglobal.in</v>
      </c>
      <c r="M16" s="13" t="str">
        <f>IFERROR(__xludf.DUMMYFUNCTION("""COMPUTED_VALUE"""),"VA1000-202")</f>
        <v>VA1000-202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8.25" customHeight="1">
      <c r="A17" s="6" t="str">
        <f>IFERROR(__xludf.DUMMYFUNCTION("""COMPUTED_VALUE"""),"Elin Electronics Limited.")</f>
        <v>Elin Electronics Limited.</v>
      </c>
      <c r="B17" s="7" t="str">
        <f>IFERROR(__xludf.DUMMYFUNCTION("""COMPUTED_VALUE"""),"Himachal Pradesh")</f>
        <v>Himachal Pradesh</v>
      </c>
      <c r="C17" s="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7" s="9" t="str">
        <f>IFERROR(__xludf.DUMMYFUNCTION("""COMPUTED_VALUE"""),"VA Chutney")</f>
        <v>VA Chutney</v>
      </c>
      <c r="E17" s="9" t="str">
        <f>IFERROR(__xludf.DUMMYFUNCTION("""COMPUTED_VALUE"""),"Pcs")</f>
        <v>Pcs</v>
      </c>
      <c r="F17" s="10">
        <f>IFERROR(__xludf.DUMMYFUNCTION("""COMPUTED_VALUE"""),180.0)</f>
        <v>180</v>
      </c>
      <c r="G17" s="11">
        <f>IFERROR(__xludf.DUMMYFUNCTION("""COMPUTED_VALUE"""),23.7)</f>
        <v>23.7</v>
      </c>
      <c r="H17" s="12">
        <f>IFERROR(__xludf.DUMMYFUNCTION("""COMPUTED_VALUE"""),6.0)</f>
        <v>6</v>
      </c>
      <c r="I17" s="12">
        <f>IFERROR(__xludf.DUMMYFUNCTION("""COMPUTED_VALUE"""),45.0)</f>
        <v>45</v>
      </c>
      <c r="J17" s="13" t="str">
        <f>IFERROR(__xludf.DUMMYFUNCTION("""COMPUTED_VALUE"""),"a.ranaut@elinindia.com,kartik.chandel@elinindia.com,pawan.kumar@elinindia.com")</f>
        <v>a.ranaut@elinindia.com,kartik.chandel@elinindia.com,pawan.kumar@elinindia.com</v>
      </c>
      <c r="K17" s="13" t="str">
        <f>IFERROR(__xludf.DUMMYFUNCTION("""COMPUTED_VALUE"""),"agl.mailout@gmail.com")</f>
        <v>agl.mailout@gmail.com</v>
      </c>
      <c r="L17" s="13" t="str">
        <f>IFERROR(__xludf.DUMMYFUNCTION("""COMPUTED_VALUE"""),"gaurav@msambikaglobal.in")</f>
        <v>gaurav@msambikaglobal.in</v>
      </c>
      <c r="M17" s="13" t="str">
        <f>IFERROR(__xludf.DUMMYFUNCTION("""COMPUTED_VALUE"""),"VA0400-202")</f>
        <v>VA0400-202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8.25" customHeight="1">
      <c r="A18" s="6" t="str">
        <f>IFERROR(__xludf.DUMMYFUNCTION("""COMPUTED_VALUE"""),"Elin Electronics Limited.")</f>
        <v>Elin Electronics Limited.</v>
      </c>
      <c r="B18" s="7" t="str">
        <f>IFERROR(__xludf.DUMMYFUNCTION("""COMPUTED_VALUE"""),"Himachal Pradesh")</f>
        <v>Himachal Pradesh</v>
      </c>
      <c r="C18" s="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8" s="9" t="str">
        <f>IFERROR(__xludf.DUMMYFUNCTION("""COMPUTED_VALUE"""),"Value Flat Wet")</f>
        <v>Value Flat Wet</v>
      </c>
      <c r="E18" s="9" t="str">
        <f>IFERROR(__xludf.DUMMYFUNCTION("""COMPUTED_VALUE"""),"Pcs")</f>
        <v>Pcs</v>
      </c>
      <c r="F18" s="10">
        <f>IFERROR(__xludf.DUMMYFUNCTION("""COMPUTED_VALUE"""),120.0)</f>
        <v>120</v>
      </c>
      <c r="G18" s="11">
        <f>IFERROR(__xludf.DUMMYFUNCTION("""COMPUTED_VALUE"""),30.0)</f>
        <v>30</v>
      </c>
      <c r="H18" s="12">
        <f>IFERROR(__xludf.DUMMYFUNCTION("""COMPUTED_VALUE"""),6.0)</f>
        <v>6</v>
      </c>
      <c r="I18" s="12">
        <f>IFERROR(__xludf.DUMMYFUNCTION("""COMPUTED_VALUE"""),45.0)</f>
        <v>45</v>
      </c>
      <c r="J18" s="13" t="str">
        <f>IFERROR(__xludf.DUMMYFUNCTION("""COMPUTED_VALUE"""),"a.ranaut@elinindia.com,kartik.chandel@elinindia.com,pawan.kumar@elinindia.com")</f>
        <v>a.ranaut@elinindia.com,kartik.chandel@elinindia.com,pawan.kumar@elinindia.com</v>
      </c>
      <c r="K18" s="13" t="str">
        <f>IFERROR(__xludf.DUMMYFUNCTION("""COMPUTED_VALUE"""),"agl.mailout@gmail.com")</f>
        <v>agl.mailout@gmail.com</v>
      </c>
      <c r="L18" s="13" t="str">
        <f>IFERROR(__xludf.DUMMYFUNCTION("""COMPUTED_VALUE"""),"gaurav@msambikaglobal.in")</f>
        <v>gaurav@msambikaglobal.in</v>
      </c>
      <c r="M18" s="13" t="str">
        <f>IFERROR(__xludf.DUMMYFUNCTION("""COMPUTED_VALUE"""),"VF1500-202")</f>
        <v>VF1500-202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8.25" customHeight="1">
      <c r="A19" s="6" t="str">
        <f>IFERROR(__xludf.DUMMYFUNCTION("""COMPUTED_VALUE"""),"Elin Electronics Limited.")</f>
        <v>Elin Electronics Limited.</v>
      </c>
      <c r="B19" s="7" t="str">
        <f>IFERROR(__xludf.DUMMYFUNCTION("""COMPUTED_VALUE"""),"Himachal Pradesh")</f>
        <v>Himachal Pradesh</v>
      </c>
      <c r="C19" s="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19" s="9" t="str">
        <f>IFERROR(__xludf.DUMMYFUNCTION("""COMPUTED_VALUE"""),"Value Flat Dry")</f>
        <v>Value Flat Dry</v>
      </c>
      <c r="E19" s="9" t="str">
        <f>IFERROR(__xludf.DUMMYFUNCTION("""COMPUTED_VALUE"""),"Pcs")</f>
        <v>Pcs</v>
      </c>
      <c r="F19" s="10">
        <f>IFERROR(__xludf.DUMMYFUNCTION("""COMPUTED_VALUE"""),120.0)</f>
        <v>120</v>
      </c>
      <c r="G19" s="11">
        <f>IFERROR(__xludf.DUMMYFUNCTION("""COMPUTED_VALUE"""),24.6)</f>
        <v>24.6</v>
      </c>
      <c r="H19" s="12">
        <f>IFERROR(__xludf.DUMMYFUNCTION("""COMPUTED_VALUE"""),6.0)</f>
        <v>6</v>
      </c>
      <c r="I19" s="12">
        <f>IFERROR(__xludf.DUMMYFUNCTION("""COMPUTED_VALUE"""),45.0)</f>
        <v>45</v>
      </c>
      <c r="J19" s="13" t="str">
        <f>IFERROR(__xludf.DUMMYFUNCTION("""COMPUTED_VALUE"""),"a.ranaut@elinindia.com,kartik.chandel@elinindia.com,pawan.kumar@elinindia.com")</f>
        <v>a.ranaut@elinindia.com,kartik.chandel@elinindia.com,pawan.kumar@elinindia.com</v>
      </c>
      <c r="K19" s="13" t="str">
        <f>IFERROR(__xludf.DUMMYFUNCTION("""COMPUTED_VALUE"""),"agl.mailout@gmail.com")</f>
        <v>agl.mailout@gmail.com</v>
      </c>
      <c r="L19" s="13" t="str">
        <f>IFERROR(__xludf.DUMMYFUNCTION("""COMPUTED_VALUE"""),"gaurav@msambikaglobal.in")</f>
        <v>gaurav@msambikaglobal.in</v>
      </c>
      <c r="M19" s="13" t="str">
        <f>IFERROR(__xludf.DUMMYFUNCTION("""COMPUTED_VALUE"""),"VF1000-202")</f>
        <v>VF1000-202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8.25" customHeight="1">
      <c r="A20" s="6" t="str">
        <f>IFERROR(__xludf.DUMMYFUNCTION("""COMPUTED_VALUE"""),"Elin Electronics Limited.")</f>
        <v>Elin Electronics Limited.</v>
      </c>
      <c r="B20" s="7" t="str">
        <f>IFERROR(__xludf.DUMMYFUNCTION("""COMPUTED_VALUE"""),"Himachal Pradesh")</f>
        <v>Himachal Pradesh</v>
      </c>
      <c r="C20" s="8" t="str">
        <f>IFERROR(__xludf.DUMMYFUNCTION("""COMPUTED_VALUE"""),"Village Belikhol, PO- Manpura
Tehsil- Nalagarh, Distt - Salon - 174101
Himachal Pradesh")</f>
        <v>Village Belikhol, PO- Manpura
Tehsil- Nalagarh, Distt - Salon - 174101
Himachal Pradesh</v>
      </c>
      <c r="D20" s="9" t="str">
        <f>IFERROR(__xludf.DUMMYFUNCTION("""COMPUTED_VALUE"""),"Value Flat Chutney")</f>
        <v>Value Flat Chutney</v>
      </c>
      <c r="E20" s="9" t="str">
        <f>IFERROR(__xludf.DUMMYFUNCTION("""COMPUTED_VALUE"""),"Pcs")</f>
        <v>Pcs</v>
      </c>
      <c r="F20" s="10">
        <f>IFERROR(__xludf.DUMMYFUNCTION("""COMPUTED_VALUE"""),180.0)</f>
        <v>180</v>
      </c>
      <c r="G20" s="11">
        <f>IFERROR(__xludf.DUMMYFUNCTION("""COMPUTED_VALUE"""),22.5)</f>
        <v>22.5</v>
      </c>
      <c r="H20" s="12">
        <f>IFERROR(__xludf.DUMMYFUNCTION("""COMPUTED_VALUE"""),6.0)</f>
        <v>6</v>
      </c>
      <c r="I20" s="12">
        <f>IFERROR(__xludf.DUMMYFUNCTION("""COMPUTED_VALUE"""),45.0)</f>
        <v>45</v>
      </c>
      <c r="J20" s="13" t="str">
        <f>IFERROR(__xludf.DUMMYFUNCTION("""COMPUTED_VALUE"""),"a.ranaut@elinindia.com,kartik.chandel@elinindia.com,pawan.kumar@elinindia.com")</f>
        <v>a.ranaut@elinindia.com,kartik.chandel@elinindia.com,pawan.kumar@elinindia.com</v>
      </c>
      <c r="K20" s="13" t="str">
        <f>IFERROR(__xludf.DUMMYFUNCTION("""COMPUTED_VALUE"""),"agl.mailout@gmail.com")</f>
        <v>agl.mailout@gmail.com</v>
      </c>
      <c r="L20" s="13" t="str">
        <f>IFERROR(__xludf.DUMMYFUNCTION("""COMPUTED_VALUE"""),"gaurav@msambikaglobal.in")</f>
        <v>gaurav@msambikaglobal.in</v>
      </c>
      <c r="M20" s="13" t="str">
        <f>IFERROR(__xludf.DUMMYFUNCTION("""COMPUTED_VALUE"""),"VF0400-202")</f>
        <v>VF0400-202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8.25" customHeight="1">
      <c r="A21" s="6" t="str">
        <f>IFERROR(__xludf.DUMMYFUNCTION("""COMPUTED_VALUE"""),"Versuni India Home Solutions Limited")</f>
        <v>Versuni India Home Solutions Limited</v>
      </c>
      <c r="B21" s="7" t="str">
        <f>IFERROR(__xludf.DUMMYFUNCTION("""COMPUTED_VALUE"""),"Tamilnadu")</f>
        <v>Tamilnadu</v>
      </c>
      <c r="C21" s="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1" s="9" t="str">
        <f>IFERROR(__xludf.DUMMYFUNCTION("""COMPUTED_VALUE"""),"Steele 1.5 Ltr")</f>
        <v>Steele 1.5 Ltr</v>
      </c>
      <c r="E21" s="9" t="str">
        <f>IFERROR(__xludf.DUMMYFUNCTION("""COMPUTED_VALUE"""),"Pcs")</f>
        <v>Pcs</v>
      </c>
      <c r="F21" s="10">
        <f>IFERROR(__xludf.DUMMYFUNCTION("""COMPUTED_VALUE"""),100.0)</f>
        <v>100</v>
      </c>
      <c r="G21" s="11">
        <f>IFERROR(__xludf.DUMMYFUNCTION("""COMPUTED_VALUE"""),27.0)</f>
        <v>27</v>
      </c>
      <c r="H21" s="12">
        <f>IFERROR(__xludf.DUMMYFUNCTION("""COMPUTED_VALUE"""),6.0)</f>
        <v>6</v>
      </c>
      <c r="I21" s="12">
        <f>IFERROR(__xludf.DUMMYFUNCTION("""COMPUTED_VALUE"""),45.0)</f>
        <v>45</v>
      </c>
      <c r="J21" s="1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1" s="13" t="str">
        <f>IFERROR(__xludf.DUMMYFUNCTION("""COMPUTED_VALUE"""),"agl.mailout@gmail.com")</f>
        <v>agl.mailout@gmail.com</v>
      </c>
      <c r="L21" s="13" t="str">
        <f>IFERROR(__xludf.DUMMYFUNCTION("""COMPUTED_VALUE"""),"gaurav@msambikaglobal.in")</f>
        <v>gaurav@msambikaglobal.in</v>
      </c>
      <c r="M21" s="13" t="str">
        <f>IFERROR(__xludf.DUMMYFUNCTION("""COMPUTED_VALUE"""),"ST1500-202")</f>
        <v>ST1500-202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8.25" customHeight="1">
      <c r="A22" s="6" t="str">
        <f>IFERROR(__xludf.DUMMYFUNCTION("""COMPUTED_VALUE"""),"Versuni India Home Solutions Limited")</f>
        <v>Versuni India Home Solutions Limited</v>
      </c>
      <c r="B22" s="7" t="str">
        <f>IFERROR(__xludf.DUMMYFUNCTION("""COMPUTED_VALUE"""),"Tamilnadu")</f>
        <v>Tamilnadu</v>
      </c>
      <c r="C22" s="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2" s="9" t="str">
        <f>IFERROR(__xludf.DUMMYFUNCTION("""COMPUTED_VALUE"""),"Steele 1.0 Ltr")</f>
        <v>Steele 1.0 Ltr</v>
      </c>
      <c r="E22" s="9" t="str">
        <f>IFERROR(__xludf.DUMMYFUNCTION("""COMPUTED_VALUE"""),"Pcs")</f>
        <v>Pcs</v>
      </c>
      <c r="F22" s="10">
        <f>IFERROR(__xludf.DUMMYFUNCTION("""COMPUTED_VALUE"""),100.0)</f>
        <v>100</v>
      </c>
      <c r="G22" s="11">
        <f>IFERROR(__xludf.DUMMYFUNCTION("""COMPUTED_VALUE"""),18.7)</f>
        <v>18.7</v>
      </c>
      <c r="H22" s="12">
        <f>IFERROR(__xludf.DUMMYFUNCTION("""COMPUTED_VALUE"""),6.0)</f>
        <v>6</v>
      </c>
      <c r="I22" s="12">
        <f>IFERROR(__xludf.DUMMYFUNCTION("""COMPUTED_VALUE"""),45.0)</f>
        <v>45</v>
      </c>
      <c r="J22" s="1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2" s="13" t="str">
        <f>IFERROR(__xludf.DUMMYFUNCTION("""COMPUTED_VALUE"""),"agl.mailout@gmail.com")</f>
        <v>agl.mailout@gmail.com</v>
      </c>
      <c r="L22" s="13" t="str">
        <f>IFERROR(__xludf.DUMMYFUNCTION("""COMPUTED_VALUE"""),"gaurav@msambikaglobal.in")</f>
        <v>gaurav@msambikaglobal.in</v>
      </c>
      <c r="M22" s="13" t="str">
        <f>IFERROR(__xludf.DUMMYFUNCTION("""COMPUTED_VALUE"""),"ST1000-202")</f>
        <v>ST1000-202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38.25" customHeight="1">
      <c r="A23" s="6" t="str">
        <f>IFERROR(__xludf.DUMMYFUNCTION("""COMPUTED_VALUE"""),"Versuni India Home Solutions Limited")</f>
        <v>Versuni India Home Solutions Limited</v>
      </c>
      <c r="B23" s="7" t="str">
        <f>IFERROR(__xludf.DUMMYFUNCTION("""COMPUTED_VALUE"""),"Tamilnadu")</f>
        <v>Tamilnadu</v>
      </c>
      <c r="C23" s="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3" s="9" t="str">
        <f>IFERROR(__xludf.DUMMYFUNCTION("""COMPUTED_VALUE"""),"Galaxy 1.5 Ltr")</f>
        <v>Galaxy 1.5 Ltr</v>
      </c>
      <c r="E23" s="9" t="str">
        <f>IFERROR(__xludf.DUMMYFUNCTION("""COMPUTED_VALUE"""),"Pcs")</f>
        <v>Pcs</v>
      </c>
      <c r="F23" s="10">
        <f>IFERROR(__xludf.DUMMYFUNCTION("""COMPUTED_VALUE"""),100.0)</f>
        <v>100</v>
      </c>
      <c r="G23" s="11">
        <f>IFERROR(__xludf.DUMMYFUNCTION("""COMPUTED_VALUE"""),27.0)</f>
        <v>27</v>
      </c>
      <c r="H23" s="12">
        <f>IFERROR(__xludf.DUMMYFUNCTION("""COMPUTED_VALUE"""),6.0)</f>
        <v>6</v>
      </c>
      <c r="I23" s="12">
        <f>IFERROR(__xludf.DUMMYFUNCTION("""COMPUTED_VALUE"""),45.0)</f>
        <v>45</v>
      </c>
      <c r="J23" s="1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3" s="13" t="str">
        <f>IFERROR(__xludf.DUMMYFUNCTION("""COMPUTED_VALUE"""),"agl.mailout@gmail.com")</f>
        <v>agl.mailout@gmail.com</v>
      </c>
      <c r="L23" s="13" t="str">
        <f>IFERROR(__xludf.DUMMYFUNCTION("""COMPUTED_VALUE"""),"gaurav@msambikaglobal.in")</f>
        <v>gaurav@msambikaglobal.in</v>
      </c>
      <c r="M23" s="13" t="str">
        <f>IFERROR(__xludf.DUMMYFUNCTION("""COMPUTED_VALUE"""),"GX1500-202")</f>
        <v>GX1500-202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8.25" customHeight="1">
      <c r="A24" s="6" t="str">
        <f>IFERROR(__xludf.DUMMYFUNCTION("""COMPUTED_VALUE"""),"Versuni India Home Solutions Limited")</f>
        <v>Versuni India Home Solutions Limited</v>
      </c>
      <c r="B24" s="7" t="str">
        <f>IFERROR(__xludf.DUMMYFUNCTION("""COMPUTED_VALUE"""),"Tamilnadu")</f>
        <v>Tamilnadu</v>
      </c>
      <c r="C24" s="8" t="str">
        <f>IFERROR(__xludf.DUMMYFUNCTION("""COMPUTED_VALUE"""),"Old R. S. No. 1526 Present R. S. No. 1526/1,2,3
Thaiyur B Village, Chengalpattu Taluk,
Kancheepuram Dist - 603103
TAMILNADU, INDIA")</f>
        <v>Old R. S. No. 1526 Present R. S. No. 1526/1,2,3
Thaiyur B Village, Chengalpattu Taluk,
Kancheepuram Dist - 603103
TAMILNADU, INDIA</v>
      </c>
      <c r="D24" s="9" t="str">
        <f>IFERROR(__xludf.DUMMYFUNCTION("""COMPUTED_VALUE"""),"Galaxy 1.0 Ltr")</f>
        <v>Galaxy 1.0 Ltr</v>
      </c>
      <c r="E24" s="9" t="str">
        <f>IFERROR(__xludf.DUMMYFUNCTION("""COMPUTED_VALUE"""),"Pcs")</f>
        <v>Pcs</v>
      </c>
      <c r="F24" s="10">
        <f>IFERROR(__xludf.DUMMYFUNCTION("""COMPUTED_VALUE"""),100.0)</f>
        <v>100</v>
      </c>
      <c r="G24" s="11">
        <f>IFERROR(__xludf.DUMMYFUNCTION("""COMPUTED_VALUE"""),18.7)</f>
        <v>18.7</v>
      </c>
      <c r="H24" s="12">
        <f>IFERROR(__xludf.DUMMYFUNCTION("""COMPUTED_VALUE"""),6.0)</f>
        <v>6</v>
      </c>
      <c r="I24" s="12">
        <f>IFERROR(__xludf.DUMMYFUNCTION("""COMPUTED_VALUE"""),45.0)</f>
        <v>45</v>
      </c>
      <c r="J24" s="13" t="str">
        <f>IFERROR(__xludf.DUMMYFUNCTION("""COMPUTED_VALUE"""),"abrahamkurian223@gmail.com,abrahamkurian88@gmail.com,purchasetbr@preethi.in,suresh.k@preethi.in")</f>
        <v>abrahamkurian223@gmail.com,abrahamkurian88@gmail.com,purchasetbr@preethi.in,suresh.k@preethi.in</v>
      </c>
      <c r="K24" s="13" t="str">
        <f>IFERROR(__xludf.DUMMYFUNCTION("""COMPUTED_VALUE"""),"agl.mailout@gmail.com")</f>
        <v>agl.mailout@gmail.com</v>
      </c>
      <c r="L24" s="13" t="str">
        <f>IFERROR(__xludf.DUMMYFUNCTION("""COMPUTED_VALUE"""),"gaurav@msambikaglobal.in")</f>
        <v>gaurav@msambikaglobal.in</v>
      </c>
      <c r="M24" s="13" t="str">
        <f>IFERROR(__xludf.DUMMYFUNCTION("""COMPUTED_VALUE"""),"GX1000-202")</f>
        <v>GX1000-202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8.25" customHeight="1">
      <c r="A25" s="6" t="str">
        <f>IFERROR(__xludf.DUMMYFUNCTION("""COMPUTED_VALUE"""),"Maya Appliances Pvt. Ltd.")</f>
        <v>Maya Appliances Pvt. Ltd.</v>
      </c>
      <c r="B25" s="7" t="str">
        <f>IFERROR(__xludf.DUMMYFUNCTION("""COMPUTED_VALUE"""),"Tamilnadu")</f>
        <v>Tamilnadu</v>
      </c>
      <c r="C25" s="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5" s="9" t="str">
        <f>IFERROR(__xludf.DUMMYFUNCTION("""COMPUTED_VALUE"""),"Bowl 2.0 Ltr")</f>
        <v>Bowl 2.0 Ltr</v>
      </c>
      <c r="E25" s="9" t="str">
        <f>IFERROR(__xludf.DUMMYFUNCTION("""COMPUTED_VALUE"""),"Pcs")</f>
        <v>Pcs</v>
      </c>
      <c r="F25" s="10">
        <f>IFERROR(__xludf.DUMMYFUNCTION("""COMPUTED_VALUE"""),72.0)</f>
        <v>72</v>
      </c>
      <c r="G25" s="11">
        <f>IFERROR(__xludf.DUMMYFUNCTION("""COMPUTED_VALUE"""),26.0)</f>
        <v>26</v>
      </c>
      <c r="H25" s="12">
        <f>IFERROR(__xludf.DUMMYFUNCTION("""COMPUTED_VALUE"""),5.0)</f>
        <v>5</v>
      </c>
      <c r="I25" s="12">
        <f>IFERROR(__xludf.DUMMYFUNCTION("""COMPUTED_VALUE"""),30.0)</f>
        <v>30</v>
      </c>
      <c r="J25" s="1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5" s="13" t="str">
        <f>IFERROR(__xludf.DUMMYFUNCTION("""COMPUTED_VALUE"""),"agl.mailout@gmail.com")</f>
        <v>agl.mailout@gmail.com</v>
      </c>
      <c r="L25" s="13" t="str">
        <f>IFERROR(__xludf.DUMMYFUNCTION("""COMPUTED_VALUE"""),"gaurav@msambikaglobal.in")</f>
        <v>gaurav@msambikaglobal.in</v>
      </c>
      <c r="M25" s="13" t="str">
        <f>IFERROR(__xludf.DUMMYFUNCTION("""COMPUTED_VALUE"""),"BO2000-202")</f>
        <v>BO2000-202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8.25" customHeight="1">
      <c r="A26" s="6" t="str">
        <f>IFERROR(__xludf.DUMMYFUNCTION("""COMPUTED_VALUE"""),"Maya Appliances Pvt. Ltd.")</f>
        <v>Maya Appliances Pvt. Ltd.</v>
      </c>
      <c r="B26" s="7" t="str">
        <f>IFERROR(__xludf.DUMMYFUNCTION("""COMPUTED_VALUE"""),"Tamilnadu")</f>
        <v>Tamilnadu</v>
      </c>
      <c r="C26" s="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6" s="9" t="str">
        <f>IFERROR(__xludf.DUMMYFUNCTION("""COMPUTED_VALUE"""),"Taper Jar - Bidding 1.5 Ltr")</f>
        <v>Taper Jar - Bidding 1.5 Ltr</v>
      </c>
      <c r="E26" s="9" t="str">
        <f>IFERROR(__xludf.DUMMYFUNCTION("""COMPUTED_VALUE"""),"Pcs")</f>
        <v>Pcs</v>
      </c>
      <c r="F26" s="10">
        <f>IFERROR(__xludf.DUMMYFUNCTION("""COMPUTED_VALUE"""),100.0)</f>
        <v>100</v>
      </c>
      <c r="G26" s="11">
        <f>IFERROR(__xludf.DUMMYFUNCTION("""COMPUTED_VALUE"""),27.4)</f>
        <v>27.4</v>
      </c>
      <c r="H26" s="12">
        <f>IFERROR(__xludf.DUMMYFUNCTION("""COMPUTED_VALUE"""),5.0)</f>
        <v>5</v>
      </c>
      <c r="I26" s="12">
        <f>IFERROR(__xludf.DUMMYFUNCTION("""COMPUTED_VALUE"""),30.0)</f>
        <v>30</v>
      </c>
      <c r="J26" s="1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6" s="13" t="str">
        <f>IFERROR(__xludf.DUMMYFUNCTION("""COMPUTED_VALUE"""),"agl.mailout@gmail.com")</f>
        <v>agl.mailout@gmail.com</v>
      </c>
      <c r="L26" s="13" t="str">
        <f>IFERROR(__xludf.DUMMYFUNCTION("""COMPUTED_VALUE"""),"gaurav@msambikaglobal.in")</f>
        <v>gaurav@msambikaglobal.in</v>
      </c>
      <c r="M26" s="13" t="str">
        <f>IFERROR(__xludf.DUMMYFUNCTION("""COMPUTED_VALUE"""),"TB1500-204")</f>
        <v>TB1500-204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38.25" customHeight="1">
      <c r="A27" s="6" t="str">
        <f>IFERROR(__xludf.DUMMYFUNCTION("""COMPUTED_VALUE"""),"Maya Appliances Pvt. Ltd.")</f>
        <v>Maya Appliances Pvt. Ltd.</v>
      </c>
      <c r="B27" s="7" t="str">
        <f>IFERROR(__xludf.DUMMYFUNCTION("""COMPUTED_VALUE"""),"Tamilnadu")</f>
        <v>Tamilnadu</v>
      </c>
      <c r="C27" s="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7" s="9" t="str">
        <f>IFERROR(__xludf.DUMMYFUNCTION("""COMPUTED_VALUE"""),"Taper Jar - Bidding 1.0 Ltr")</f>
        <v>Taper Jar - Bidding 1.0 Ltr</v>
      </c>
      <c r="E27" s="9" t="str">
        <f>IFERROR(__xludf.DUMMYFUNCTION("""COMPUTED_VALUE"""),"Pcs")</f>
        <v>Pcs</v>
      </c>
      <c r="F27" s="10">
        <f>IFERROR(__xludf.DUMMYFUNCTION("""COMPUTED_VALUE"""),100.0)</f>
        <v>100</v>
      </c>
      <c r="G27" s="11">
        <f>IFERROR(__xludf.DUMMYFUNCTION("""COMPUTED_VALUE"""),21.2)</f>
        <v>21.2</v>
      </c>
      <c r="H27" s="12">
        <f>IFERROR(__xludf.DUMMYFUNCTION("""COMPUTED_VALUE"""),5.0)</f>
        <v>5</v>
      </c>
      <c r="I27" s="12">
        <f>IFERROR(__xludf.DUMMYFUNCTION("""COMPUTED_VALUE"""),30.0)</f>
        <v>30</v>
      </c>
      <c r="J27" s="1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7" s="13" t="str">
        <f>IFERROR(__xludf.DUMMYFUNCTION("""COMPUTED_VALUE"""),"agl.mailout@gmail.com")</f>
        <v>agl.mailout@gmail.com</v>
      </c>
      <c r="L27" s="13" t="str">
        <f>IFERROR(__xludf.DUMMYFUNCTION("""COMPUTED_VALUE"""),"gaurav@msambikaglobal.in")</f>
        <v>gaurav@msambikaglobal.in</v>
      </c>
      <c r="M27" s="13" t="str">
        <f>IFERROR(__xludf.DUMMYFUNCTION("""COMPUTED_VALUE"""),"TB1000-204")</f>
        <v>TB1000-204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8.25" customHeight="1">
      <c r="A28" s="6" t="str">
        <f>IFERROR(__xludf.DUMMYFUNCTION("""COMPUTED_VALUE"""),"Maya Appliances Pvt. Ltd.")</f>
        <v>Maya Appliances Pvt. Ltd.</v>
      </c>
      <c r="B28" s="7" t="str">
        <f>IFERROR(__xludf.DUMMYFUNCTION("""COMPUTED_VALUE"""),"Tamilnadu")</f>
        <v>Tamilnadu</v>
      </c>
      <c r="C28" s="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8" s="9" t="str">
        <f>IFERROR(__xludf.DUMMYFUNCTION("""COMPUTED_VALUE"""),"Taper Jar - Patti 1.5 Ltr")</f>
        <v>Taper Jar - Patti 1.5 Ltr</v>
      </c>
      <c r="E28" s="9" t="str">
        <f>IFERROR(__xludf.DUMMYFUNCTION("""COMPUTED_VALUE"""),"Pcs")</f>
        <v>Pcs</v>
      </c>
      <c r="F28" s="10">
        <f>IFERROR(__xludf.DUMMYFUNCTION("""COMPUTED_VALUE"""),100.0)</f>
        <v>100</v>
      </c>
      <c r="G28" s="11">
        <f>IFERROR(__xludf.DUMMYFUNCTION("""COMPUTED_VALUE"""),25.6)</f>
        <v>25.6</v>
      </c>
      <c r="H28" s="12">
        <f>IFERROR(__xludf.DUMMYFUNCTION("""COMPUTED_VALUE"""),5.0)</f>
        <v>5</v>
      </c>
      <c r="I28" s="12">
        <f>IFERROR(__xludf.DUMMYFUNCTION("""COMPUTED_VALUE"""),30.0)</f>
        <v>30</v>
      </c>
      <c r="J28" s="1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8" s="13" t="str">
        <f>IFERROR(__xludf.DUMMYFUNCTION("""COMPUTED_VALUE"""),"agl.mailout@gmail.com")</f>
        <v>agl.mailout@gmail.com</v>
      </c>
      <c r="L28" s="13" t="str">
        <f>IFERROR(__xludf.DUMMYFUNCTION("""COMPUTED_VALUE"""),"gaurav@msambikaglobal.in")</f>
        <v>gaurav@msambikaglobal.in</v>
      </c>
      <c r="M28" s="13" t="str">
        <f>IFERROR(__xludf.DUMMYFUNCTION("""COMPUTED_VALUE"""),"TP1500-202")</f>
        <v>TP1500-202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38.25" customHeight="1">
      <c r="A29" s="6" t="str">
        <f>IFERROR(__xludf.DUMMYFUNCTION("""COMPUTED_VALUE"""),"Maya Appliances Pvt. Ltd.")</f>
        <v>Maya Appliances Pvt. Ltd.</v>
      </c>
      <c r="B29" s="7" t="str">
        <f>IFERROR(__xludf.DUMMYFUNCTION("""COMPUTED_VALUE"""),"Tamilnadu")</f>
        <v>Tamilnadu</v>
      </c>
      <c r="C29" s="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29" s="9" t="str">
        <f>IFERROR(__xludf.DUMMYFUNCTION("""COMPUTED_VALUE"""),"Taper Jar - Patti 1.0 Ltr")</f>
        <v>Taper Jar - Patti 1.0 Ltr</v>
      </c>
      <c r="E29" s="9" t="str">
        <f>IFERROR(__xludf.DUMMYFUNCTION("""COMPUTED_VALUE"""),"Pcs")</f>
        <v>Pcs</v>
      </c>
      <c r="F29" s="10">
        <f>IFERROR(__xludf.DUMMYFUNCTION("""COMPUTED_VALUE"""),100.0)</f>
        <v>100</v>
      </c>
      <c r="G29" s="11">
        <f>IFERROR(__xludf.DUMMYFUNCTION("""COMPUTED_VALUE"""),18.6)</f>
        <v>18.6</v>
      </c>
      <c r="H29" s="12">
        <f>IFERROR(__xludf.DUMMYFUNCTION("""COMPUTED_VALUE"""),5.0)</f>
        <v>5</v>
      </c>
      <c r="I29" s="12">
        <f>IFERROR(__xludf.DUMMYFUNCTION("""COMPUTED_VALUE"""),30.0)</f>
        <v>30</v>
      </c>
      <c r="J29" s="1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29" s="13" t="str">
        <f>IFERROR(__xludf.DUMMYFUNCTION("""COMPUTED_VALUE"""),"agl.mailout@gmail.com")</f>
        <v>agl.mailout@gmail.com</v>
      </c>
      <c r="L29" s="13" t="str">
        <f>IFERROR(__xludf.DUMMYFUNCTION("""COMPUTED_VALUE"""),"gaurav@msambikaglobal.in")</f>
        <v>gaurav@msambikaglobal.in</v>
      </c>
      <c r="M29" s="13" t="str">
        <f>IFERROR(__xludf.DUMMYFUNCTION("""COMPUTED_VALUE"""),"TP1000-202")</f>
        <v>TP1000-202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8.25" customHeight="1">
      <c r="A30" s="6" t="str">
        <f>IFERROR(__xludf.DUMMYFUNCTION("""COMPUTED_VALUE"""),"Maya Appliances Pvt. Ltd.")</f>
        <v>Maya Appliances Pvt. Ltd.</v>
      </c>
      <c r="B30" s="7" t="str">
        <f>IFERROR(__xludf.DUMMYFUNCTION("""COMPUTED_VALUE"""),"Tamilnadu")</f>
        <v>Tamilnadu</v>
      </c>
      <c r="C30" s="8" t="str">
        <f>IFERROR(__xludf.DUMMYFUNCTION("""COMPUTED_VALUE"""),"Survey No. 391/4A, 4B, 4C, 4D, Vengoor Sirungundram Road, Sirungundram Village, Thiruporur Taluk, Chengalpattu District, Sirungundram, Tamilnadu - 603108")</f>
        <v>Survey No. 391/4A, 4B, 4C, 4D, Vengoor Sirungundram Road, Sirungundram Village, Thiruporur Taluk, Chengalpattu District, Sirungundram, Tamilnadu - 603108</v>
      </c>
      <c r="D30" s="9" t="str">
        <f>IFERROR(__xludf.DUMMYFUNCTION("""COMPUTED_VALUE"""),"Taper Jar - Patti 0.750 Ltr")</f>
        <v>Taper Jar - Patti 0.750 Ltr</v>
      </c>
      <c r="E30" s="9" t="str">
        <f>IFERROR(__xludf.DUMMYFUNCTION("""COMPUTED_VALUE"""),"Pcs")</f>
        <v>Pcs</v>
      </c>
      <c r="F30" s="10">
        <f>IFERROR(__xludf.DUMMYFUNCTION("""COMPUTED_VALUE"""),100.0)</f>
        <v>100</v>
      </c>
      <c r="G30" s="11">
        <f>IFERROR(__xludf.DUMMYFUNCTION("""COMPUTED_VALUE"""),15.9)</f>
        <v>15.9</v>
      </c>
      <c r="H30" s="12">
        <f>IFERROR(__xludf.DUMMYFUNCTION("""COMPUTED_VALUE"""),5.0)</f>
        <v>5</v>
      </c>
      <c r="I30" s="12">
        <f>IFERROR(__xludf.DUMMYFUNCTION("""COMPUTED_VALUE"""),30.0)</f>
        <v>30</v>
      </c>
      <c r="J30" s="13" t="str">
        <f>IFERROR(__xludf.DUMMYFUNCTION("""COMPUTED_VALUE"""),"purchase@mayaappliances.com,karthikeyan.k@mayaappliances.com,Krishnamurthy.k@mayaappliances.com")</f>
        <v>purchase@mayaappliances.com,karthikeyan.k@mayaappliances.com,Krishnamurthy.k@mayaappliances.com</v>
      </c>
      <c r="K30" s="13" t="str">
        <f>IFERROR(__xludf.DUMMYFUNCTION("""COMPUTED_VALUE"""),"agl.mailout@gmail.com")</f>
        <v>agl.mailout@gmail.com</v>
      </c>
      <c r="L30" s="13" t="str">
        <f>IFERROR(__xludf.DUMMYFUNCTION("""COMPUTED_VALUE"""),"gaurav@msambikaglobal.in")</f>
        <v>gaurav@msambikaglobal.in</v>
      </c>
      <c r="M30" s="13" t="str">
        <f>IFERROR(__xludf.DUMMYFUNCTION("""COMPUTED_VALUE"""),"TP0750-202")</f>
        <v>TP0750-202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6" t="str">
        <f>IFERROR(__xludf.DUMMYFUNCTION("""COMPUTED_VALUE"""),"Atomberg Technologies Pvt. Ltd.")</f>
        <v>Atomberg Technologies Pvt. Ltd.</v>
      </c>
      <c r="B31" s="7" t="str">
        <f>IFERROR(__xludf.DUMMYFUNCTION("""COMPUTED_VALUE"""),"Pune")</f>
        <v>Pune</v>
      </c>
      <c r="C31" s="8" t="str">
        <f>IFERROR(__xludf.DUMMYFUNCTION("""COMPUTED_VALUE"""),"Plot No. 15, S. No.234/1 To 4/6/7/235/6, To 9/245/1 To 3, Village-Hinjewadi, Hpqh'+H53, Phase 1, Hinjewadi Rajiv, Village-Hinjawadi, Pune - 411057")</f>
        <v>Plot No. 15, S. No.234/1 To 4/6/7/235/6, To 9/245/1 To 3, Village-Hinjewadi, Hpqh'+H53, Phase 1, Hinjewadi Rajiv, Village-Hinjawadi, Pune - 411057</v>
      </c>
      <c r="D31" s="9" t="str">
        <f>IFERROR(__xludf.DUMMYFUNCTION("""COMPUTED_VALUE"""),"MA Wet Jar")</f>
        <v>MA Wet Jar</v>
      </c>
      <c r="E31" s="9" t="str">
        <f>IFERROR(__xludf.DUMMYFUNCTION("""COMPUTED_VALUE"""),"Pcs")</f>
        <v>Pcs</v>
      </c>
      <c r="F31" s="10">
        <f>IFERROR(__xludf.DUMMYFUNCTION("""COMPUTED_VALUE"""),64.0)</f>
        <v>64</v>
      </c>
      <c r="G31" s="11">
        <f>IFERROR(__xludf.DUMMYFUNCTION("""COMPUTED_VALUE"""),19.2)</f>
        <v>19.2</v>
      </c>
      <c r="H31" s="12">
        <f>IFERROR(__xludf.DUMMYFUNCTION("""COMPUTED_VALUE"""),4.0)</f>
        <v>4</v>
      </c>
      <c r="I31" s="12">
        <f>IFERROR(__xludf.DUMMYFUNCTION("""COMPUTED_VALUE"""),30.0)</f>
        <v>30</v>
      </c>
      <c r="J31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1" s="13" t="str">
        <f>IFERROR(__xludf.DUMMYFUNCTION("""COMPUTED_VALUE"""),"agl.mailout@gmail.com")</f>
        <v>agl.mailout@gmail.com</v>
      </c>
      <c r="L31" s="13" t="str">
        <f>IFERROR(__xludf.DUMMYFUNCTION("""COMPUTED_VALUE"""),"gaurav@msambikaglobal.in")</f>
        <v>gaurav@msambikaglobal.in</v>
      </c>
      <c r="M31" s="13" t="str">
        <f>IFERROR(__xludf.DUMMYFUNCTION("""COMPUTED_VALUE"""),"MA1500-204")</f>
        <v>MA1500-204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6" t="str">
        <f>IFERROR(__xludf.DUMMYFUNCTION("""COMPUTED_VALUE"""),"Atomberg Technologies Pvt. Ltd.")</f>
        <v>Atomberg Technologies Pvt. Ltd.</v>
      </c>
      <c r="B32" s="7" t="str">
        <f>IFERROR(__xludf.DUMMYFUNCTION("""COMPUTED_VALUE"""),"Pune")</f>
        <v>Pune</v>
      </c>
      <c r="C32" s="8" t="str">
        <f>IFERROR(__xludf.DUMMYFUNCTION("""COMPUTED_VALUE"""),"Plot No. 15, S. No.234/1 To 4/6/7/235/6, To 9/245/1 To 3, Village-Hinjewadi, Hpqh'+H53, Phase 1, Hinjewadi Rajiv, Village-Hinjawadi, Pune - 411057")</f>
        <v>Plot No. 15, S. No.234/1 To 4/6/7/235/6, To 9/245/1 To 3, Village-Hinjewadi, Hpqh'+H53, Phase 1, Hinjewadi Rajiv, Village-Hinjawadi, Pune - 411057</v>
      </c>
      <c r="D32" s="9" t="str">
        <f>IFERROR(__xludf.DUMMYFUNCTION("""COMPUTED_VALUE"""),"MA Dry Jar")</f>
        <v>MA Dry Jar</v>
      </c>
      <c r="E32" s="9" t="str">
        <f>IFERROR(__xludf.DUMMYFUNCTION("""COMPUTED_VALUE"""),"Pcs")</f>
        <v>Pcs</v>
      </c>
      <c r="F32" s="10">
        <f>IFERROR(__xludf.DUMMYFUNCTION("""COMPUTED_VALUE"""),48.0)</f>
        <v>48</v>
      </c>
      <c r="G32" s="11">
        <f>IFERROR(__xludf.DUMMYFUNCTION("""COMPUTED_VALUE"""),12.5)</f>
        <v>12.5</v>
      </c>
      <c r="H32" s="12">
        <f>IFERROR(__xludf.DUMMYFUNCTION("""COMPUTED_VALUE"""),4.0)</f>
        <v>4</v>
      </c>
      <c r="I32" s="12">
        <f>IFERROR(__xludf.DUMMYFUNCTION("""COMPUTED_VALUE"""),30.0)</f>
        <v>30</v>
      </c>
      <c r="J32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2" s="13" t="str">
        <f>IFERROR(__xludf.DUMMYFUNCTION("""COMPUTED_VALUE"""),"agl.mailout@gmail.com")</f>
        <v>agl.mailout@gmail.com</v>
      </c>
      <c r="L32" s="13" t="str">
        <f>IFERROR(__xludf.DUMMYFUNCTION("""COMPUTED_VALUE"""),"gaurav@msambikaglobal.in")</f>
        <v>gaurav@msambikaglobal.in</v>
      </c>
      <c r="M32" s="13" t="str">
        <f>IFERROR(__xludf.DUMMYFUNCTION("""COMPUTED_VALUE"""),"MA1000-204")</f>
        <v>MA1000-204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6" t="str">
        <f>IFERROR(__xludf.DUMMYFUNCTION("""COMPUTED_VALUE"""),"Atomberg Technologies Pvt. Ltd.")</f>
        <v>Atomberg Technologies Pvt. Ltd.</v>
      </c>
      <c r="B33" s="7" t="str">
        <f>IFERROR(__xludf.DUMMYFUNCTION("""COMPUTED_VALUE"""),"Pune")</f>
        <v>Pune</v>
      </c>
      <c r="C33" s="8" t="str">
        <f>IFERROR(__xludf.DUMMYFUNCTION("""COMPUTED_VALUE"""),"Plot No. 15, S. No.234/1 To 4/6/7/235/6, To 9/245/1 To 3, Village-Hinjewadi, Hpqh'+H53, Phase 1, Hinjewadi Rajiv, Village-Hinjawadi, Pune - 411057")</f>
        <v>Plot No. 15, S. No.234/1 To 4/6/7/235/6, To 9/245/1 To 3, Village-Hinjewadi, Hpqh'+H53, Phase 1, Hinjewadi Rajiv, Village-Hinjawadi, Pune - 411057</v>
      </c>
      <c r="D33" s="9" t="str">
        <f>IFERROR(__xludf.DUMMYFUNCTION("""COMPUTED_VALUE"""),"MG 1.1 Jar Draw Tools")</f>
        <v>MG 1.1 Jar Draw Tools</v>
      </c>
      <c r="E33" s="9" t="str">
        <f>IFERROR(__xludf.DUMMYFUNCTION("""COMPUTED_VALUE"""),"Pcs")</f>
        <v>Pcs</v>
      </c>
      <c r="F33" s="10"/>
      <c r="G33" s="11"/>
      <c r="H33" s="12">
        <f>IFERROR(__xludf.DUMMYFUNCTION("""COMPUTED_VALUE"""),4.0)</f>
        <v>4</v>
      </c>
      <c r="I33" s="12">
        <f>IFERROR(__xludf.DUMMYFUNCTION("""COMPUTED_VALUE"""),30.0)</f>
        <v>30</v>
      </c>
      <c r="J33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3" s="13" t="str">
        <f>IFERROR(__xludf.DUMMYFUNCTION("""COMPUTED_VALUE"""),"agl.mailout@gmail.com")</f>
        <v>agl.mailout@gmail.com</v>
      </c>
      <c r="L33" s="13" t="str">
        <f>IFERROR(__xludf.DUMMYFUNCTION("""COMPUTED_VALUE"""),"gaurav@msambikaglobal.in")</f>
        <v>gaurav@msambikaglobal.in</v>
      </c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6" t="str">
        <f>IFERROR(__xludf.DUMMYFUNCTION("""COMPUTED_VALUE"""),"Atomberg Technologies Pvt. Ltd.")</f>
        <v>Atomberg Technologies Pvt. Ltd.</v>
      </c>
      <c r="B34" s="7" t="str">
        <f>IFERROR(__xludf.DUMMYFUNCTION("""COMPUTED_VALUE"""),"Chakan")</f>
        <v>Chakan</v>
      </c>
      <c r="C34" s="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4" s="9" t="str">
        <f>IFERROR(__xludf.DUMMYFUNCTION("""COMPUTED_VALUE"""),"MA Chutney Jar")</f>
        <v>MA Chutney Jar</v>
      </c>
      <c r="E34" s="9" t="str">
        <f>IFERROR(__xludf.DUMMYFUNCTION("""COMPUTED_VALUE"""),"Pcs")</f>
        <v>Pcs</v>
      </c>
      <c r="F34" s="10">
        <f>IFERROR(__xludf.DUMMYFUNCTION("""COMPUTED_VALUE"""),120.0)</f>
        <v>120</v>
      </c>
      <c r="G34" s="11">
        <f>IFERROR(__xludf.DUMMYFUNCTION("""COMPUTED_VALUE"""),18.4)</f>
        <v>18.4</v>
      </c>
      <c r="H34" s="12">
        <f>IFERROR(__xludf.DUMMYFUNCTION("""COMPUTED_VALUE"""),4.0)</f>
        <v>4</v>
      </c>
      <c r="I34" s="12">
        <f>IFERROR(__xludf.DUMMYFUNCTION("""COMPUTED_VALUE"""),30.0)</f>
        <v>30</v>
      </c>
      <c r="J34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4" s="13" t="str">
        <f>IFERROR(__xludf.DUMMYFUNCTION("""COMPUTED_VALUE"""),"agl.mailout@gmail.com")</f>
        <v>agl.mailout@gmail.com</v>
      </c>
      <c r="L34" s="13" t="str">
        <f>IFERROR(__xludf.DUMMYFUNCTION("""COMPUTED_VALUE"""),"gaurav@msambikaglobal.in")</f>
        <v>gaurav@msambikaglobal.in</v>
      </c>
      <c r="M34" s="13" t="str">
        <f>IFERROR(__xludf.DUMMYFUNCTION("""COMPUTED_VALUE"""),"MA0400-204")</f>
        <v>MA0400-204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6" t="str">
        <f>IFERROR(__xludf.DUMMYFUNCTION("""COMPUTED_VALUE"""),"Atomberg Technologies Pvt. Ltd.")</f>
        <v>Atomberg Technologies Pvt. Ltd.</v>
      </c>
      <c r="B35" s="7" t="str">
        <f>IFERROR(__xludf.DUMMYFUNCTION("""COMPUTED_VALUE"""),"Chakan")</f>
        <v>Chakan</v>
      </c>
      <c r="C35" s="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5" s="9" t="str">
        <f>IFERROR(__xludf.DUMMYFUNCTION("""COMPUTED_VALUE"""),"MG 1.1 Wet Jar")</f>
        <v>MG 1.1 Wet Jar</v>
      </c>
      <c r="E35" s="9" t="str">
        <f>IFERROR(__xludf.DUMMYFUNCTION("""COMPUTED_VALUE"""),"Pcs")</f>
        <v>Pcs</v>
      </c>
      <c r="F35" s="10">
        <f>IFERROR(__xludf.DUMMYFUNCTION("""COMPUTED_VALUE"""),64.0)</f>
        <v>64</v>
      </c>
      <c r="G35" s="11">
        <f>IFERROR(__xludf.DUMMYFUNCTION("""COMPUTED_VALUE"""),22.5)</f>
        <v>22.5</v>
      </c>
      <c r="H35" s="12">
        <f>IFERROR(__xludf.DUMMYFUNCTION("""COMPUTED_VALUE"""),4.0)</f>
        <v>4</v>
      </c>
      <c r="I35" s="12">
        <f>IFERROR(__xludf.DUMMYFUNCTION("""COMPUTED_VALUE"""),30.0)</f>
        <v>30</v>
      </c>
      <c r="J35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5" s="13" t="str">
        <f>IFERROR(__xludf.DUMMYFUNCTION("""COMPUTED_VALUE"""),"agl.mailout@gmail.com")</f>
        <v>agl.mailout@gmail.com</v>
      </c>
      <c r="L35" s="13" t="str">
        <f>IFERROR(__xludf.DUMMYFUNCTION("""COMPUTED_VALUE"""),"gaurav@msambikaglobal.in")</f>
        <v>gaurav@msambikaglobal.in</v>
      </c>
      <c r="M35" s="13" t="str">
        <f>IFERROR(__xludf.DUMMYFUNCTION("""COMPUTED_VALUE"""),"MG1650-204")</f>
        <v>MG1650-204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6" t="str">
        <f>IFERROR(__xludf.DUMMYFUNCTION("""COMPUTED_VALUE"""),"Atomberg Technologies Pvt. Ltd.")</f>
        <v>Atomberg Technologies Pvt. Ltd.</v>
      </c>
      <c r="B36" s="7" t="str">
        <f>IFERROR(__xludf.DUMMYFUNCTION("""COMPUTED_VALUE"""),"Chakan")</f>
        <v>Chakan</v>
      </c>
      <c r="C36" s="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6" s="9" t="str">
        <f>IFERROR(__xludf.DUMMYFUNCTION("""COMPUTED_VALUE"""),"MG 1.1 Dry Jar")</f>
        <v>MG 1.1 Dry Jar</v>
      </c>
      <c r="E36" s="9" t="str">
        <f>IFERROR(__xludf.DUMMYFUNCTION("""COMPUTED_VALUE"""),"Pcs")</f>
        <v>Pcs</v>
      </c>
      <c r="F36" s="10">
        <f>IFERROR(__xludf.DUMMYFUNCTION("""COMPUTED_VALUE"""),48.0)</f>
        <v>48</v>
      </c>
      <c r="G36" s="11">
        <f>IFERROR(__xludf.DUMMYFUNCTION("""COMPUTED_VALUE"""),17.0)</f>
        <v>17</v>
      </c>
      <c r="H36" s="12">
        <f>IFERROR(__xludf.DUMMYFUNCTION("""COMPUTED_VALUE"""),4.0)</f>
        <v>4</v>
      </c>
      <c r="I36" s="12">
        <f>IFERROR(__xludf.DUMMYFUNCTION("""COMPUTED_VALUE"""),30.0)</f>
        <v>30</v>
      </c>
      <c r="J36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6" s="13" t="str">
        <f>IFERROR(__xludf.DUMMYFUNCTION("""COMPUTED_VALUE"""),"agl.mailout@gmail.com")</f>
        <v>agl.mailout@gmail.com</v>
      </c>
      <c r="L36" s="13" t="str">
        <f>IFERROR(__xludf.DUMMYFUNCTION("""COMPUTED_VALUE"""),"gaurav@msambikaglobal.in")</f>
        <v>gaurav@msambikaglobal.in</v>
      </c>
      <c r="M36" s="13" t="str">
        <f>IFERROR(__xludf.DUMMYFUNCTION("""COMPUTED_VALUE"""),"MG1100-204")</f>
        <v>MG1100-204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6" t="str">
        <f>IFERROR(__xludf.DUMMYFUNCTION("""COMPUTED_VALUE"""),"Atomberg Technologies Pvt. Ltd.")</f>
        <v>Atomberg Technologies Pvt. Ltd.</v>
      </c>
      <c r="B37" s="7" t="str">
        <f>IFERROR(__xludf.DUMMYFUNCTION("""COMPUTED_VALUE"""),"Chakan")</f>
        <v>Chakan</v>
      </c>
      <c r="C37" s="8" t="str">
        <f>IFERROR(__xludf.DUMMYFUNCTION("""COMPUTED_VALUE"""),"Plant 1030 Chakan,Mind Space Shelters Llp/Vithai Developer s Llp, Gate No 51-59, Bhamboli, Chakan,Pune - 410507, Maharashtra, India.")</f>
        <v>Plant 1030 Chakan,Mind Space Shelters Llp/Vithai Developer s Llp, Gate No 51-59, Bhamboli, Chakan,Pune - 410507, Maharashtra, India.</v>
      </c>
      <c r="D37" s="9" t="str">
        <f>IFERROR(__xludf.DUMMYFUNCTION("""COMPUTED_VALUE"""),"MG 1.1 Chutney Jar")</f>
        <v>MG 1.1 Chutney Jar</v>
      </c>
      <c r="E37" s="9" t="str">
        <f>IFERROR(__xludf.DUMMYFUNCTION("""COMPUTED_VALUE"""),"Pcs")</f>
        <v>Pcs</v>
      </c>
      <c r="F37" s="10">
        <f>IFERROR(__xludf.DUMMYFUNCTION("""COMPUTED_VALUE"""),120.0)</f>
        <v>120</v>
      </c>
      <c r="G37" s="11">
        <f>IFERROR(__xludf.DUMMYFUNCTION("""COMPUTED_VALUE"""),20.5)</f>
        <v>20.5</v>
      </c>
      <c r="H37" s="12">
        <f>IFERROR(__xludf.DUMMYFUNCTION("""COMPUTED_VALUE"""),4.0)</f>
        <v>4</v>
      </c>
      <c r="I37" s="12">
        <f>IFERROR(__xludf.DUMMYFUNCTION("""COMPUTED_VALUE"""),30.0)</f>
        <v>30</v>
      </c>
      <c r="J37" s="13" t="str">
        <f>IFERROR(__xludf.DUMMYFUNCTION("""COMPUTED_VALUE"""),"kushagra.tiwari@atomberg.com,saraf.swapnil@atomberg.com,singh.anurag@atomberg.com,store@atomberg.com,nikhil.kharade@atomberg.com,himanshu.pathak@atomberg.com")</f>
        <v>kushagra.tiwari@atomberg.com,saraf.swapnil@atomberg.com,singh.anurag@atomberg.com,store@atomberg.com,nikhil.kharade@atomberg.com,himanshu.pathak@atomberg.com</v>
      </c>
      <c r="K37" s="13" t="str">
        <f>IFERROR(__xludf.DUMMYFUNCTION("""COMPUTED_VALUE"""),"agl.mailout@gmail.com")</f>
        <v>agl.mailout@gmail.com</v>
      </c>
      <c r="L37" s="13" t="str">
        <f>IFERROR(__xludf.DUMMYFUNCTION("""COMPUTED_VALUE"""),"gaurav@msambikaglobal.in")</f>
        <v>gaurav@msambikaglobal.in</v>
      </c>
      <c r="M37" s="13" t="str">
        <f>IFERROR(__xludf.DUMMYFUNCTION("""COMPUTED_VALUE"""),"MG0500-204")</f>
        <v>MG0500-204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6" t="str">
        <f>IFERROR(__xludf.DUMMYFUNCTION("""COMPUTED_VALUE"""),"Shree Shetrapal Metal Corporation")</f>
        <v>Shree Shetrapal Metal Corporation</v>
      </c>
      <c r="B38" s="7" t="str">
        <f>IFERROR(__xludf.DUMMYFUNCTION("""COMPUTED_VALUE"""),"Bhayander")</f>
        <v>Bhayander</v>
      </c>
      <c r="C38" s="8" t="str">
        <f>IFERROR(__xludf.DUMMYFUNCTION("""COMPUTED_VALUE"""),"Gala No.2, Para Industrial Estate, Navghar Phatak Road, Bhayander  (E) Thane - 401 105")</f>
        <v>Gala No.2, Para Industrial Estate, Navghar Phatak Road, Bhayander  (E) Thane - 401 105</v>
      </c>
      <c r="D38" s="9" t="str">
        <f>IFERROR(__xludf.DUMMYFUNCTION("""COMPUTED_VALUE"""),"Scrap")</f>
        <v>Scrap</v>
      </c>
      <c r="E38" s="9" t="str">
        <f>IFERROR(__xludf.DUMMYFUNCTION("""COMPUTED_VALUE"""),"Kgs")</f>
        <v>Kgs</v>
      </c>
      <c r="F38" s="10"/>
      <c r="G38" s="11"/>
      <c r="H38" s="12">
        <f>IFERROR(__xludf.DUMMYFUNCTION("""COMPUTED_VALUE"""),1.0)</f>
        <v>1</v>
      </c>
      <c r="I38" s="12">
        <f>IFERROR(__xludf.DUMMYFUNCTION("""COMPUTED_VALUE"""),3.0)</f>
        <v>3</v>
      </c>
      <c r="J38" s="13" t="str">
        <f>IFERROR(__xludf.DUMMYFUNCTION("""COMPUTED_VALUE"""),"puran8274@gmail.com")</f>
        <v>puran8274@gmail.com</v>
      </c>
      <c r="K38" s="13" t="str">
        <f>IFERROR(__xludf.DUMMYFUNCTION("""COMPUTED_VALUE"""),"agl.mailout@gmail.com")</f>
        <v>agl.mailout@gmail.com</v>
      </c>
      <c r="L38" s="13" t="str">
        <f>IFERROR(__xludf.DUMMYFUNCTION("""COMPUTED_VALUE"""),"gaurav@msambikaglobal.in")</f>
        <v>gaurav@msambikaglobal.in</v>
      </c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6" t="str">
        <f>IFERROR(__xludf.DUMMYFUNCTION("""COMPUTED_VALUE"""),"M. Y. Enginnering Works")</f>
        <v>M. Y. Enginnering Works</v>
      </c>
      <c r="B39" s="7" t="str">
        <f>IFERROR(__xludf.DUMMYFUNCTION("""COMPUTED_VALUE"""),"Pune")</f>
        <v>Pune</v>
      </c>
      <c r="C39" s="8" t="str">
        <f>IFERROR(__xludf.DUMMYFUNCTION("""COMPUTED_VALUE"""),"KRUSHNA HOUSING SOCIETY, GAT NO-154		
TRIVENI NAGAR,TALAWADE, PUNE MAHARASHTRA-411062")</f>
        <v>KRUSHNA HOUSING SOCIETY, GAT NO-154		
TRIVENI NAGAR,TALAWADE, PUNE MAHARASHTRA-411062</v>
      </c>
      <c r="D39" s="9" t="str">
        <f>IFERROR(__xludf.DUMMYFUNCTION("""COMPUTED_VALUE"""),"Maple Jar Inspection Gauges")</f>
        <v>Maple Jar Inspection Gauges</v>
      </c>
      <c r="E39" s="9" t="str">
        <f>IFERROR(__xludf.DUMMYFUNCTION("""COMPUTED_VALUE"""),"Pcs")</f>
        <v>Pcs</v>
      </c>
      <c r="F39" s="10"/>
      <c r="G39" s="11"/>
      <c r="H39" s="12">
        <f>IFERROR(__xludf.DUMMYFUNCTION("""COMPUTED_VALUE"""),1.0)</f>
        <v>1</v>
      </c>
      <c r="I39" s="12">
        <f>IFERROR(__xludf.DUMMYFUNCTION("""COMPUTED_VALUE"""),1.0)</f>
        <v>1</v>
      </c>
      <c r="J39" s="13" t="str">
        <f>IFERROR(__xludf.DUMMYFUNCTION("""COMPUTED_VALUE"""),"manojyadav42373@gmail.com")</f>
        <v>manojyadav42373@gmail.com</v>
      </c>
      <c r="K39" s="13" t="str">
        <f>IFERROR(__xludf.DUMMYFUNCTION("""COMPUTED_VALUE"""),"agl.mailout@gmail.com")</f>
        <v>agl.mailout@gmail.com</v>
      </c>
      <c r="L39" s="13" t="str">
        <f>IFERROR(__xludf.DUMMYFUNCTION("""COMPUTED_VALUE"""),"gaurav@msambikaglobal.in")</f>
        <v>gaurav@msambikaglobal.in</v>
      </c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6" t="str">
        <f>IFERROR(__xludf.DUMMYFUNCTION("""COMPUTED_VALUE"""),"Sohil Metalcraft Private Ltd")</f>
        <v>Sohil Metalcraft Private Ltd</v>
      </c>
      <c r="B40" s="7" t="str">
        <f>IFERROR(__xludf.DUMMYFUNCTION("""COMPUTED_VALUE"""),"Palghar")</f>
        <v>Palghar</v>
      </c>
      <c r="C40" s="8" t="str">
        <f>IFERROR(__xludf.DUMMYFUNCTION("""COMPUTED_VALUE"""),"Plot No. 741/2, New Satpati Road, Sub Post Office, Shirgoan, Satpati, Palghar, 401 405")</f>
        <v>Plot No. 741/2, New Satpati Road, Sub Post Office, Shirgoan, Satpati, Palghar, 401 405</v>
      </c>
      <c r="D40" s="9" t="str">
        <f>IFERROR(__xludf.DUMMYFUNCTION("""COMPUTED_VALUE"""),"Hydraulic Press Machine")</f>
        <v>Hydraulic Press Machine</v>
      </c>
      <c r="E40" s="9" t="str">
        <f>IFERROR(__xludf.DUMMYFUNCTION("""COMPUTED_VALUE"""),"Pcs")</f>
        <v>Pcs</v>
      </c>
      <c r="F40" s="10">
        <f>IFERROR(__xludf.DUMMYFUNCTION("""COMPUTED_VALUE"""),1.0)</f>
        <v>1</v>
      </c>
      <c r="G40" s="11"/>
      <c r="H40" s="12">
        <f>IFERROR(__xludf.DUMMYFUNCTION("""COMPUTED_VALUE"""),1.0)</f>
        <v>1</v>
      </c>
      <c r="I40" s="12">
        <f>IFERROR(__xludf.DUMMYFUNCTION("""COMPUTED_VALUE"""),1.0)</f>
        <v>1</v>
      </c>
      <c r="J40" s="13" t="str">
        <f>IFERROR(__xludf.DUMMYFUNCTION("""COMPUTED_VALUE"""),"docs@sohil-impex.com")</f>
        <v>docs@sohil-impex.com</v>
      </c>
      <c r="K40" s="13" t="str">
        <f>IFERROR(__xludf.DUMMYFUNCTION("""COMPUTED_VALUE"""),"agl.mailout@gmail.com")</f>
        <v>agl.mailout@gmail.com</v>
      </c>
      <c r="L40" s="13" t="str">
        <f>IFERROR(__xludf.DUMMYFUNCTION("""COMPUTED_VALUE"""),"gaurav@msambikaglobal.in")</f>
        <v>gaurav@msambikaglobal.in</v>
      </c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6"/>
      <c r="B41" s="7"/>
      <c r="C41" s="8"/>
      <c r="D41" s="9"/>
      <c r="E41" s="9"/>
      <c r="F41" s="10"/>
      <c r="G41" s="11"/>
      <c r="H41" s="12"/>
      <c r="I41" s="12"/>
      <c r="J41" s="13"/>
      <c r="K41" s="13"/>
      <c r="L41" s="13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</sheetData>
  <drawing r:id="rId1"/>
</worksheet>
</file>