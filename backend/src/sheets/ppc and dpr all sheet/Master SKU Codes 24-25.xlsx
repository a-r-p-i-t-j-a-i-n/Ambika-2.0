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Stamps" sheetId="2" r:id="rId6"/>
    <sheet state="visible" name="Index Code - AGL 24-25 " sheetId="3" r:id="rId7"/>
    <sheet state="visible" name="Master Codes" sheetId="4" r:id="rId8"/>
    <sheet state="visible" name="Finished Goods" sheetId="5" r:id="rId9"/>
    <sheet state="visible" name="Raw Material" sheetId="6" r:id="rId10"/>
    <sheet state="visible" name="Circles" sheetId="7" r:id="rId11"/>
    <sheet state="visible" name="Consumables" sheetId="8" r:id="rId12"/>
    <sheet state="visible" name="Packing" sheetId="9" r:id="rId13"/>
    <sheet state="visible" name="Product Master" sheetId="10" r:id="rId14"/>
    <sheet state="visible" name="SKUs Process" sheetId="11" r:id="rId15"/>
    <sheet state="visible" name="Process Master" sheetId="12" r:id="rId16"/>
    <sheet state="visible" name="Capacity per min" sheetId="13" r:id="rId17"/>
    <sheet state="visible" name="Machine Name with Code &amp; Operat" sheetId="14" r:id="rId18"/>
    <sheet state="visible" name="Die &amp; Tool" sheetId="15" r:id="rId19"/>
    <sheet state="visible" name="Process Code with Item Code" sheetId="16" r:id="rId20"/>
    <sheet state="visible" name="Client Details" sheetId="17" r:id="rId21"/>
    <sheet state="visible" name="Process Abbreviation" sheetId="18" r:id="rId22"/>
    <sheet state="hidden" name="Department" sheetId="19" r:id="rId23"/>
    <sheet state="hidden" name="Sheet5" sheetId="20" r:id="rId24"/>
    <sheet state="visible" name="Code Generator" sheetId="21" r:id="rId25"/>
    <sheet state="visible" name="File Code" sheetId="22" r:id="rId26"/>
    <sheet state="visible" name="Client Code" sheetId="23" r:id="rId2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Maintenance Manual provided by the manufacturer
</t>
      </text>
    </comment>
    <comment authorId="0" ref="L1">
      <text>
        <t xml:space="preserve">Mechanical Maintenance, Electrical Maintenance, Overall Single Manual</t>
      </text>
    </comment>
    <comment authorId="0" ref="N1">
      <text>
        <t xml:space="preserve">Quarterly Check-list, Half yearly, Annually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Curved Step Design = Cross Fatka</t>
      </text>
    </comment>
    <comment authorId="0" ref="B13">
      <text>
        <t xml:space="preserve">Step Design = Round Fatka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If there is a reveision, the name remains the same only revision no. changes
eg: 20251227-NPD01-1200-00
20251227-NPD01-1200-01 (even if the changes are made on any date)</t>
      </text>
    </comment>
  </commentList>
</comments>
</file>

<file path=xl/sharedStrings.xml><?xml version="1.0" encoding="utf-8"?>
<sst xmlns="http://schemas.openxmlformats.org/spreadsheetml/2006/main" count="13992" uniqueCount="1570">
  <si>
    <t>Sr. No.</t>
  </si>
  <si>
    <t>Index</t>
  </si>
  <si>
    <t>Master Codes FG, RM, Circle</t>
  </si>
  <si>
    <t>Finished Goods</t>
  </si>
  <si>
    <t>Raw Material</t>
  </si>
  <si>
    <t>Circle Code</t>
  </si>
  <si>
    <t>Consumables</t>
  </si>
  <si>
    <t>Packing</t>
  </si>
  <si>
    <t>SKU's Process</t>
  </si>
  <si>
    <t>Process Master</t>
  </si>
  <si>
    <t>Product Master</t>
  </si>
  <si>
    <t>Process Abbreviation</t>
  </si>
  <si>
    <t>Machine Name with Code &amp; Operator</t>
  </si>
  <si>
    <t>Capacity Per Minute</t>
  </si>
  <si>
    <t>Process Code with Item Code</t>
  </si>
  <si>
    <t>Code Generator</t>
  </si>
  <si>
    <t>Client Code</t>
  </si>
  <si>
    <t>AGL 24-25 Index Codes</t>
  </si>
  <si>
    <t>File Code</t>
  </si>
  <si>
    <t>Die &amp; Tools</t>
  </si>
  <si>
    <t>Stamps</t>
  </si>
  <si>
    <t>Stamp</t>
  </si>
  <si>
    <t>Full Form / When to Use</t>
  </si>
  <si>
    <t>AGL/SCO</t>
  </si>
  <si>
    <t>Soft Copy Inward</t>
  </si>
  <si>
    <t>Soft Copy Outward</t>
  </si>
  <si>
    <t>AGL/GEI</t>
  </si>
  <si>
    <t>Gate Entry Inward</t>
  </si>
  <si>
    <t>Duplicate Copy</t>
  </si>
  <si>
    <t>For Duplicate Inv</t>
  </si>
  <si>
    <t>Invoice Cleared</t>
  </si>
  <si>
    <t>If Invoice Amount has been fully paid</t>
  </si>
  <si>
    <t>How the code is created??</t>
  </si>
  <si>
    <t xml:space="preserve">Index Code for Individual Folder </t>
  </si>
  <si>
    <t>Darshana Nepale</t>
  </si>
  <si>
    <t xml:space="preserve">Year </t>
  </si>
  <si>
    <t>DN</t>
  </si>
  <si>
    <t>24-25</t>
  </si>
  <si>
    <t xml:space="preserve">Darshana Folder Path </t>
  </si>
  <si>
    <t xml:space="preserve">Ms Ambika Global </t>
  </si>
  <si>
    <t>&gt;</t>
  </si>
  <si>
    <t>AGL 24-25</t>
  </si>
  <si>
    <t>EA 24-25</t>
  </si>
  <si>
    <t>INDEX DN 24-25</t>
  </si>
  <si>
    <t xml:space="preserve">Aarti Folder Path </t>
  </si>
  <si>
    <t>Aarti 24-25</t>
  </si>
  <si>
    <t>INDEX AP 24-25</t>
  </si>
  <si>
    <t xml:space="preserve">Pranita Folder Path </t>
  </si>
  <si>
    <t>Accounts 24-25</t>
  </si>
  <si>
    <t>INDEX PP 24-25</t>
  </si>
  <si>
    <t xml:space="preserve">Neeta Folder Path </t>
  </si>
  <si>
    <t>INDEX ND 24-25</t>
  </si>
  <si>
    <t xml:space="preserve">Upasana Folder Path </t>
  </si>
  <si>
    <t>PC 24-25</t>
  </si>
  <si>
    <t>INDEX UT 24-25</t>
  </si>
  <si>
    <t xml:space="preserve">Ashwini Folder Path </t>
  </si>
  <si>
    <t>INDEX AN 24-25</t>
  </si>
  <si>
    <t>Material</t>
  </si>
  <si>
    <t>SKU Codes</t>
  </si>
  <si>
    <t>Description</t>
  </si>
  <si>
    <t>DD 0.80 mm</t>
  </si>
  <si>
    <t>JSL202-08</t>
  </si>
  <si>
    <t>DD 0.70 mm</t>
  </si>
  <si>
    <t>JSL202-07</t>
  </si>
  <si>
    <t>DD 0.60 mm</t>
  </si>
  <si>
    <t>JSL202-06</t>
  </si>
  <si>
    <t>Cu 0.80 mm</t>
  </si>
  <si>
    <t>JSL204-08</t>
  </si>
  <si>
    <t>Cu 0.70 mm</t>
  </si>
  <si>
    <t>JSL204-07</t>
  </si>
  <si>
    <t>Cu 0.60 mm</t>
  </si>
  <si>
    <t>JSL204-06</t>
  </si>
  <si>
    <t>Cu 1.00 mm</t>
  </si>
  <si>
    <t>JSL204-10</t>
  </si>
  <si>
    <t>Cu - 0.8mm - 8.50"</t>
  </si>
  <si>
    <t>JSL204-08-850</t>
  </si>
  <si>
    <t>Circles</t>
  </si>
  <si>
    <t>Cu - 0.8mm - 8.25"</t>
  </si>
  <si>
    <t>JSL204-08-825</t>
  </si>
  <si>
    <t>Cu - 0.8mm - 9.00"</t>
  </si>
  <si>
    <t>JSL204-08-900</t>
  </si>
  <si>
    <t>Cu - 0.8mm - 9.78"</t>
  </si>
  <si>
    <t>JSL204-08-978</t>
  </si>
  <si>
    <t>Cu - 0.8mm - 7.00"</t>
  </si>
  <si>
    <t>JSL204-08-700</t>
  </si>
  <si>
    <t>Cu - 0.8mm - 8.89"</t>
  </si>
  <si>
    <t>JSL204-08-889</t>
  </si>
  <si>
    <t>Cu - 0.7mm - 7.00"</t>
  </si>
  <si>
    <t>JSL204-07-700</t>
  </si>
  <si>
    <t>Cu - 0.7mm - 8.40"</t>
  </si>
  <si>
    <t>JSL204-07-840</t>
  </si>
  <si>
    <t>DD - 0.8mm - 8.50"</t>
  </si>
  <si>
    <t>JSL202-08-850</t>
  </si>
  <si>
    <t>DD - 0.8mm - 9.00"</t>
  </si>
  <si>
    <t>JSL202-08-900</t>
  </si>
  <si>
    <t>DD - 0.8mm - 10.50"</t>
  </si>
  <si>
    <t>JSL202-08-1050</t>
  </si>
  <si>
    <t>DD - 0.8mm - 8.58"</t>
  </si>
  <si>
    <t>JSL202-08-858</t>
  </si>
  <si>
    <t>DD - 0.7mm - 9.25"</t>
  </si>
  <si>
    <t>JSL202-07-925</t>
  </si>
  <si>
    <t>DD - 0.7mm - 7.25"</t>
  </si>
  <si>
    <t>JSL202-07-725</t>
  </si>
  <si>
    <t>DD - 0.7mm - 6.00"</t>
  </si>
  <si>
    <t>JSL202-07-600</t>
  </si>
  <si>
    <t>DD - 0.6mm - 8.25"</t>
  </si>
  <si>
    <t>JSL202-06-825</t>
  </si>
  <si>
    <t>DD - 0.6mm - 7.25"</t>
  </si>
  <si>
    <t>JSL202-06-725</t>
  </si>
  <si>
    <t>DD - 0.6mm - 8.75"</t>
  </si>
  <si>
    <t>JSL202-06-875</t>
  </si>
  <si>
    <t>DD - 0.6mm - 7.00"</t>
  </si>
  <si>
    <t>JSL202-06-700</t>
  </si>
  <si>
    <t>DD - 0.6mm - 8.50"</t>
  </si>
  <si>
    <t>JSL202-06-850</t>
  </si>
  <si>
    <t>DD - 0.6mm - 7.75"</t>
  </si>
  <si>
    <t>JSL202-06-775</t>
  </si>
  <si>
    <t>PP Liquid Box (750 x 455 x 390)</t>
  </si>
  <si>
    <t>PK-PP15-BX</t>
  </si>
  <si>
    <t>PP Liquid Partition</t>
  </si>
  <si>
    <t>PK-PP15-PT</t>
  </si>
  <si>
    <t>1.0Ltr SG Box (26.50 x 10.50 x 16.25)</t>
  </si>
  <si>
    <t>PK-PP10-BX</t>
  </si>
  <si>
    <t>PP Dry Box (PP1000) (750 x 455 x 340)</t>
  </si>
  <si>
    <t>PP Dry Partition</t>
  </si>
  <si>
    <t>PK-PP10-PT</t>
  </si>
  <si>
    <t>Flat Jar Box (FJ1000) (750 x 455 x 340)</t>
  </si>
  <si>
    <t>PK-FJ10-BX</t>
  </si>
  <si>
    <t>Flat Jar Partition</t>
  </si>
  <si>
    <t>PK-FJ10-PT</t>
  </si>
  <si>
    <t>Grinder Jar Box (16 x 16 x 20 1/8) (126pcs)</t>
  </si>
  <si>
    <t>PK-GJ10-BX</t>
  </si>
  <si>
    <t>Grinder Jar Partition</t>
  </si>
  <si>
    <t>PK-GJ10-PT</t>
  </si>
  <si>
    <t>PP Chutney Box (26 x 15 1/4 x 14.5)</t>
  </si>
  <si>
    <t>PK-PP04-BX</t>
  </si>
  <si>
    <t>PP Chutney Partition</t>
  </si>
  <si>
    <t>PK-PP04-PT</t>
  </si>
  <si>
    <t>Dome Jar Box (810 x 475 x 370)</t>
  </si>
  <si>
    <t>PK-DJ15-BX</t>
  </si>
  <si>
    <t>Dome Jar Partition</t>
  </si>
  <si>
    <t>PK-DJ15-PT</t>
  </si>
  <si>
    <t>Chutney Katori Box (29 x 14.5 x 23)</t>
  </si>
  <si>
    <t>PK-CK06-BX</t>
  </si>
  <si>
    <t>Chutney Katori Partition</t>
  </si>
  <si>
    <t>PK-CK06-PT</t>
  </si>
  <si>
    <t>1.5Ltr SG Box (30 x 12.25 x 17.38)</t>
  </si>
  <si>
    <t>PK-SG15-BX</t>
  </si>
  <si>
    <t>1.5Ltr SG Partition</t>
  </si>
  <si>
    <t>PK-SG15-PT</t>
  </si>
  <si>
    <t>PK-SG10-BX</t>
  </si>
  <si>
    <t>1.0Ltr SG Partition</t>
  </si>
  <si>
    <t>PK-SG10-PT</t>
  </si>
  <si>
    <t>1.0Ltr Tapper Jar Dry (27.50 x 11.50 x 16.5)</t>
  </si>
  <si>
    <t>PK-TD10-BX</t>
  </si>
  <si>
    <t>1.5Ltr Tapper Jar Wet (30 x 12.50 x 18)</t>
  </si>
  <si>
    <t>PK-TL15-BX</t>
  </si>
  <si>
    <t>1.0Ltr Tapper Jar Dry Partition</t>
  </si>
  <si>
    <t>PK-TD10-PT</t>
  </si>
  <si>
    <t>1.5Ltr Tapper Jar Wet Partition</t>
  </si>
  <si>
    <t>PK-TL15-PT</t>
  </si>
  <si>
    <t>b</t>
  </si>
  <si>
    <t>Bowl Box (602 x 602 x 540)</t>
  </si>
  <si>
    <t>PK-BW00-BX</t>
  </si>
  <si>
    <t>Bowl Partition</t>
  </si>
  <si>
    <t>PK-BW00-PT</t>
  </si>
  <si>
    <t>1.65 Ltr MG Box (650 x 330 x 380)</t>
  </si>
  <si>
    <t>PK--MG165-BX</t>
  </si>
  <si>
    <t>1.65 Ltr MG Partition</t>
  </si>
  <si>
    <t>PK--MG165-PT</t>
  </si>
  <si>
    <t>1.1 Ltr MG Box (592 x 447 x 368)</t>
  </si>
  <si>
    <t>PK--MG11-BX</t>
  </si>
  <si>
    <t>1.1 Ltr MG Partition</t>
  </si>
  <si>
    <t>PK--MG11-PT</t>
  </si>
  <si>
    <t>0.5 Ltr MG Box (592 x 447 x 340)</t>
  </si>
  <si>
    <t>PK--MG05-BX</t>
  </si>
  <si>
    <t>0.5 Ltr MG Partition</t>
  </si>
  <si>
    <t>PK--MG05-PT</t>
  </si>
  <si>
    <t>Paper Cone 1.00"</t>
  </si>
  <si>
    <t>PK-PC-01-00</t>
  </si>
  <si>
    <t>Paper Cone 1.25"</t>
  </si>
  <si>
    <t>PK-PC-01-25</t>
  </si>
  <si>
    <t>Paper Cone 65 mm X 54 mm</t>
  </si>
  <si>
    <t>PK-PC-02-56</t>
  </si>
  <si>
    <t>Paper Cone 65 mm X 80 mm</t>
  </si>
  <si>
    <t>PK-PC-65-80</t>
  </si>
  <si>
    <t>White Tape</t>
  </si>
  <si>
    <t>PK-WT-00-00</t>
  </si>
  <si>
    <t>Brown Tape</t>
  </si>
  <si>
    <t>PK-BT-00-00</t>
  </si>
  <si>
    <t>Plastic Bag Old (White Goni) (55 x 36)</t>
  </si>
  <si>
    <t>PK-WB-55-36</t>
  </si>
  <si>
    <t>Plastic Bag Old (White Goni) (52 x 44)</t>
  </si>
  <si>
    <t>PK-WB-52-44</t>
  </si>
  <si>
    <t>Plastic Bag Old (White Goni) (52 x 46)</t>
  </si>
  <si>
    <t>PK-WB-52-46</t>
  </si>
  <si>
    <t>Plastic Bag Old (White Goni) (44 x 36)</t>
  </si>
  <si>
    <t>PK-WB-44-36</t>
  </si>
  <si>
    <t>Plastic bags (14 x 16)</t>
  </si>
  <si>
    <t>PK-PB-14-16</t>
  </si>
  <si>
    <t>Plastic bags (10 x 12)</t>
  </si>
  <si>
    <t>PK-PB-10-12</t>
  </si>
  <si>
    <t>Plastic bags (9 x 11)</t>
  </si>
  <si>
    <t>PK-PB-09-11</t>
  </si>
  <si>
    <t>Plastic bags (8 x 9)</t>
  </si>
  <si>
    <t>PK-PB-08-09</t>
  </si>
  <si>
    <t>Packing Sutli</t>
  </si>
  <si>
    <t>PK-PS-00-00</t>
  </si>
  <si>
    <t>AGL Stickers A - Blue</t>
  </si>
  <si>
    <t>PK-ST-BL-01</t>
  </si>
  <si>
    <t>AGL Stickers B - Blue</t>
  </si>
  <si>
    <t>PK-ST-BL-02</t>
  </si>
  <si>
    <t>AGL Stickers C - Blue</t>
  </si>
  <si>
    <t>PK-ST-BL-03</t>
  </si>
  <si>
    <t>AGL Stickers D - Blue</t>
  </si>
  <si>
    <t>PK-ST-BL-04</t>
  </si>
  <si>
    <t>AGL Stickers A - Orange</t>
  </si>
  <si>
    <t>PK-ST-OR-01</t>
  </si>
  <si>
    <t>AGL Stickers B - Orange</t>
  </si>
  <si>
    <t>PK-ST-OR-02</t>
  </si>
  <si>
    <t>AGL Stickers C - Orange</t>
  </si>
  <si>
    <t>PK-ST-OR-03</t>
  </si>
  <si>
    <t>AGL Stickers D - Orange</t>
  </si>
  <si>
    <t>PK-ST-OR-04</t>
  </si>
  <si>
    <t>Box Sticker</t>
  </si>
  <si>
    <t>PK-ST-BX-00</t>
  </si>
  <si>
    <t>Arrow Stickers</t>
  </si>
  <si>
    <t>PK-ST-AR-00</t>
  </si>
  <si>
    <t>Stapple Patti Role</t>
  </si>
  <si>
    <t>PK-ST-PR-00</t>
  </si>
  <si>
    <t>PP Wrapping Roll</t>
  </si>
  <si>
    <t>PK-PP-WR-00</t>
  </si>
  <si>
    <t>Side Buff - Bharat</t>
  </si>
  <si>
    <t>CO-SB-15-02</t>
  </si>
  <si>
    <t>Buff - 3"</t>
  </si>
  <si>
    <t>CO-BF-30-00</t>
  </si>
  <si>
    <t>Buff - 3.5"</t>
  </si>
  <si>
    <t>CO-BF-35-00</t>
  </si>
  <si>
    <t>Buff - 5"</t>
  </si>
  <si>
    <t>CO-BF-50-00</t>
  </si>
  <si>
    <t>Buff - 4.5"</t>
  </si>
  <si>
    <t>CO-BF-45-00</t>
  </si>
  <si>
    <t>Buff - 4"</t>
  </si>
  <si>
    <t>CO-BF-40-00</t>
  </si>
  <si>
    <t>Khila Buff - 3.5"</t>
  </si>
  <si>
    <t>CO-KB-35-00</t>
  </si>
  <si>
    <t>Khila Buff - 4.5"</t>
  </si>
  <si>
    <t>CO-KB-45-00</t>
  </si>
  <si>
    <t>Khila Buff - 4"</t>
  </si>
  <si>
    <t>CO-KB-40-00</t>
  </si>
  <si>
    <t>Khila Buff - 5"</t>
  </si>
  <si>
    <t>CO-KB-50-00</t>
  </si>
  <si>
    <t>Jeans Buff - 8"</t>
  </si>
  <si>
    <t>CO-JB-80-00</t>
  </si>
  <si>
    <t>Brush 7"</t>
  </si>
  <si>
    <t>CO-BS-70-00</t>
  </si>
  <si>
    <t>Brush - 5"</t>
  </si>
  <si>
    <t>CO-BS-50-00</t>
  </si>
  <si>
    <t>Brush - 4.5"</t>
  </si>
  <si>
    <t>CO-BS-45-00</t>
  </si>
  <si>
    <t>Fiber</t>
  </si>
  <si>
    <t>CO-FB-14-02</t>
  </si>
  <si>
    <t>Green Pad - Fiber</t>
  </si>
  <si>
    <t>CO-GF-00-00</t>
  </si>
  <si>
    <t>Shriwari (Green Powder)</t>
  </si>
  <si>
    <t>CO-GP-00-00</t>
  </si>
  <si>
    <t>Yellow Powder</t>
  </si>
  <si>
    <t>CO-YP-00-00</t>
  </si>
  <si>
    <t>Cotton Buff</t>
  </si>
  <si>
    <t>CO-CB-00-00</t>
  </si>
  <si>
    <t>Goni Tapper</t>
  </si>
  <si>
    <t>CO-GT-14-02</t>
  </si>
  <si>
    <t>Lokhand Brush 800 grm. 45 No. (7X2)</t>
  </si>
  <si>
    <t>CO-LK-80-45</t>
  </si>
  <si>
    <t>Lokhand Brush 600 grm. 45 No</t>
  </si>
  <si>
    <t>CO-LK-60-45</t>
  </si>
  <si>
    <t>Lokhand Brush 1000 grm. 35 No. (5X2)</t>
  </si>
  <si>
    <t>CO-LK-10-35</t>
  </si>
  <si>
    <t>Lokhand Brush 800 grm. 35 No. (5X2)</t>
  </si>
  <si>
    <t>CO-LK-80-35</t>
  </si>
  <si>
    <t>Lokhand Brush 800 grm. (8X2)</t>
  </si>
  <si>
    <t>CO-LK-80-82</t>
  </si>
  <si>
    <t>Lokhand Brush 700 grm. (7X2)</t>
  </si>
  <si>
    <t>CO-LK-70-72</t>
  </si>
  <si>
    <t>Lokhand Brush 1000 grm. 35 No. (8X2)</t>
  </si>
  <si>
    <t>CO-LK-10-82</t>
  </si>
  <si>
    <t>Lokhand Brush 700 grm. (8X2)</t>
  </si>
  <si>
    <t>CO-LK-70-82</t>
  </si>
  <si>
    <t>Tar Brush 1000 grm.</t>
  </si>
  <si>
    <t>CO-TB-10-00</t>
  </si>
  <si>
    <t>Tar Brush 900 grm.</t>
  </si>
  <si>
    <t>CO-TB-90-00</t>
  </si>
  <si>
    <t>Tar Brush 800 grm.</t>
  </si>
  <si>
    <t>CO-TB-80-00</t>
  </si>
  <si>
    <t>Tar Brush 700 grm.</t>
  </si>
  <si>
    <t>CO-TB-70-00</t>
  </si>
  <si>
    <t>FW - 120No 6 X 2</t>
  </si>
  <si>
    <t>CO-FW-12-62</t>
  </si>
  <si>
    <t>FW - 120No 6 X 1</t>
  </si>
  <si>
    <t>CO-FW-12-61</t>
  </si>
  <si>
    <t>FW - 220No 3 X 1</t>
  </si>
  <si>
    <t>CO-FW-22-31</t>
  </si>
  <si>
    <t>FW - 220No 12 X 2</t>
  </si>
  <si>
    <t>CO-FW-22-122</t>
  </si>
  <si>
    <t>FW - 320No 12 X 2</t>
  </si>
  <si>
    <t>CO-FW-32-122</t>
  </si>
  <si>
    <t>FW - 320No 3 X 1</t>
  </si>
  <si>
    <t>CO-FW-32-31</t>
  </si>
  <si>
    <t>FW - 320No 6 X 1</t>
  </si>
  <si>
    <t>CO-FW-32-61</t>
  </si>
  <si>
    <t>FW - 320No 6 X 2</t>
  </si>
  <si>
    <t>CO-FW-32-62</t>
  </si>
  <si>
    <t>FW - 400No 12 X 2</t>
  </si>
  <si>
    <t>CO-FW-40-122</t>
  </si>
  <si>
    <t>FW - 400No 3 X 1</t>
  </si>
  <si>
    <t>CO-FW-40-31</t>
  </si>
  <si>
    <t>FW - 600No 12 X 2</t>
  </si>
  <si>
    <t>CO-FW-60-122</t>
  </si>
  <si>
    <t>FW - 600No 3 X 1</t>
  </si>
  <si>
    <t>CO-FW-60-31</t>
  </si>
  <si>
    <t>Yellow Duster</t>
  </si>
  <si>
    <t>CO-YD-00-00</t>
  </si>
  <si>
    <t>Bal Black Tapper</t>
  </si>
  <si>
    <t>BB-BT-00-00</t>
  </si>
  <si>
    <t>Chuna</t>
  </si>
  <si>
    <t>CO-CN-00-00</t>
  </si>
  <si>
    <t>Deep Drawing White Chemical</t>
  </si>
  <si>
    <t>CO-DD-WC-00</t>
  </si>
  <si>
    <t>Deep Drawing Yellow Chemical</t>
  </si>
  <si>
    <t>CO-DD-YC-00</t>
  </si>
  <si>
    <t>Press Oil</t>
  </si>
  <si>
    <t>CO-PO-00-00</t>
  </si>
  <si>
    <t>Black Oil</t>
  </si>
  <si>
    <t>CO-BO-00-00</t>
  </si>
  <si>
    <t>Rolling Oil</t>
  </si>
  <si>
    <t>CO-RO-00-00</t>
  </si>
  <si>
    <t>Deep Drawing Green Chemical</t>
  </si>
  <si>
    <t>CO-GO-00-00</t>
  </si>
  <si>
    <t>Cutting Tool</t>
  </si>
  <si>
    <t>CO-CT-00-00</t>
  </si>
  <si>
    <t>Lathe Tool</t>
  </si>
  <si>
    <t>CO-LT-00-00</t>
  </si>
  <si>
    <t>File</t>
  </si>
  <si>
    <t>CO-FL-00-00</t>
  </si>
  <si>
    <t>Life Buoy Soap</t>
  </si>
  <si>
    <t>CO-LB-00-00</t>
  </si>
  <si>
    <t>Wooden bhoosa</t>
  </si>
  <si>
    <t>CO-WB-00-00</t>
  </si>
  <si>
    <t>Handgloves - Blue</t>
  </si>
  <si>
    <t>CO-HG-BL-00</t>
  </si>
  <si>
    <t>Handgloves - White</t>
  </si>
  <si>
    <t>CO-HG-WT-00</t>
  </si>
  <si>
    <t>Handgloves - Blue (2nd hand)</t>
  </si>
  <si>
    <t>CO-HG-02-00</t>
  </si>
  <si>
    <t>Cotton Chindhi</t>
  </si>
  <si>
    <t>CO-CC-00-00</t>
  </si>
  <si>
    <t>Polish Paper - Hemri Roll - 120No</t>
  </si>
  <si>
    <t>CO-PP-HR-12</t>
  </si>
  <si>
    <t>Polish Paper - Hemri Roll - 220No</t>
  </si>
  <si>
    <t>CO-PP-HR-22</t>
  </si>
  <si>
    <t>Polish Paper - Hemri Roll - 320No</t>
  </si>
  <si>
    <t>CO-PP-HR-32</t>
  </si>
  <si>
    <t>Polish Paper - Belt -120No</t>
  </si>
  <si>
    <t>CO-PP-BE-12</t>
  </si>
  <si>
    <t>Jute Bag</t>
  </si>
  <si>
    <t>CO-JB-00-00</t>
  </si>
  <si>
    <t>Chun (40 x 55)</t>
  </si>
  <si>
    <t>CO-CH-55-40</t>
  </si>
  <si>
    <t>Grease</t>
  </si>
  <si>
    <t>CO-GR-00-00</t>
  </si>
  <si>
    <t>CO-GP-FB-00</t>
  </si>
  <si>
    <t>Blue Mats</t>
  </si>
  <si>
    <t>CO-BL-MT-00</t>
  </si>
  <si>
    <t>Grinder wheel</t>
  </si>
  <si>
    <t>CO-GW-00-00</t>
  </si>
  <si>
    <t>Hand Grinder</t>
  </si>
  <si>
    <t>CO-HG-00-00</t>
  </si>
  <si>
    <t>Sargam Soap</t>
  </si>
  <si>
    <t>CO-SG-SP-00</t>
  </si>
  <si>
    <t>Cotton Cloth</t>
  </si>
  <si>
    <t>CO-CL-00-00</t>
  </si>
  <si>
    <t>Raju Gota Soap</t>
  </si>
  <si>
    <t>CO-RG-SP-00</t>
  </si>
  <si>
    <t>Bearing - 30204</t>
  </si>
  <si>
    <t>CO-BR-30-204</t>
  </si>
  <si>
    <t>Bearing - 32212</t>
  </si>
  <si>
    <t>CO-BR-32-212</t>
  </si>
  <si>
    <t>Bearing - 32213</t>
  </si>
  <si>
    <t>CO-BR-32-213</t>
  </si>
  <si>
    <t>Bearing - 32214</t>
  </si>
  <si>
    <t>CO-BR-32-214</t>
  </si>
  <si>
    <t>Bearing - 32210</t>
  </si>
  <si>
    <t>CO-BR-32-210</t>
  </si>
  <si>
    <t>Bearing - 32211</t>
  </si>
  <si>
    <t>CO-BR-32-211</t>
  </si>
  <si>
    <t>Bearing - 6308</t>
  </si>
  <si>
    <t>CO-BR-63-08</t>
  </si>
  <si>
    <t>Bearing - 05</t>
  </si>
  <si>
    <t>CO-BR-00-05</t>
  </si>
  <si>
    <t>Bearing - 06</t>
  </si>
  <si>
    <t>CO-BR-00-06</t>
  </si>
  <si>
    <t>Bearing - 08</t>
  </si>
  <si>
    <t>CO-BR-00-08</t>
  </si>
  <si>
    <t>Bearing - 09</t>
  </si>
  <si>
    <t>CO-BR-00-09</t>
  </si>
  <si>
    <t>Belt B-70</t>
  </si>
  <si>
    <t>CO-BT-B-070</t>
  </si>
  <si>
    <t>Belt B-71</t>
  </si>
  <si>
    <t>CO-BT-B-071</t>
  </si>
  <si>
    <t>Belt B-75</t>
  </si>
  <si>
    <t>CO-BT-B-075</t>
  </si>
  <si>
    <t>Belt B-76</t>
  </si>
  <si>
    <t>CO-BT-B-076</t>
  </si>
  <si>
    <t>Belt B-77</t>
  </si>
  <si>
    <t>CO-BT-B-077</t>
  </si>
  <si>
    <t>Belt B-74</t>
  </si>
  <si>
    <t>CO-BT-B-074</t>
  </si>
  <si>
    <t>Belt B-78</t>
  </si>
  <si>
    <t>CO-BT-B-078</t>
  </si>
  <si>
    <t>Belt B-85</t>
  </si>
  <si>
    <t>CO-BT-B-085</t>
  </si>
  <si>
    <t>Belt B-140</t>
  </si>
  <si>
    <t>CO-BT-B-140</t>
  </si>
  <si>
    <t>Belt B-112</t>
  </si>
  <si>
    <t>CO-BT-B-112</t>
  </si>
  <si>
    <t>Belt B-126</t>
  </si>
  <si>
    <t>CO-BT-B-126</t>
  </si>
  <si>
    <t>Belt C-71</t>
  </si>
  <si>
    <t>CO-BT-C-071</t>
  </si>
  <si>
    <t>PP Wet</t>
  </si>
  <si>
    <t>PP1500-202</t>
  </si>
  <si>
    <t>PP Dry</t>
  </si>
  <si>
    <t>PP1000-202</t>
  </si>
  <si>
    <t>PP Chutney</t>
  </si>
  <si>
    <t>PP0400-202</t>
  </si>
  <si>
    <t>PP Flat Wet</t>
  </si>
  <si>
    <t>PF1500-202</t>
  </si>
  <si>
    <t>PP Flat Dry</t>
  </si>
  <si>
    <t>PF1000-202</t>
  </si>
  <si>
    <t>PP Flat Chutney</t>
  </si>
  <si>
    <t>PF0600-202</t>
  </si>
  <si>
    <t>VA Wet</t>
  </si>
  <si>
    <t>VA1500-202</t>
  </si>
  <si>
    <t>VA Dry</t>
  </si>
  <si>
    <t>VA1000-202</t>
  </si>
  <si>
    <t>VA Chutney</t>
  </si>
  <si>
    <t>VA0400-202</t>
  </si>
  <si>
    <t>Value Flat Wet</t>
  </si>
  <si>
    <t>VF1500-202</t>
  </si>
  <si>
    <t>Value Flat Dry</t>
  </si>
  <si>
    <t>VF1000-202</t>
  </si>
  <si>
    <t>Value Flat Chutney</t>
  </si>
  <si>
    <t>VF0400-202</t>
  </si>
  <si>
    <t>Steele 1.5 Ltr</t>
  </si>
  <si>
    <t>ST1500-202</t>
  </si>
  <si>
    <t>Steele 1.0 Ltr</t>
  </si>
  <si>
    <t>ST1000-202</t>
  </si>
  <si>
    <t>Galaxy 1.5 Ltr</t>
  </si>
  <si>
    <t>GX1500-202</t>
  </si>
  <si>
    <t>Galaxy 1.0 Ltr</t>
  </si>
  <si>
    <t>GX1000-202</t>
  </si>
  <si>
    <t>Chutney Katori</t>
  </si>
  <si>
    <t>CK0600-204</t>
  </si>
  <si>
    <t>Grinder Jar</t>
  </si>
  <si>
    <t>GJ1000-204</t>
  </si>
  <si>
    <t>Grinder Jar - DD</t>
  </si>
  <si>
    <t>GJ1000-202</t>
  </si>
  <si>
    <t>Dome Jar</t>
  </si>
  <si>
    <t>DJ1500-204</t>
  </si>
  <si>
    <t>Flat Jar</t>
  </si>
  <si>
    <t>FJ1000-204</t>
  </si>
  <si>
    <t>Nano Dome Jar</t>
  </si>
  <si>
    <t>ND1500-204</t>
  </si>
  <si>
    <t>Nano Flat Jar</t>
  </si>
  <si>
    <t>NF1000-204</t>
  </si>
  <si>
    <t>Nano Chutney Jar</t>
  </si>
  <si>
    <t>NC0400-204</t>
  </si>
  <si>
    <t>MA Wet Jar</t>
  </si>
  <si>
    <t>MA1500-204</t>
  </si>
  <si>
    <t>MA Dry Jar</t>
  </si>
  <si>
    <t>MA1000-204</t>
  </si>
  <si>
    <t>MA Chutney Jar</t>
  </si>
  <si>
    <t>MA0400-204</t>
  </si>
  <si>
    <t>MG 1.1 Wet Jar Celum</t>
  </si>
  <si>
    <t>MG1650-304</t>
  </si>
  <si>
    <t>MG 1.1 Wet Jar</t>
  </si>
  <si>
    <t>MG1650-204</t>
  </si>
  <si>
    <t>MG 1.1 Dry Jar  Celum</t>
  </si>
  <si>
    <t>MG1100-304</t>
  </si>
  <si>
    <t>MG 1.1 Dry Jar</t>
  </si>
  <si>
    <t>MG1100-204</t>
  </si>
  <si>
    <t>MG 1.1 Chutney Jar</t>
  </si>
  <si>
    <t>MG0500-204</t>
  </si>
  <si>
    <t>Bowl 2.0 Ltr</t>
  </si>
  <si>
    <t>BO2000-202</t>
  </si>
  <si>
    <t>Taper Jar - Bidding 1.5 Ltr</t>
  </si>
  <si>
    <t>TB1500-204</t>
  </si>
  <si>
    <t>Taper Jar - Bidding 1.0 Ltr</t>
  </si>
  <si>
    <t>TB1000-204</t>
  </si>
  <si>
    <t>Taper Jar - Patti 1.5 Ltr</t>
  </si>
  <si>
    <t>TP1500-202</t>
  </si>
  <si>
    <t>Taper Jar - Patti 1.0 Ltr</t>
  </si>
  <si>
    <t>TP1000-202</t>
  </si>
  <si>
    <t>Taper Jar - Patti 0.750 Ltr</t>
  </si>
  <si>
    <t>TP0750-202</t>
  </si>
  <si>
    <t>FW - 120No 8 X 1</t>
  </si>
  <si>
    <t>CO-FW-12-81</t>
  </si>
  <si>
    <t>FlyWheel</t>
  </si>
  <si>
    <t>CO-FW-00-00</t>
  </si>
  <si>
    <t>51" Micron LD Plastic bags (8 x 9)</t>
  </si>
  <si>
    <t>ML-PB-08-09</t>
  </si>
  <si>
    <t>51" Micron LD Plastic bags (9 x 11)</t>
  </si>
  <si>
    <t>ML-PB-09-11</t>
  </si>
  <si>
    <t>51" Micron LD Plastic bags (10 x 12)</t>
  </si>
  <si>
    <t>ML-PB-10-12</t>
  </si>
  <si>
    <t>MA Wet Box (605 x 310 x 392)</t>
  </si>
  <si>
    <t>PK-MA15-BX</t>
  </si>
  <si>
    <t>MA Wet Partition</t>
  </si>
  <si>
    <t>PK-MA15-PT</t>
  </si>
  <si>
    <t xml:space="preserve">MA Dry Box (532 x 400 x 390) </t>
  </si>
  <si>
    <t>PK-MA10-BX</t>
  </si>
  <si>
    <t>MA Dry Partition</t>
  </si>
  <si>
    <t>PK-MA10-PT</t>
  </si>
  <si>
    <t>MA Chutney Box (532 x 400 x 405)</t>
  </si>
  <si>
    <t>PK-MA04-BX</t>
  </si>
  <si>
    <t>MA Chutney Partition</t>
  </si>
  <si>
    <t>PK-MA04-PT</t>
  </si>
  <si>
    <t>FW - 220No 6 X 1</t>
  </si>
  <si>
    <t>CO-FW-22-61</t>
  </si>
  <si>
    <t>FW - 220No 6 X 2</t>
  </si>
  <si>
    <t>CO-FW-22-62</t>
  </si>
  <si>
    <t>Plastic Blue Crates</t>
  </si>
  <si>
    <t>PK-PB-00-00</t>
  </si>
  <si>
    <t>WPS Pomex Material -  OD 190mm X Length - 2½"</t>
  </si>
  <si>
    <t>WPS Pomex Material -  OD 155mm X Length - 2"</t>
  </si>
  <si>
    <t>WPS Pomex Material -  OD 160mm X Length - 2 ½"</t>
  </si>
  <si>
    <t>WPS Pomex Material -  OD 140mm X Length - 2 ½"</t>
  </si>
  <si>
    <t>WPS Pomex Material -  OD 6" X Length - 3"</t>
  </si>
  <si>
    <t>SKU / Product (Circle)</t>
  </si>
  <si>
    <t>Weight per circle</t>
  </si>
  <si>
    <t>Cu - 0.8mm -9.78"</t>
  </si>
  <si>
    <t>Consumable</t>
  </si>
  <si>
    <t>SKU Name</t>
  </si>
  <si>
    <t>SKU Code</t>
  </si>
  <si>
    <t>Customer</t>
  </si>
  <si>
    <t>Material (Grade &amp; Thick)</t>
  </si>
  <si>
    <t>Circle Size</t>
  </si>
  <si>
    <t>Circle Weight (Kgs)</t>
  </si>
  <si>
    <t>Jar Weight (Kgs)</t>
  </si>
  <si>
    <t>Primary Poly Desc</t>
  </si>
  <si>
    <t>Jar Sticker Desc</t>
  </si>
  <si>
    <t>Partition Desc</t>
  </si>
  <si>
    <t>Box Desc</t>
  </si>
  <si>
    <t>Jar per Box</t>
  </si>
  <si>
    <t>Goni Bag</t>
  </si>
  <si>
    <t>PK-PB-09-11 Plastic bags (9 x 11)</t>
  </si>
  <si>
    <t>PK-ST-OR-01 AGL Stickers A - Orange</t>
  </si>
  <si>
    <t>PK-ST-OR-02 AGL Stickers B - Orange</t>
  </si>
  <si>
    <t>PK-ST-OR-03 AGL Stickers C - Orange</t>
  </si>
  <si>
    <t>PK-ST-OR-04 AGL Stickers D - Orange</t>
  </si>
  <si>
    <t>PK-GJ10-PT Grinder Jar Partition</t>
  </si>
  <si>
    <t>PK-GJ10-BX Grinder Jar Box (16 x 16 x 20 1/8) (126pcs)</t>
  </si>
  <si>
    <t>PK-ST-BX-00 Box Sticker</t>
  </si>
  <si>
    <t>PK-WB-44-36 Plastic Bag Old (White Goni) (44 x 36)</t>
  </si>
  <si>
    <t>PK-PB-08-09 Plastic bags (8 x 9)</t>
  </si>
  <si>
    <t>PK-CK06-PT Chutney Katori Partition</t>
  </si>
  <si>
    <t>PK-CK06-BX Chutney Katori Box (29 x 14.5 x 23)</t>
  </si>
  <si>
    <t>PK-WB-52-44 Plastic Bag Old (White Goni) (52 x 44)</t>
  </si>
  <si>
    <t>PK-PB-10-12 Plastic bags (10 x 12)</t>
  </si>
  <si>
    <t>PK-DJ15-PT Dome Jar Partition</t>
  </si>
  <si>
    <t>PK-DJ15-BX Dome Jar Box (810 x 475 x 370)</t>
  </si>
  <si>
    <t>PK-WB-52-46 Plastic Bag Old (White Goni) (52 x 46)</t>
  </si>
  <si>
    <t>CU - 0.8mm - 9.00"</t>
  </si>
  <si>
    <t>PK-PP10-PT PP Dry Partition</t>
  </si>
  <si>
    <t>PK-PP15-BX PP Liquid Box (750 x 455 x 390)</t>
  </si>
  <si>
    <t>PK-ST-BL-01 AGL Stickers A - Blue</t>
  </si>
  <si>
    <t>PK-ST-BL-02 AGL Stickers B - Blue</t>
  </si>
  <si>
    <t>PK-ST-BL-03 AGL Stickers C - Blue</t>
  </si>
  <si>
    <t>PK-ST-BL-04 AGL Stickers D - Blue</t>
  </si>
  <si>
    <t>PK-PP15-PT PP Liquid Partition</t>
  </si>
  <si>
    <t>PK-WB-55-36 Plastic Bag Old (White Goni) (55 x 36)</t>
  </si>
  <si>
    <t>PK-PP04-PT PP Chutney Partition</t>
  </si>
  <si>
    <t>PK-PP04-BX PP Chutney Box  (26 x 15 1/4 x 14.5)</t>
  </si>
  <si>
    <t>PK-SG15-PT 1.5Ltr SG Partition</t>
  </si>
  <si>
    <t>PK-SG15-BX 1.5Ltr SG Box (30 x 12.25 x 17.38)</t>
  </si>
  <si>
    <t>PK-SG10-PT 1.0Ltr SG Partition</t>
  </si>
  <si>
    <t>PK-SG10-BX 1.0Ltr SG Box (26.50 x 10.50 x 16.25)</t>
  </si>
  <si>
    <t>ML-PB-10-12 51" Micron LD Plastic bags (10 x 12)</t>
  </si>
  <si>
    <t>PK-MA15-PT MA Wet Partition</t>
  </si>
  <si>
    <t>PK-MA15-BX MA Wet Box (605 x 310 x 392)</t>
  </si>
  <si>
    <t>ML-PB-09-11 51" Micron LD Plastic bags (9 x 11)</t>
  </si>
  <si>
    <t>PK-MA10-PT MA Dry Partition</t>
  </si>
  <si>
    <t xml:space="preserve">PK-MA10-BX MA Dry Box (532 x 400 x 390) </t>
  </si>
  <si>
    <t>ML-PB-08-09 51" Micron LD Plastic bags (8 x 9)</t>
  </si>
  <si>
    <t>PK-MA04-PT MA Chutney Partition</t>
  </si>
  <si>
    <t>PK-MA04-BX MA Chutney Box (532 x 400 x 405)</t>
  </si>
  <si>
    <t>PF0400-202</t>
  </si>
  <si>
    <t>-</t>
  </si>
  <si>
    <t>MA Ch Jar</t>
  </si>
  <si>
    <t>MG 1.1 Ch Jar</t>
  </si>
  <si>
    <t>Taper 1.5 Ltr</t>
  </si>
  <si>
    <t>Taper 1.0 Ltr</t>
  </si>
  <si>
    <t>Taper 1.5 Ltr Top Patti</t>
  </si>
  <si>
    <t>Taper 1.0 Ltr Top Patti</t>
  </si>
  <si>
    <t>Circle Cutting</t>
  </si>
  <si>
    <t>Pressing 1</t>
  </si>
  <si>
    <t>Pressing 2</t>
  </si>
  <si>
    <t>Spinning - Direct</t>
  </si>
  <si>
    <t>Spinning - Dab</t>
  </si>
  <si>
    <t>Cutting</t>
  </si>
  <si>
    <t>Spinning - Final</t>
  </si>
  <si>
    <t>Radius Fatka</t>
  </si>
  <si>
    <t>Gobaa</t>
  </si>
  <si>
    <t>Patti Polishing</t>
  </si>
  <si>
    <t>Cross Fatka</t>
  </si>
  <si>
    <t>Sizing</t>
  </si>
  <si>
    <t>Patti Fatka</t>
  </si>
  <si>
    <t>Pre Buffing</t>
  </si>
  <si>
    <t>Bidding</t>
  </si>
  <si>
    <t>Polishing</t>
  </si>
  <si>
    <t>Round Fatka</t>
  </si>
  <si>
    <t>Rework</t>
  </si>
  <si>
    <t>Cleaning</t>
  </si>
  <si>
    <t>Top Oval Cutting</t>
  </si>
  <si>
    <t>Handle Hole</t>
  </si>
  <si>
    <t>Deburring</t>
  </si>
  <si>
    <t>Bottom Hole</t>
  </si>
  <si>
    <t>Final Cleaning</t>
  </si>
  <si>
    <t>Flow Breaker</t>
  </si>
  <si>
    <t>QC</t>
  </si>
  <si>
    <t>Top Outer Cutting</t>
  </si>
  <si>
    <t>Packaging</t>
  </si>
  <si>
    <t>Hole Bur</t>
  </si>
  <si>
    <t>Bottom Fatka</t>
  </si>
  <si>
    <t>Flatness Fatka</t>
  </si>
  <si>
    <t>Tool /  Operation Desc</t>
  </si>
  <si>
    <t>Operation No.</t>
  </si>
  <si>
    <t>Operation Name</t>
  </si>
  <si>
    <t>Machine</t>
  </si>
  <si>
    <t>SPM (Stroke Per Minutes)</t>
  </si>
  <si>
    <t>Tool Life (No of Shots)</t>
  </si>
  <si>
    <t>Preventive Maintainance Frequency (No of Shots)</t>
  </si>
  <si>
    <t>Preventive Maintainance Frequency (No of Months)</t>
  </si>
  <si>
    <t>Last Operation</t>
  </si>
  <si>
    <t>Circle Cutting Press</t>
  </si>
  <si>
    <t>3 Months</t>
  </si>
  <si>
    <t>Double Action Press</t>
  </si>
  <si>
    <t>Spinning / Rolling Machine</t>
  </si>
  <si>
    <t>Cutting Machine</t>
  </si>
  <si>
    <t>Single Action Press</t>
  </si>
  <si>
    <t>Buffing Motor</t>
  </si>
  <si>
    <t>Final Operation</t>
  </si>
  <si>
    <t>Hydrualic Press - 50Tn</t>
  </si>
  <si>
    <t>Hand Drill Machine</t>
  </si>
  <si>
    <t/>
  </si>
  <si>
    <t>Sr.No</t>
  </si>
  <si>
    <t>Machine Code</t>
  </si>
  <si>
    <t>Machine Name</t>
  </si>
  <si>
    <t>Department</t>
  </si>
  <si>
    <t>Process</t>
  </si>
  <si>
    <t>Capacity Per Mins</t>
  </si>
  <si>
    <t>Capacity Per Mins Multi Jar</t>
  </si>
  <si>
    <t>CCP01</t>
  </si>
  <si>
    <t>Circle Cutting Dept</t>
  </si>
  <si>
    <t>DAP01</t>
  </si>
  <si>
    <t>Pressing</t>
  </si>
  <si>
    <t>DAP02</t>
  </si>
  <si>
    <t>DAP03</t>
  </si>
  <si>
    <t>HYP01</t>
  </si>
  <si>
    <t>Hydrualic Press - 100Tn</t>
  </si>
  <si>
    <t>HYP02</t>
  </si>
  <si>
    <t>Sizing &amp; Round Fatka &amp; Cross Fatka</t>
  </si>
  <si>
    <t>SAP01</t>
  </si>
  <si>
    <t>SAP02</t>
  </si>
  <si>
    <t>SAP03</t>
  </si>
  <si>
    <t>SAP04</t>
  </si>
  <si>
    <t>SAP05</t>
  </si>
  <si>
    <t>SAP06</t>
  </si>
  <si>
    <t>Flow Breaker / Rib</t>
  </si>
  <si>
    <t>SAP07</t>
  </si>
  <si>
    <t>SAP08</t>
  </si>
  <si>
    <t>Bottom Hole / Rib</t>
  </si>
  <si>
    <t>S01</t>
  </si>
  <si>
    <t>Spinning / Rolling Dept</t>
  </si>
  <si>
    <t>Spinning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</si>
  <si>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</si>
  <si>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</si>
  <si>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</si>
  <si>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</si>
  <si>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</si>
  <si>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</si>
  <si>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</si>
  <si>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</si>
  <si>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</si>
  <si>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</si>
  <si>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</si>
  <si>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</si>
  <si>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</si>
  <si>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</si>
  <si>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</si>
  <si>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C01</t>
  </si>
  <si>
    <t>6pcs- single Jar &amp; 12pcs - Four jar at a time</t>
  </si>
  <si>
    <t>C02</t>
  </si>
  <si>
    <t>C03</t>
  </si>
  <si>
    <t>C04</t>
  </si>
  <si>
    <t>L01</t>
  </si>
  <si>
    <t>Lathe Machine</t>
  </si>
  <si>
    <t>Die Development</t>
  </si>
  <si>
    <t>L02</t>
  </si>
  <si>
    <t>L03</t>
  </si>
  <si>
    <t>Machine Operator</t>
  </si>
  <si>
    <t>Machine UID</t>
  </si>
  <si>
    <t>Department/
Section</t>
  </si>
  <si>
    <t>Make</t>
  </si>
  <si>
    <t>Capacity</t>
  </si>
  <si>
    <t>Installation Year</t>
  </si>
  <si>
    <t>In Use/ Not in Use/ Scrap(Dead)</t>
  </si>
  <si>
    <t>AMC</t>
  </si>
  <si>
    <t>Maintenance Manual (Y/N)</t>
  </si>
  <si>
    <t>Maint. Manual Type</t>
  </si>
  <si>
    <t xml:space="preserve"> Daily CLIT Sheet (Y/N)  Attach Link</t>
  </si>
  <si>
    <t xml:space="preserve">  Half Yearly PM(Y/N) Check sheet link</t>
  </si>
  <si>
    <t>Machine Operator Name</t>
  </si>
  <si>
    <t>Operator</t>
  </si>
  <si>
    <t>Anit</t>
  </si>
  <si>
    <t>25 Ton</t>
  </si>
  <si>
    <t>In use</t>
  </si>
  <si>
    <t>No</t>
  </si>
  <si>
    <t>https://docs.google.com/spreadsheets/d/1NfDLX2xq5NEvDIDWhF320HQJsl5ua4hg-3uVrDCK6ik/edit?gid=0#gid=0</t>
  </si>
  <si>
    <t>Mullaji / Aneet</t>
  </si>
  <si>
    <t>Appoo</t>
  </si>
  <si>
    <t>Pressing / Sizing</t>
  </si>
  <si>
    <t>Aneet</t>
  </si>
  <si>
    <t>Bal Govind</t>
  </si>
  <si>
    <t>Bhimrao</t>
  </si>
  <si>
    <t>Circle Press</t>
  </si>
  <si>
    <t>Rajendra Rajbhar</t>
  </si>
  <si>
    <t>Saheb Rao</t>
  </si>
  <si>
    <t>100 Ton</t>
  </si>
  <si>
    <t>Not in Use</t>
  </si>
  <si>
    <t>Ramdayal</t>
  </si>
  <si>
    <t>Sizing / Cross &amp; Round Fatka</t>
  </si>
  <si>
    <t>50 Ton</t>
  </si>
  <si>
    <t>Govind</t>
  </si>
  <si>
    <t>Aklesh Pandit</t>
  </si>
  <si>
    <t>Dayal Kumar</t>
  </si>
  <si>
    <t>Roshan Yadav</t>
  </si>
  <si>
    <t>Veer</t>
  </si>
  <si>
    <t>Avnish Sharma</t>
  </si>
  <si>
    <t>HYP03</t>
  </si>
  <si>
    <t>Ramsharan</t>
  </si>
  <si>
    <t>Jhinku</t>
  </si>
  <si>
    <t>HYP06</t>
  </si>
  <si>
    <t>Bhola</t>
  </si>
  <si>
    <t>Rambabu</t>
  </si>
  <si>
    <t>Goba</t>
  </si>
  <si>
    <t>5 HP</t>
  </si>
  <si>
    <t>Dharmendra</t>
  </si>
  <si>
    <t>Gutlee</t>
  </si>
  <si>
    <t>Deepak Thakur</t>
  </si>
  <si>
    <t>Deva</t>
  </si>
  <si>
    <t>Patti Fatka / Outer Cutting</t>
  </si>
  <si>
    <t>Dayalu</t>
  </si>
  <si>
    <t>Arjun</t>
  </si>
  <si>
    <t>Chandrashekhar</t>
  </si>
  <si>
    <t>Vikas Kahar</t>
  </si>
  <si>
    <t>Chintu</t>
  </si>
  <si>
    <t>Shrawan Turi</t>
  </si>
  <si>
    <t>Himanshu</t>
  </si>
  <si>
    <t>Aakash</t>
  </si>
  <si>
    <t>Rib</t>
  </si>
  <si>
    <t>Sunjan Thakur</t>
  </si>
  <si>
    <t>3 HP</t>
  </si>
  <si>
    <t>Vijay</t>
  </si>
  <si>
    <t>Kanhayalal</t>
  </si>
  <si>
    <t>Sushil</t>
  </si>
  <si>
    <t>Spinning/ Rolling</t>
  </si>
  <si>
    <t>Surajmal</t>
  </si>
  <si>
    <t>Pawan Sahu</t>
  </si>
  <si>
    <t>Ramnath</t>
  </si>
  <si>
    <t>Prem</t>
  </si>
  <si>
    <t>Kishor</t>
  </si>
  <si>
    <t>Puran</t>
  </si>
  <si>
    <t>Suresh Sahu</t>
  </si>
  <si>
    <t>Suresh Bhoir</t>
  </si>
  <si>
    <t>Pradum</t>
  </si>
  <si>
    <t>Jitendra</t>
  </si>
  <si>
    <t>Rajendra Chauhan</t>
  </si>
  <si>
    <t>Sunil</t>
  </si>
  <si>
    <t>Jar Cutting</t>
  </si>
  <si>
    <t>Karamjit</t>
  </si>
  <si>
    <t>Kavendar</t>
  </si>
  <si>
    <t>Rajendra Jaswal</t>
  </si>
  <si>
    <t>Sarabjit</t>
  </si>
  <si>
    <t>Narayan Patil</t>
  </si>
  <si>
    <t>Samir Ansari</t>
  </si>
  <si>
    <t>Sunil Kumar</t>
  </si>
  <si>
    <t>Chandrakant Patil</t>
  </si>
  <si>
    <t>Avdesh</t>
  </si>
  <si>
    <t>Ramesh Rajbhar</t>
  </si>
  <si>
    <t>Mukesh Prajapati</t>
  </si>
  <si>
    <t>Subhash Rajbhar</t>
  </si>
  <si>
    <t>S17</t>
  </si>
  <si>
    <t>Santosh</t>
  </si>
  <si>
    <t>Nitesh</t>
  </si>
  <si>
    <t>Brijkishor Pandit</t>
  </si>
  <si>
    <t>Sikandar</t>
  </si>
  <si>
    <t>Lavkush</t>
  </si>
  <si>
    <t>Kashi Prasad</t>
  </si>
  <si>
    <t>Sudhakar</t>
  </si>
  <si>
    <t>Dilkhush</t>
  </si>
  <si>
    <t>Shiva</t>
  </si>
  <si>
    <t>Vikram</t>
  </si>
  <si>
    <t>Anil</t>
  </si>
  <si>
    <t>Rupesh</t>
  </si>
  <si>
    <t>C05</t>
  </si>
  <si>
    <t>Vishal</t>
  </si>
  <si>
    <t>Vipin Yadav</t>
  </si>
  <si>
    <t>Harendra</t>
  </si>
  <si>
    <t>Suraj</t>
  </si>
  <si>
    <t>Niraj</t>
  </si>
  <si>
    <t>Arman khan</t>
  </si>
  <si>
    <t>Sandeep</t>
  </si>
  <si>
    <t>C06</t>
  </si>
  <si>
    <t>Priyanshu</t>
  </si>
  <si>
    <t>Kapil</t>
  </si>
  <si>
    <t>Manoj Sahu</t>
  </si>
  <si>
    <t>Samirulla</t>
  </si>
  <si>
    <t>Die Making</t>
  </si>
  <si>
    <t>Chandrakant Gavankar</t>
  </si>
  <si>
    <t>BF01</t>
  </si>
  <si>
    <t>Buffing</t>
  </si>
  <si>
    <t>7 HP</t>
  </si>
  <si>
    <t>BF02</t>
  </si>
  <si>
    <t>BF03</t>
  </si>
  <si>
    <t>BF04</t>
  </si>
  <si>
    <t>BF05</t>
  </si>
  <si>
    <t>BF06</t>
  </si>
  <si>
    <t>BF07</t>
  </si>
  <si>
    <t>BF08</t>
  </si>
  <si>
    <t>BF09</t>
  </si>
  <si>
    <t>BF10</t>
  </si>
  <si>
    <t>BF11</t>
  </si>
  <si>
    <t>Pankaj</t>
  </si>
  <si>
    <t>BF12</t>
  </si>
  <si>
    <t>Shipu</t>
  </si>
  <si>
    <t>BF13</t>
  </si>
  <si>
    <t>Rahul Shah</t>
  </si>
  <si>
    <t>BF14</t>
  </si>
  <si>
    <t>Kundan</t>
  </si>
  <si>
    <t>BF15</t>
  </si>
  <si>
    <t>BF16</t>
  </si>
  <si>
    <t>BF17</t>
  </si>
  <si>
    <t>Siyaram</t>
  </si>
  <si>
    <t>BF18</t>
  </si>
  <si>
    <t>Akshay</t>
  </si>
  <si>
    <t>BF19</t>
  </si>
  <si>
    <t>Tez Pratap</t>
  </si>
  <si>
    <t>BF20</t>
  </si>
  <si>
    <t xml:space="preserve">Chotu Balak </t>
  </si>
  <si>
    <t>BF21</t>
  </si>
  <si>
    <t xml:space="preserve">Pawan Lekha </t>
  </si>
  <si>
    <t>Munna Pandit</t>
  </si>
  <si>
    <t>BF22</t>
  </si>
  <si>
    <t>Subhash Yadav</t>
  </si>
  <si>
    <t>BF23</t>
  </si>
  <si>
    <t xml:space="preserve">Arvind </t>
  </si>
  <si>
    <t>BF24</t>
  </si>
  <si>
    <t>Vikas</t>
  </si>
  <si>
    <t>Ramashish</t>
  </si>
  <si>
    <t>Kartik</t>
  </si>
  <si>
    <t>Rakesh</t>
  </si>
  <si>
    <t>khushbu</t>
  </si>
  <si>
    <t>Sonam</t>
  </si>
  <si>
    <t>Tanvi</t>
  </si>
  <si>
    <t>Mansi</t>
  </si>
  <si>
    <t>Pallavi</t>
  </si>
  <si>
    <t>Muskan</t>
  </si>
  <si>
    <t>Vshanvi</t>
  </si>
  <si>
    <t>Complete Die No.</t>
  </si>
  <si>
    <t>Die Name</t>
  </si>
  <si>
    <t>Rack No</t>
  </si>
  <si>
    <t>Die No</t>
  </si>
  <si>
    <t>Op Code</t>
  </si>
  <si>
    <t>Operation</t>
  </si>
  <si>
    <t>Tool Life</t>
  </si>
  <si>
    <t>Prevent. Maint. Feq</t>
  </si>
  <si>
    <t>PM Fre Seondary</t>
  </si>
  <si>
    <t>RK1</t>
  </si>
  <si>
    <t>CC</t>
  </si>
  <si>
    <t>GJ1000-204 - Circle Cutting</t>
  </si>
  <si>
    <t>RK3</t>
  </si>
  <si>
    <t>PR1</t>
  </si>
  <si>
    <t>GJ1000-204 - Pressing 1</t>
  </si>
  <si>
    <t>6 Months</t>
  </si>
  <si>
    <t>RK6</t>
  </si>
  <si>
    <t>SX</t>
  </si>
  <si>
    <t>GJ1000-204 - Spinning - Direct</t>
  </si>
  <si>
    <t>RK8</t>
  </si>
  <si>
    <t>CU</t>
  </si>
  <si>
    <t>GJ1000-204 - Cutting</t>
  </si>
  <si>
    <t>RK5</t>
  </si>
  <si>
    <t>GB</t>
  </si>
  <si>
    <t>GJ1000-204 - Gobaa</t>
  </si>
  <si>
    <t>SI</t>
  </si>
  <si>
    <t>GJ1000-204 - Sizing</t>
  </si>
  <si>
    <t>PBF</t>
  </si>
  <si>
    <t>GJ1000-204 - Pre Buffing</t>
  </si>
  <si>
    <t>POL</t>
  </si>
  <si>
    <t>GJ1000-204 - Polishing</t>
  </si>
  <si>
    <t>RW</t>
  </si>
  <si>
    <t>GJ1000-204 - Rework</t>
  </si>
  <si>
    <t>CL</t>
  </si>
  <si>
    <t>GJ1000-204 - Cleaning</t>
  </si>
  <si>
    <t>HH</t>
  </si>
  <si>
    <t>GJ1000-204 - Handle Hole</t>
  </si>
  <si>
    <t>BH</t>
  </si>
  <si>
    <t>GJ1000-204 - Bottom Hole</t>
  </si>
  <si>
    <t>FC</t>
  </si>
  <si>
    <t>GJ1000-204 - Final Cleaning</t>
  </si>
  <si>
    <t>GJ1000-204 - QC</t>
  </si>
  <si>
    <t>FG</t>
  </si>
  <si>
    <t>GJ1000-204 - Packaging</t>
  </si>
  <si>
    <t>Ch Katori</t>
  </si>
  <si>
    <t>CK0600-204 - Circle Cutting</t>
  </si>
  <si>
    <t>CK0600-204 - Pressing 1</t>
  </si>
  <si>
    <t>CK0600-204 - Spinning - Direct</t>
  </si>
  <si>
    <t>CK0600-204 - Cutting</t>
  </si>
  <si>
    <t>PPO</t>
  </si>
  <si>
    <t>CK0600-204 - Patti Polishing</t>
  </si>
  <si>
    <t>RK4</t>
  </si>
  <si>
    <t>PF</t>
  </si>
  <si>
    <t>CK0600-204 - Patti Fatka</t>
  </si>
  <si>
    <t>CK0600-204 - Pre Buffing</t>
  </si>
  <si>
    <t>CK0600-204 - Polishing</t>
  </si>
  <si>
    <t>CK0600-204 - Rework</t>
  </si>
  <si>
    <t>CK0600-204 - Cleaning</t>
  </si>
  <si>
    <t>CK0600-204 - Handle Hole</t>
  </si>
  <si>
    <t>CK0600-204 - Bottom Hole</t>
  </si>
  <si>
    <t>CK0600-204 - Final Cleaning</t>
  </si>
  <si>
    <t>CK0600-204 - QC</t>
  </si>
  <si>
    <t>CK0600-204 - Packaging</t>
  </si>
  <si>
    <t>PP1500-202 - Circle Cutting</t>
  </si>
  <si>
    <t>PP1500-202 - Pressing 1</t>
  </si>
  <si>
    <t>PR2</t>
  </si>
  <si>
    <t>PP1500-202 - Pressing 2</t>
  </si>
  <si>
    <t>SD</t>
  </si>
  <si>
    <t>PP1500-202 - Spinning - Dab</t>
  </si>
  <si>
    <t>SF</t>
  </si>
  <si>
    <t>PP1500-202 - Spinning - Final</t>
  </si>
  <si>
    <t>PP1500-202 - Cutting</t>
  </si>
  <si>
    <t>PP1500-202 - Gobaa</t>
  </si>
  <si>
    <t>PP1500-202 - Patti Polishing</t>
  </si>
  <si>
    <t>PP1500-202 - Patti Fatka</t>
  </si>
  <si>
    <t>PP1500-202 - Polishing</t>
  </si>
  <si>
    <t>PP1500-202 - Rework</t>
  </si>
  <si>
    <t>PP1500-202 - Cleaning</t>
  </si>
  <si>
    <t>PP1500-202 - Handle Hole</t>
  </si>
  <si>
    <t>PP1500-202 - Bottom Hole</t>
  </si>
  <si>
    <t>RK2</t>
  </si>
  <si>
    <t>FB</t>
  </si>
  <si>
    <t>PP1500-202 - Flow Breaker</t>
  </si>
  <si>
    <t>PP1500-202 - Final Cleaning</t>
  </si>
  <si>
    <t>PP1500-202 - QC</t>
  </si>
  <si>
    <t>PP1500-202 - Packaging</t>
  </si>
  <si>
    <t>PP1000-202 - Circle Cutting</t>
  </si>
  <si>
    <t>PP1000-202 - Pressing 1</t>
  </si>
  <si>
    <t>PP1000-202 - Spinning - Direct</t>
  </si>
  <si>
    <t>PP1000-202 - Cutting</t>
  </si>
  <si>
    <t>PP1000-202 - Gobaa</t>
  </si>
  <si>
    <t>PP1000-202 - Patti Polishing</t>
  </si>
  <si>
    <t>PP1000-202 - Patti Fatka</t>
  </si>
  <si>
    <t>PP1000-202 - Polishing</t>
  </si>
  <si>
    <t>PP1000-202 - Rework</t>
  </si>
  <si>
    <t>PP1000-202 - Cleaning</t>
  </si>
  <si>
    <t>PP1000-202 - Handle Hole</t>
  </si>
  <si>
    <t>PP1000-202 - Bottom Hole</t>
  </si>
  <si>
    <t>PP1000-202 - Flow Breaker</t>
  </si>
  <si>
    <t>PP1000-202 - Final Cleaning</t>
  </si>
  <si>
    <t>PP1000-202 - QC</t>
  </si>
  <si>
    <t>PP1000-202 - Packaging</t>
  </si>
  <si>
    <t>PP0400-202 - Circle Cutting</t>
  </si>
  <si>
    <t>PP0400-202 - Pressing 1</t>
  </si>
  <si>
    <t>PP0400-202 - Spinning - Direct</t>
  </si>
  <si>
    <t>PP0400-202 - Cutting</t>
  </si>
  <si>
    <t>PP0400-202 - Gobaa</t>
  </si>
  <si>
    <t>PP0400-202 - Patti Polishing</t>
  </si>
  <si>
    <t>PP0400-202 - Patti Fatka</t>
  </si>
  <si>
    <t>PP0400-202 - Polishing</t>
  </si>
  <si>
    <t>PP0400-202 - Rework</t>
  </si>
  <si>
    <t>PP0400-202 - Cleaning</t>
  </si>
  <si>
    <t>PP0400-202 - Handle Hole</t>
  </si>
  <si>
    <t>PP0400-202 - Bottom Hole</t>
  </si>
  <si>
    <t>PP0400-202 - Final Cleaning</t>
  </si>
  <si>
    <t>PP0400-202 - QC</t>
  </si>
  <si>
    <t>PP0400-202 - Packaging</t>
  </si>
  <si>
    <t>VA1500-202 - Circle Cutting</t>
  </si>
  <si>
    <t>VA1500-202 - Pressing 1</t>
  </si>
  <si>
    <t>VA1500-202 - Pressing 2</t>
  </si>
  <si>
    <t>VA1500-202 - Spinning - Dab</t>
  </si>
  <si>
    <t>VA1500-202 - Spinning - Final</t>
  </si>
  <si>
    <t>VA1500-202 - Cutting</t>
  </si>
  <si>
    <t>VA1500-202 - Gobaa</t>
  </si>
  <si>
    <t>VA1500-202 - Patti Polishing</t>
  </si>
  <si>
    <t>VA1500-202 - Patti Fatka</t>
  </si>
  <si>
    <t>VA1500-202 - Polishing</t>
  </si>
  <si>
    <t>VA1500-202 - Rework</t>
  </si>
  <si>
    <t>VA1500-202 - Cleaning</t>
  </si>
  <si>
    <t>VA1500-202 - Handle Hole</t>
  </si>
  <si>
    <t>VA1500-202 - Bottom Hole</t>
  </si>
  <si>
    <t>VA1500-202 - Flow Breaker</t>
  </si>
  <si>
    <t>VA1500-202 - Final Cleaning</t>
  </si>
  <si>
    <t>VA1500-202 - QC</t>
  </si>
  <si>
    <t>VA1500-202 - Packaging</t>
  </si>
  <si>
    <t>VA1000-202 - Circle Cutting</t>
  </si>
  <si>
    <t>VA1000-202 - Pressing 1</t>
  </si>
  <si>
    <t>VA1000-202 - Spinning - Direct</t>
  </si>
  <si>
    <t>VA1000-202 - Cutting</t>
  </si>
  <si>
    <t>VA1000-202 - Gobaa</t>
  </si>
  <si>
    <t>VA1000-202 - Patti Polishing</t>
  </si>
  <si>
    <t>VA1000-202 - Patti Fatka</t>
  </si>
  <si>
    <t>VA1000-202 - Polishing</t>
  </si>
  <si>
    <t>VA1000-202 - Rework</t>
  </si>
  <si>
    <t>VA1000-202 - Cleaning</t>
  </si>
  <si>
    <t>VA1000-202 - Handle Hole</t>
  </si>
  <si>
    <t>VA1000-202 - Bottom Hole</t>
  </si>
  <si>
    <t>VA1000-202 - Flow Breaker</t>
  </si>
  <si>
    <t>VA1000-202 - Final Cleaning</t>
  </si>
  <si>
    <t>VA1000-202 - QC</t>
  </si>
  <si>
    <t>VA1000-202 - Packaging</t>
  </si>
  <si>
    <t>VA0400-202 - Circle Cutting</t>
  </si>
  <si>
    <t>VA0400-202 - Pressing 1</t>
  </si>
  <si>
    <t>VA0400-202 - Spinning - Direct</t>
  </si>
  <si>
    <t>VA0400-202 - Cutting</t>
  </si>
  <si>
    <t>VA0400-202 - Gobaa</t>
  </si>
  <si>
    <t>VA0400-202 - Patti Polishing</t>
  </si>
  <si>
    <t>VA0400-202 - Patti Fatka</t>
  </si>
  <si>
    <t>VA0400-202 - Polishing</t>
  </si>
  <si>
    <t>VA0400-202 - Rework</t>
  </si>
  <si>
    <t>VA0400-202 - Cleaning</t>
  </si>
  <si>
    <t>VA0400-202 - Bottom Hole</t>
  </si>
  <si>
    <t>VA0400-202 - Final Cleaning</t>
  </si>
  <si>
    <t>VA0400-202 - QC</t>
  </si>
  <si>
    <t>VA0400-202 - Packaging</t>
  </si>
  <si>
    <t>DJ1500-204 - Circle Cutting</t>
  </si>
  <si>
    <t>DJ1500-204 - Pressing 1</t>
  </si>
  <si>
    <t>DJ1500-204 - Spinning - Direct</t>
  </si>
  <si>
    <t>DJ1500-204 - Cutting</t>
  </si>
  <si>
    <t>DJ1500-204 - Gobaa</t>
  </si>
  <si>
    <t>DJ1500-204 - Patti Polishing</t>
  </si>
  <si>
    <t>DJ1500-204 - Patti Fatka</t>
  </si>
  <si>
    <t>DJ1500-204 - Pre Buffing</t>
  </si>
  <si>
    <t>DJ1500-204 - Polishing</t>
  </si>
  <si>
    <t>DJ1500-204 - Rework</t>
  </si>
  <si>
    <t>DJ1500-204 - Cleaning</t>
  </si>
  <si>
    <t>DJ1500-204 - Handle Hole</t>
  </si>
  <si>
    <t>DJ1500-204 - Bottom Hole</t>
  </si>
  <si>
    <t>DJ1500-204 - Flow Breaker</t>
  </si>
  <si>
    <t>DJ1500-204 - Final Cleaning</t>
  </si>
  <si>
    <t>DJ1500-204 - QC</t>
  </si>
  <si>
    <t>DJ1500-204 - Packaging</t>
  </si>
  <si>
    <t>ST-1500</t>
  </si>
  <si>
    <t>FJ1000-204 - Circle Cutting</t>
  </si>
  <si>
    <t>FJ1000-204 - Pressing 1</t>
  </si>
  <si>
    <t>FJ1000-204 - Spinning - Direct</t>
  </si>
  <si>
    <t>FJ1000-204 - Cutting</t>
  </si>
  <si>
    <t>FJ1000-204 - Gobaa</t>
  </si>
  <si>
    <t>FJ1000-204 - Patti Polishing</t>
  </si>
  <si>
    <t>FJ1000-204 - Patti Fatka</t>
  </si>
  <si>
    <t>FJ1000-204 - Pre Buffing</t>
  </si>
  <si>
    <t>FJ1000-204 - Polishing</t>
  </si>
  <si>
    <t>FJ1000-204 - Rework</t>
  </si>
  <si>
    <t>FJ1000-204 - Cleaning</t>
  </si>
  <si>
    <t>FJ1000-204 - Handle Hole</t>
  </si>
  <si>
    <t>FJ1000-204 - Bottom Hole</t>
  </si>
  <si>
    <t>FJ1000-204 - Flow Breaker</t>
  </si>
  <si>
    <t>FJ1000-204 - Final Cleaning</t>
  </si>
  <si>
    <t>FJ1000-204 - QC</t>
  </si>
  <si>
    <t>FJ1000-204 - Packaging</t>
  </si>
  <si>
    <t>ST1500-202 - Circle Cutting</t>
  </si>
  <si>
    <t>ST1500-202 - Pressing 1</t>
  </si>
  <si>
    <t>ST1500-202 - Spinning - Dab</t>
  </si>
  <si>
    <t>ST1500-202 - Spinning - Final</t>
  </si>
  <si>
    <t>ST1500-202 - Cutting</t>
  </si>
  <si>
    <t>ST1500-202 - Gobaa</t>
  </si>
  <si>
    <t>ST1500-202 - Sizing</t>
  </si>
  <si>
    <t>FA</t>
  </si>
  <si>
    <t>ST1500-202 - Round Fatka</t>
  </si>
  <si>
    <t>ST1500-202 - Pre Buffing</t>
  </si>
  <si>
    <t>ST1500-202 - Polishing</t>
  </si>
  <si>
    <t>ST1500-202 - Rework</t>
  </si>
  <si>
    <t>ST1500-202 - Cleaning</t>
  </si>
  <si>
    <t>ST1500-202 - Bottom Hole</t>
  </si>
  <si>
    <t>ST1500-202 - Flow Breaker</t>
  </si>
  <si>
    <t>ST1500-202 - Final Cleaning</t>
  </si>
  <si>
    <t>ST1500-202 - QC</t>
  </si>
  <si>
    <t>ST1500-202 - Packaging</t>
  </si>
  <si>
    <t>ST1000-202 - Circle Cutting</t>
  </si>
  <si>
    <t>ST-1000</t>
  </si>
  <si>
    <t>ST1000-202 - Pressing 1</t>
  </si>
  <si>
    <t>ST1000-202 - Spinning - Direct</t>
  </si>
  <si>
    <t>ST1000-202 - Cutting</t>
  </si>
  <si>
    <t>ST1000-202 - Gobaa</t>
  </si>
  <si>
    <t>ST1000-202 - Sizing</t>
  </si>
  <si>
    <t>ST1000-202 - Round Fatka</t>
  </si>
  <si>
    <t>ST1000-202 - Pre Buffing</t>
  </si>
  <si>
    <t>ST1000-202 - Polishing</t>
  </si>
  <si>
    <t>ST1000-202 - Rework</t>
  </si>
  <si>
    <t>ST1000-202 - Cleaning</t>
  </si>
  <si>
    <t>ST1000-202 - Bottom Hole</t>
  </si>
  <si>
    <t>ST1000-202 - Flow Breaker</t>
  </si>
  <si>
    <t>ST1000-202 - Final Cleaning</t>
  </si>
  <si>
    <t>ST1000-202 - QC</t>
  </si>
  <si>
    <t>ST1000-202 - Packaging</t>
  </si>
  <si>
    <t>GX1500-202 - Circle Cutting</t>
  </si>
  <si>
    <t>GX-1500</t>
  </si>
  <si>
    <t>GX1500-202 - Pressing 1</t>
  </si>
  <si>
    <t>GX1500-202 - Spinning - Dab</t>
  </si>
  <si>
    <t>GX1500-202 - Spinning - Final</t>
  </si>
  <si>
    <t>GX1500-202 - Cutting</t>
  </si>
  <si>
    <t>GX1500-202 - Cross Fatka</t>
  </si>
  <si>
    <t>GX1500-202 - Pre Buffing</t>
  </si>
  <si>
    <t>GX1500-202 - Polishing</t>
  </si>
  <si>
    <t>GX1500-202 - Rework</t>
  </si>
  <si>
    <t>GX1500-202 - Cleaning</t>
  </si>
  <si>
    <t>GX1500-202 - Handle Hole</t>
  </si>
  <si>
    <t>GX1500-202 - Bottom Hole</t>
  </si>
  <si>
    <t>GX1500-202 - Flow Breaker</t>
  </si>
  <si>
    <t>GX1500-202 - Final Cleaning</t>
  </si>
  <si>
    <t>GX1500-202 - QC</t>
  </si>
  <si>
    <t>GX1500-202 - Packaging</t>
  </si>
  <si>
    <t>GX1000-202 - Circle Cutting</t>
  </si>
  <si>
    <t>GX-1000</t>
  </si>
  <si>
    <t>GX1000-202 - Pressing 1</t>
  </si>
  <si>
    <t>GX1000-202 - Spinning - Direct</t>
  </si>
  <si>
    <t>GX1000-202 - Cutting</t>
  </si>
  <si>
    <t>GX1000-202 - Cross Fatka</t>
  </si>
  <si>
    <t>GX1000-202 - Pre Buffing</t>
  </si>
  <si>
    <t>GX1000-202 - Polishing</t>
  </si>
  <si>
    <t>GX1000-202 - Rework</t>
  </si>
  <si>
    <t>GX1000-202 - Cleaning</t>
  </si>
  <si>
    <t>GX1000-202 - Handle Hole</t>
  </si>
  <si>
    <t>GX1000-202 - Bottom Hole</t>
  </si>
  <si>
    <t>GX1000-202 - Flow Breaker</t>
  </si>
  <si>
    <t>GX1000-202 - Final Cleaning</t>
  </si>
  <si>
    <t>GX1000-202 - QC</t>
  </si>
  <si>
    <t>GX1000-202 - Packaging</t>
  </si>
  <si>
    <t>VF1500-202 - Circle Cutting</t>
  </si>
  <si>
    <t>VF1500-202 - Pressing 1</t>
  </si>
  <si>
    <t>VF1500-202 - Pressing 2</t>
  </si>
  <si>
    <t>VF1500-202 - Spinning - Dab</t>
  </si>
  <si>
    <t>VF1500-202 - Spinning - Final</t>
  </si>
  <si>
    <t>VF1500-202 - Cutting</t>
  </si>
  <si>
    <t>VF1500-202 - Patti Polishing</t>
  </si>
  <si>
    <t>VF1500-202 - Patti Fatka</t>
  </si>
  <si>
    <t>VF1500-202 - Polishing</t>
  </si>
  <si>
    <t>VF1500-202 - Rework</t>
  </si>
  <si>
    <t>VF1500-202 - Cleaning</t>
  </si>
  <si>
    <t>VF1500-202 - Handle Hole</t>
  </si>
  <si>
    <t>PP Flat</t>
  </si>
  <si>
    <t>VF1500-202 - Bottom Hole</t>
  </si>
  <si>
    <t>VF1500-202 - Flow Breaker</t>
  </si>
  <si>
    <t>VF1500-202 - Final Cleaning</t>
  </si>
  <si>
    <t>VF1500-202 - QC</t>
  </si>
  <si>
    <t>VF1500-202 - Packaging</t>
  </si>
  <si>
    <t>VF1000-202 - Circle Cutting</t>
  </si>
  <si>
    <t>VF1000-202 - Pressing 1</t>
  </si>
  <si>
    <t>VF1000-202 - Spinning - Direct</t>
  </si>
  <si>
    <t>VF1000-202 - Cutting</t>
  </si>
  <si>
    <t>VF1000-202 - Patti Polishing</t>
  </si>
  <si>
    <t>VF1000-202 - Patti Fatka</t>
  </si>
  <si>
    <t>VF1000-202 - Polishing</t>
  </si>
  <si>
    <t>VF1000-202 - Rework</t>
  </si>
  <si>
    <t>VF1000-202 - Cleaning</t>
  </si>
  <si>
    <t>VF1000-202 - Handle Hole</t>
  </si>
  <si>
    <t>VF1000-202 - Bottom Hole</t>
  </si>
  <si>
    <t>VF1000-202 - Flow Breaker</t>
  </si>
  <si>
    <t>VF1000-202 - Final Cleaning</t>
  </si>
  <si>
    <t>VF1000-202 - QC</t>
  </si>
  <si>
    <t>VF1000-202 - Packaging</t>
  </si>
  <si>
    <t>VF0400-202 - Circle Cutting</t>
  </si>
  <si>
    <t>VF0400-202 - Pressing 1</t>
  </si>
  <si>
    <t>VF0400-202 - Spinning - Direct</t>
  </si>
  <si>
    <t>VF0400-202 - Cutting</t>
  </si>
  <si>
    <t>VF0400-202 - Patti Polishing</t>
  </si>
  <si>
    <t>VF0400-202 - Patti Fatka</t>
  </si>
  <si>
    <t>VF0400-202 - Polishing</t>
  </si>
  <si>
    <t>VF0400-202 - Cleaning</t>
  </si>
  <si>
    <t>VF0400-202 - Bottom Hole</t>
  </si>
  <si>
    <t>VF0400-202 - Final Cleaning</t>
  </si>
  <si>
    <t>VF0400-202 - QC</t>
  </si>
  <si>
    <t>VF0400-202 - Packaging</t>
  </si>
  <si>
    <t>MA1500-204 - Circle Cutting</t>
  </si>
  <si>
    <t>MA Wet</t>
  </si>
  <si>
    <t>MA1500-204 - Pressing 1</t>
  </si>
  <si>
    <t>MA1500-204 - Spinning - Dab</t>
  </si>
  <si>
    <t>MA1500-204 - Spinning - Final</t>
  </si>
  <si>
    <t>MA1500-204 - Cutting</t>
  </si>
  <si>
    <t>MA1500-204 - Gobaa</t>
  </si>
  <si>
    <t>RF</t>
  </si>
  <si>
    <t>MA1500-204 - Radius Fatka</t>
  </si>
  <si>
    <t>MA1500-204 - Sizing</t>
  </si>
  <si>
    <t>MA1500-204 - Pre Buffing</t>
  </si>
  <si>
    <t>OC</t>
  </si>
  <si>
    <t>MA1500-204 - Top Outer Cutting</t>
  </si>
  <si>
    <t>MA1500-204 - Polishing</t>
  </si>
  <si>
    <t>BF</t>
  </si>
  <si>
    <t>MA1500-204 - Bottom Fatka</t>
  </si>
  <si>
    <t>MA1500-204 - Rework</t>
  </si>
  <si>
    <t>MA1500-204 - Cleaning</t>
  </si>
  <si>
    <t>MA1500-204 - Handle Hole</t>
  </si>
  <si>
    <t>MA1500-204 - Bottom Hole</t>
  </si>
  <si>
    <t>MA1500-204 - Flow Breaker</t>
  </si>
  <si>
    <t>DB</t>
  </si>
  <si>
    <t>MA1500-204 - Deburring</t>
  </si>
  <si>
    <t>MA1500-204 - Final Cleaning</t>
  </si>
  <si>
    <t>MA1500-204 - QC</t>
  </si>
  <si>
    <t>MA1500-204 - Packaging</t>
  </si>
  <si>
    <t>MA Dry</t>
  </si>
  <si>
    <t>MA1000-204 - Circle Cutting</t>
  </si>
  <si>
    <t>MA1000-204 - Pressing 1</t>
  </si>
  <si>
    <t>MA1000-204 - Spinning - Direct</t>
  </si>
  <si>
    <t>MA1000-204 - Cutting</t>
  </si>
  <si>
    <t>MA1000-204 - Gobaa</t>
  </si>
  <si>
    <t>MA1000-204 - Radius Fatka</t>
  </si>
  <si>
    <t>MA1000-204 - Pre Buffing</t>
  </si>
  <si>
    <t>MA1000-204 - Polishing</t>
  </si>
  <si>
    <t>MA1000-204 - Bottom Fatka</t>
  </si>
  <si>
    <t>MA1000-204 - Rework</t>
  </si>
  <si>
    <t>MA1000-204 - Cleaning</t>
  </si>
  <si>
    <t>MA1000-204 - Handle Hole</t>
  </si>
  <si>
    <t>MA1000-204 - Bottom Hole</t>
  </si>
  <si>
    <t>MA1000-204 - Flow Breaker</t>
  </si>
  <si>
    <t>MA1000-204 - Deburring</t>
  </si>
  <si>
    <t>MA1000-204 - Final Cleaning</t>
  </si>
  <si>
    <t>MA1000-204 - QC</t>
  </si>
  <si>
    <t>MA1000-204 - Packaging</t>
  </si>
  <si>
    <t>MA0400-204 - Circle Cutting</t>
  </si>
  <si>
    <t>MA Chutney</t>
  </si>
  <si>
    <t>MA0400-204 - Pressing 1</t>
  </si>
  <si>
    <t>MA0400-204 - Spinning - Direct</t>
  </si>
  <si>
    <t>MA0400-204 - Cutting</t>
  </si>
  <si>
    <t>MA0400-204 - Gobaa</t>
  </si>
  <si>
    <t>MA0400-204 - Radius Fatka</t>
  </si>
  <si>
    <t>MA0400-204 - Pre Buffing</t>
  </si>
  <si>
    <t>MA0400-204 - Polishing</t>
  </si>
  <si>
    <t>MA0400-204 - Bottom Fatka</t>
  </si>
  <si>
    <t>MA0400-204 - Rework</t>
  </si>
  <si>
    <t>MA0400-204 - Cleaning</t>
  </si>
  <si>
    <t>MA0400-204 - Handle Hole</t>
  </si>
  <si>
    <t>MA0400-204 - Bottom Hole</t>
  </si>
  <si>
    <t>MA0400-204 - Deburring</t>
  </si>
  <si>
    <t>MA0400-204 - Final Cleaning</t>
  </si>
  <si>
    <t>MA0400-204 - QC</t>
  </si>
  <si>
    <t>MA0400-204 - Packaging</t>
  </si>
  <si>
    <t>PF1500-202 - Circle Cutting</t>
  </si>
  <si>
    <t>PF1500-202 - Pressing 1</t>
  </si>
  <si>
    <t>PF1500-202 - Pressing 2</t>
  </si>
  <si>
    <t>PF1500-202 - Spinning - Dab</t>
  </si>
  <si>
    <t>PF1500-202 - Spinning - Final</t>
  </si>
  <si>
    <t>PF1500-202 - Cutting</t>
  </si>
  <si>
    <t>PF1500-202 - Patti Polishing</t>
  </si>
  <si>
    <t>PF1500-202 - Patti Fatka</t>
  </si>
  <si>
    <t>PF1500-202 - Polishing</t>
  </si>
  <si>
    <t>PF1500-202 - Rework</t>
  </si>
  <si>
    <t>PF1500-202 - Cleaning</t>
  </si>
  <si>
    <t>PF1500-202 - Handle Hole</t>
  </si>
  <si>
    <t>PF1500-202 - Bottom Hole</t>
  </si>
  <si>
    <t>PF1500-202 - Flow Breaker</t>
  </si>
  <si>
    <t>PF1500-202 - Final Cleaning</t>
  </si>
  <si>
    <t>PF1500-202 - QC</t>
  </si>
  <si>
    <t>PF1500-202 - Packaging</t>
  </si>
  <si>
    <t>PF1000-202 - Circle Cutting</t>
  </si>
  <si>
    <t>PF1000-202 - Pressing 1</t>
  </si>
  <si>
    <t>PF1000-202 - Spinning - Direct</t>
  </si>
  <si>
    <t>PF1000-202 - Cutting</t>
  </si>
  <si>
    <t>PF1000-202 - Patti Polishing</t>
  </si>
  <si>
    <t>PF1000-202 - Patti Fatka</t>
  </si>
  <si>
    <t>PF1000-202 - Polishing</t>
  </si>
  <si>
    <t>PF1000-202 - Rework</t>
  </si>
  <si>
    <t>PF1000-202 - Cleaning</t>
  </si>
  <si>
    <t>PF1000-202 - Handle Hole</t>
  </si>
  <si>
    <t>PF1000-202 - Bottom Hole</t>
  </si>
  <si>
    <t>PF1000-202 - Flow Breaker</t>
  </si>
  <si>
    <t>PF1000-202 - Final Cleaning</t>
  </si>
  <si>
    <t>PF1000-202 - QC</t>
  </si>
  <si>
    <t>PF1000-202 - Packaging</t>
  </si>
  <si>
    <t>PF0400-202 - Circle Cutting</t>
  </si>
  <si>
    <t>PF0400-202 - Pressing 1</t>
  </si>
  <si>
    <t>PF0400-202 - Spinning - Direct</t>
  </si>
  <si>
    <t>PF0400-202 - Cutting</t>
  </si>
  <si>
    <t>PF0400-202 - Patti Polishing</t>
  </si>
  <si>
    <t>PF0400-202 - Patti Fatka</t>
  </si>
  <si>
    <t>PF0400-202 - Polishing</t>
  </si>
  <si>
    <t>PF0400-202 - Rework</t>
  </si>
  <si>
    <t>PF0400-202 - Cleaning</t>
  </si>
  <si>
    <t>PF0400-202 - Handle Hole</t>
  </si>
  <si>
    <t>PF0400-202 - Bottom Hole</t>
  </si>
  <si>
    <t>PF0400-202 - Final Cleaning</t>
  </si>
  <si>
    <t>PF0400-202 - QC</t>
  </si>
  <si>
    <t>PF0400-202 - Packaging</t>
  </si>
  <si>
    <t>Bowl</t>
  </si>
  <si>
    <t>BO2000-202 - Circle Cutting</t>
  </si>
  <si>
    <t>BO2000-202 - Pressing 1</t>
  </si>
  <si>
    <t>BO2000-202 - Spinning - Dab</t>
  </si>
  <si>
    <t>BO2000-202 - Spinning - Final</t>
  </si>
  <si>
    <t>BO2000-202 - Cutting</t>
  </si>
  <si>
    <t>BO2000-202 - Sizing</t>
  </si>
  <si>
    <t>BO2000-202 - Pre Buffing</t>
  </si>
  <si>
    <t>BO2000-202 - Polishing</t>
  </si>
  <si>
    <t>TOC</t>
  </si>
  <si>
    <t>BO2000-202 - Top Oval Cutting</t>
  </si>
  <si>
    <t>BO2000-202 - Deburring</t>
  </si>
  <si>
    <t>BO2000-202 - Rework</t>
  </si>
  <si>
    <t>BO2000-202 - Cleaning</t>
  </si>
  <si>
    <t>BO2000-202 - Handle Hole</t>
  </si>
  <si>
    <t>BO2000-202 - Bottom Hole</t>
  </si>
  <si>
    <t>BO2000-202 - Final Cleaning</t>
  </si>
  <si>
    <t>BO2000-202 - QC</t>
  </si>
  <si>
    <t>BO2000-202 - Packaging</t>
  </si>
  <si>
    <t>ND1500-204 - Circle Cutting</t>
  </si>
  <si>
    <t>Nano Dome</t>
  </si>
  <si>
    <t>ND1500-204 - Pressing 1</t>
  </si>
  <si>
    <t>ND1500-204 - Spinning - Direct</t>
  </si>
  <si>
    <t>ND1500-204 - Radius Fatka</t>
  </si>
  <si>
    <t>ND1500-204 - Cutting</t>
  </si>
  <si>
    <t>ND1500-204 - Gobaa</t>
  </si>
  <si>
    <t>ND1500-204 - Pre Buffing</t>
  </si>
  <si>
    <t>ND1500-204 - Polishing</t>
  </si>
  <si>
    <t>ND1500-204 - Cleaning</t>
  </si>
  <si>
    <t>ND1500-204 - Handle Hole</t>
  </si>
  <si>
    <t>ND1500-204 - Bottom Hole</t>
  </si>
  <si>
    <t>ND1500-204 - Flow Breaker</t>
  </si>
  <si>
    <t>ND1500-204 - Final Cleaning</t>
  </si>
  <si>
    <t>ND1500-204 - QC</t>
  </si>
  <si>
    <t>ND1500-204 - Packaging</t>
  </si>
  <si>
    <t>NF1000-204 - Circle Cutting</t>
  </si>
  <si>
    <t>Nano Flat</t>
  </si>
  <si>
    <t>NF1000-204 - Pressing 1</t>
  </si>
  <si>
    <t>NF1000-204 - Spinning - Direct</t>
  </si>
  <si>
    <t>NF1000-204 - Radius Fatka</t>
  </si>
  <si>
    <t>NF1000-204 - Cutting</t>
  </si>
  <si>
    <t>NF1000-204 - Gobaa</t>
  </si>
  <si>
    <t>NF1000-204 - Pre Buffing</t>
  </si>
  <si>
    <t>NF1000-204 - Polishing</t>
  </si>
  <si>
    <t>NF1000-204 - Cleaning</t>
  </si>
  <si>
    <t>NF1000-204 - Handle Hole</t>
  </si>
  <si>
    <t>NF1000-204 - Bottom Hole</t>
  </si>
  <si>
    <t>NF1000-204 - Flow Breaker</t>
  </si>
  <si>
    <t>NF1000-204 - Final Cleaning</t>
  </si>
  <si>
    <t>NF1000-204 - QC</t>
  </si>
  <si>
    <t>NF1000-204 - Packaging</t>
  </si>
  <si>
    <t>NC0400-204 - Circle Cutting</t>
  </si>
  <si>
    <t>Nano Chutney</t>
  </si>
  <si>
    <t>NC0400-204 - Pressing 1</t>
  </si>
  <si>
    <t>NC0400-204 - Spinning - Direct</t>
  </si>
  <si>
    <t>NC0400-204 - Radius Fatka</t>
  </si>
  <si>
    <t>NC0400-204 - Cutting</t>
  </si>
  <si>
    <t>NC0400-204 - Pre Buffing</t>
  </si>
  <si>
    <t>NC0400-204 - Polishing</t>
  </si>
  <si>
    <t>NC0400-204 - Cleaning</t>
  </si>
  <si>
    <t>NC0400-204 - Handle Hole</t>
  </si>
  <si>
    <t>NC0400-204 - Bottom Hole</t>
  </si>
  <si>
    <t>NC0400-204 - Final Cleaning</t>
  </si>
  <si>
    <t>NC0400-204 - QC</t>
  </si>
  <si>
    <t>NC0400-204 - Packaging</t>
  </si>
  <si>
    <t>TB1500-204 - Circle Cutting</t>
  </si>
  <si>
    <t>TB1500-204 - Pressing 1</t>
  </si>
  <si>
    <t>TB1500-204 - Spinning - Dab</t>
  </si>
  <si>
    <t>TB1500-204 - Spinning - Final</t>
  </si>
  <si>
    <t>TB1500-204 - Cutting</t>
  </si>
  <si>
    <t>TB1500-204 - Gobaa</t>
  </si>
  <si>
    <t>BD</t>
  </si>
  <si>
    <t>TB1500-204 - Bidding</t>
  </si>
  <si>
    <t>TB1500-204 - Cross Fatka</t>
  </si>
  <si>
    <t>TB1500-204 - Polishing</t>
  </si>
  <si>
    <t>TB1500-204 - Cleaning</t>
  </si>
  <si>
    <t>TB1500-204 - Handle Hole</t>
  </si>
  <si>
    <t>TB1500-204 - Bottom Hole</t>
  </si>
  <si>
    <t>TB1500-204 - Flow Breaker</t>
  </si>
  <si>
    <t>TB1500-204 - Final Cleaning</t>
  </si>
  <si>
    <t>TB1500-204 - QC</t>
  </si>
  <si>
    <t>TB1500-204 - Packaging</t>
  </si>
  <si>
    <t>TB1000-204 - Circle Cutting</t>
  </si>
  <si>
    <t>TB1000-204 - Pressing 1</t>
  </si>
  <si>
    <t>TB1000-204 - Spinning - Direct</t>
  </si>
  <si>
    <t>TB1000-204 - Cutting</t>
  </si>
  <si>
    <t>TB1000-204 - Gobaa</t>
  </si>
  <si>
    <t>TB1000-204 - Bidding</t>
  </si>
  <si>
    <t>TB1000-204 - Cross Fatka</t>
  </si>
  <si>
    <t>TB1000-204 - Polishing</t>
  </si>
  <si>
    <t>TB1000-204 - Cleaning</t>
  </si>
  <si>
    <t>TB1000-204 - Handle Hole</t>
  </si>
  <si>
    <t>TB1000-204 - Bottom Hole</t>
  </si>
  <si>
    <t>TB1000-204 - Flow Breaker</t>
  </si>
  <si>
    <t>TB1000-204 - Final Cleaning</t>
  </si>
  <si>
    <t>TB1000-204 - QC</t>
  </si>
  <si>
    <t>TB1000-204 - Packaging</t>
  </si>
  <si>
    <t>TP1500-202 - Circle Cutting</t>
  </si>
  <si>
    <t>TP1500-202 - Pressing 1</t>
  </si>
  <si>
    <t>TP1500-202 - Spinning - Dab</t>
  </si>
  <si>
    <t>TP1500-202 - Spinning - Final</t>
  </si>
  <si>
    <t>TP1500-202 - Cutting</t>
  </si>
  <si>
    <t>TP1500-202 - Radius Fatka</t>
  </si>
  <si>
    <t>TP1500-202 - Gobaa</t>
  </si>
  <si>
    <t>TP1500-202 - Polishing</t>
  </si>
  <si>
    <t>TP1500-202 - Cleaning</t>
  </si>
  <si>
    <t>TP1500-202 - Handle Hole</t>
  </si>
  <si>
    <t>TP1500-202 - Bottom Hole</t>
  </si>
  <si>
    <t>TP1500-202 - Flow Breaker</t>
  </si>
  <si>
    <t>TP1500-202 - Final Cleaning</t>
  </si>
  <si>
    <t>TP1500-202 - QC</t>
  </si>
  <si>
    <t>TP1500-202 - Packaging</t>
  </si>
  <si>
    <t>TP1000-202 - Circle Cutting</t>
  </si>
  <si>
    <t>TP1000-202 - Pressing 1</t>
  </si>
  <si>
    <t>TP1000-202 - Cutting</t>
  </si>
  <si>
    <t>TP1000-202 - Radius Fatka</t>
  </si>
  <si>
    <t>TP1000-202 - Gobaa</t>
  </si>
  <si>
    <t>TP1000-202 - Polishing</t>
  </si>
  <si>
    <t>TP1000-202 - Cleaning</t>
  </si>
  <si>
    <t>TP1000-202 - Handle Hole</t>
  </si>
  <si>
    <t>TP1000-202 - Bottom Hole</t>
  </si>
  <si>
    <t>TP1000-202 - Flow Breaker</t>
  </si>
  <si>
    <t>TP1000-202 - Final Cleaning</t>
  </si>
  <si>
    <t>TP1000-202 - QC</t>
  </si>
  <si>
    <t>TP1000-202 - Packaging</t>
  </si>
  <si>
    <t>TP0750-202 - Circle Cutting</t>
  </si>
  <si>
    <t>TP0750-202 - Pressing 1</t>
  </si>
  <si>
    <t>TP0750-202 - Spinning - Direct</t>
  </si>
  <si>
    <t>TP0750-202 - Cutting</t>
  </si>
  <si>
    <t>TP0750-202 - Radius Fatka</t>
  </si>
  <si>
    <t>TP0750-202 - Gobaa</t>
  </si>
  <si>
    <t>TP0750-202 - Polishing</t>
  </si>
  <si>
    <t>TP0750-202 - Cleaning</t>
  </si>
  <si>
    <t>TP0750-202 - Handle Hole</t>
  </si>
  <si>
    <t>TP0750-202 - Bottom Hole</t>
  </si>
  <si>
    <t>TP0750-202 - Flow Breaker</t>
  </si>
  <si>
    <t>TP0750-202 - Final Cleaning</t>
  </si>
  <si>
    <t>TP0750-202 - QC</t>
  </si>
  <si>
    <t>TP0750-202 - Packaging</t>
  </si>
  <si>
    <t>Item Name</t>
  </si>
  <si>
    <t>Process Abb</t>
  </si>
  <si>
    <t>Product Code wth Grade</t>
  </si>
  <si>
    <t>Product Code with Process</t>
  </si>
  <si>
    <t>PB</t>
  </si>
  <si>
    <t>Abbreviation</t>
  </si>
  <si>
    <t>FAR</t>
  </si>
  <si>
    <t>FAC</t>
  </si>
  <si>
    <t>RIB</t>
  </si>
  <si>
    <t>Department Name</t>
  </si>
  <si>
    <t>Short Name</t>
  </si>
  <si>
    <t>SKU with Process Code</t>
  </si>
  <si>
    <t>ssss</t>
  </si>
  <si>
    <t>Bidding Dept</t>
  </si>
  <si>
    <t>Cross Fatka Dept</t>
  </si>
  <si>
    <t>Cutting Dept</t>
  </si>
  <si>
    <t>Gobaa Dept</t>
  </si>
  <si>
    <t>Patti Fatka Dept</t>
  </si>
  <si>
    <t>Patti Polishing Dept</t>
  </si>
  <si>
    <t>Polishing Dept</t>
  </si>
  <si>
    <t>Pressing Dept</t>
  </si>
  <si>
    <t>PR</t>
  </si>
  <si>
    <t>QC Dept</t>
  </si>
  <si>
    <t>Repair Polishing 1 Dept</t>
  </si>
  <si>
    <t>RP1</t>
  </si>
  <si>
    <t>Repair Polishing 1</t>
  </si>
  <si>
    <t>Repair Polishing 2 Dept</t>
  </si>
  <si>
    <t>RP2</t>
  </si>
  <si>
    <t>Repair Polishing 2</t>
  </si>
  <si>
    <t>Round Fatka Dept</t>
  </si>
  <si>
    <t>Sizing Dept</t>
  </si>
  <si>
    <t>Spinning - Dab Dept</t>
  </si>
  <si>
    <t>Spinning - Direct Dept</t>
  </si>
  <si>
    <t>2.0 Ltr Bowl</t>
  </si>
  <si>
    <t>Spinning - Final Dept</t>
  </si>
  <si>
    <t>1.5 Ltr Taper Jar - Bidding</t>
  </si>
  <si>
    <t>Top Oval Cutting Dept</t>
  </si>
  <si>
    <t>PC</t>
  </si>
  <si>
    <t>1.0 Ltr Taper Jar - Bidding</t>
  </si>
  <si>
    <t>Handle Hole Dept</t>
  </si>
  <si>
    <t>1.5 Ltr Taper Jar - Patti</t>
  </si>
  <si>
    <t>Bottom Hole Dept</t>
  </si>
  <si>
    <t>1.0 Ltr Taper Jar - Patti</t>
  </si>
  <si>
    <t>Flow Breaker Dept</t>
  </si>
  <si>
    <t>Pressing 1 Dept</t>
  </si>
  <si>
    <t>Pressing 2 Dept</t>
  </si>
  <si>
    <t>Cleaning Dept</t>
  </si>
  <si>
    <t>NJ1500-202</t>
  </si>
  <si>
    <t>Issued from Rejection Dept</t>
  </si>
  <si>
    <t>IFR</t>
  </si>
  <si>
    <t>Issued from Rejection</t>
  </si>
  <si>
    <t>NJ1000-202</t>
  </si>
  <si>
    <t>Final Cleaning Dept</t>
  </si>
  <si>
    <t>NJ0400-202</t>
  </si>
  <si>
    <t>Circle Bur Cleaning Dept</t>
  </si>
  <si>
    <t>CBC</t>
  </si>
  <si>
    <t>Circle Bur Cleaning</t>
  </si>
  <si>
    <t>Maple Big Jar</t>
  </si>
  <si>
    <t>Maple Medium Jar</t>
  </si>
  <si>
    <t>Maple Small Jar</t>
  </si>
  <si>
    <t>Code</t>
  </si>
  <si>
    <t>Name of the Jar</t>
  </si>
  <si>
    <t>Grade</t>
  </si>
  <si>
    <t>PP1500-202-PR</t>
  </si>
  <si>
    <t>Premium Plus</t>
  </si>
  <si>
    <t>1.5 Ltr</t>
  </si>
  <si>
    <t>DD</t>
  </si>
  <si>
    <t>RM:</t>
  </si>
  <si>
    <t>Supplier</t>
  </si>
  <si>
    <t>Thickness</t>
  </si>
  <si>
    <t>Cicle Size</t>
  </si>
  <si>
    <t>Jindal Stainless</t>
  </si>
  <si>
    <t>0.8 mm</t>
  </si>
  <si>
    <t>JSL</t>
  </si>
  <si>
    <t>08</t>
  </si>
  <si>
    <t>Cu</t>
  </si>
  <si>
    <t>SAIL</t>
  </si>
  <si>
    <t>SAL</t>
  </si>
  <si>
    <t>SAL202-08</t>
  </si>
  <si>
    <t>JSL204-08-875</t>
  </si>
  <si>
    <t>PP1500-202-CC</t>
  </si>
  <si>
    <t>File Name</t>
  </si>
  <si>
    <t>YYYY-MM-Bill_Name</t>
  </si>
  <si>
    <t>2025-09-MSEDCL_AGL</t>
  </si>
  <si>
    <t>2025-08-BEST_AR</t>
  </si>
  <si>
    <t>Drawing Name</t>
  </si>
  <si>
    <t>Original Drawing</t>
  </si>
  <si>
    <t>YYYYMMDD_OD_SKU Name</t>
  </si>
  <si>
    <t>20250113_OD_DJ1500-204</t>
  </si>
  <si>
    <t>Factory Drawing</t>
  </si>
  <si>
    <t>YYYYMMDD_FD_SKU Name</t>
  </si>
  <si>
    <t>20250113_FD_DJ1500-204</t>
  </si>
  <si>
    <t>Scrap PO</t>
  </si>
  <si>
    <t>YYMMDD_RATE</t>
  </si>
  <si>
    <t>250513_7250</t>
  </si>
  <si>
    <t>250513_10250</t>
  </si>
  <si>
    <t>Bank Statement</t>
  </si>
  <si>
    <t>Bank Name Month YY</t>
  </si>
  <si>
    <t>KTK Mar 25</t>
  </si>
  <si>
    <t>Scrap Working Name (HMS Sheet)</t>
  </si>
  <si>
    <t>Vendor: YY-DDMM</t>
  </si>
  <si>
    <t>HM: 251306</t>
  </si>
  <si>
    <t>New Product Development</t>
  </si>
  <si>
    <t>YYYYMMDD-NPDNo-Capacity-Revision</t>
  </si>
  <si>
    <t>20251227-NPD01-1200-00</t>
  </si>
  <si>
    <t>Mittal Electronics</t>
  </si>
  <si>
    <t>MIE</t>
  </si>
  <si>
    <t>First 2 letters of Word 1  +  First letter of Word 2  =  3-letter code</t>
  </si>
  <si>
    <t>Epack Durable Ltd</t>
  </si>
  <si>
    <t>EPD</t>
  </si>
  <si>
    <t>Versuni India Home Solutions Limited</t>
  </si>
  <si>
    <t>VRS</t>
  </si>
  <si>
    <t>Shree Shetrapal Metal Corporation</t>
  </si>
  <si>
    <t>SSM</t>
  </si>
  <si>
    <t>Elin Electronics Limited</t>
  </si>
  <si>
    <t>ELN</t>
  </si>
  <si>
    <t>Maya Appliances Pvt Ltd</t>
  </si>
  <si>
    <t>MAP</t>
  </si>
  <si>
    <t>Atomberg Technologies Pvt. Ltd.</t>
  </si>
  <si>
    <t>ATT</t>
  </si>
  <si>
    <t>Penguin Electronics Private Limited</t>
  </si>
  <si>
    <t>PEN</t>
  </si>
  <si>
    <t>Hemsing (Shetrapal) PO Number</t>
  </si>
  <si>
    <t>Rate-name(3 digit)-yymmdd</t>
  </si>
  <si>
    <t>7250HEM240924</t>
  </si>
  <si>
    <t xml:space="preserve">*If PO not provided - temp PO No. </t>
  </si>
  <si>
    <t>Party code-ASPTC-DDMMYY</t>
  </si>
  <si>
    <t>CR2ASPTC041024</t>
  </si>
  <si>
    <t>Claude - Client Code SOP</t>
  </si>
  <si>
    <t>Client-Code-SOP.docx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</si>
</sst>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h:mm"/>
    <numFmt numFmtId="165" formatCode="0.000"/>
    <numFmt numFmtId="166" formatCode="0\ &quot;Pcs&quot;"/>
    <numFmt numFmtId="167" formatCode="0.00\ &quot;Kgs&quot;"/>
    <numFmt numFmtId="168" formatCode="0 &quot;days&quot;"/>
  </numFmts>
  <fonts count="37">
    <font>
      <sz val="11.0"/>
      <color theme="1"/>
      <name val="Roboto"/>
      <scheme val="minor"/>
    </font>
    <font>
      <b/>
      <sz val="14.0"/>
      <color theme="1"/>
      <name val="Roboto"/>
      <scheme val="minor"/>
    </font>
    <font>
      <b/>
      <color theme="1"/>
      <name val="Roboto"/>
      <scheme val="minor"/>
    </font>
    <font>
      <b/>
      <u/>
      <sz val="14.0"/>
      <color rgb="FF0563C1"/>
    </font>
    <font>
      <b/>
      <u/>
      <sz val="14.0"/>
      <color rgb="FF0000FF"/>
    </font>
    <font>
      <color theme="1"/>
      <name val="Roboto"/>
      <scheme val="minor"/>
    </font>
    <font>
      <b/>
      <sz val="11.0"/>
      <color theme="1"/>
      <name val="Roboto"/>
    </font>
    <font>
      <b/>
      <sz val="11.0"/>
      <color rgb="FF0C00B2"/>
      <name val="Roboto"/>
    </font>
    <font>
      <sz val="10.0"/>
      <color theme="1"/>
      <name val="Roboto"/>
    </font>
    <font>
      <sz val="10.0"/>
      <color rgb="FF0C00B2"/>
      <name val="Roboto"/>
    </font>
    <font>
      <sz val="15.0"/>
      <color theme="1"/>
      <name val="Roboto"/>
      <scheme val="minor"/>
    </font>
    <font/>
    <font>
      <sz val="11.0"/>
      <color theme="1"/>
      <name val="Roboto"/>
    </font>
    <font>
      <b/>
      <sz val="11.0"/>
      <color rgb="FF000000"/>
      <name val="Roboto"/>
      <scheme val="minor"/>
    </font>
    <font>
      <b/>
      <sz val="11.0"/>
      <color rgb="FF0C00B2"/>
      <name val="Roboto"/>
      <scheme val="minor"/>
    </font>
    <font>
      <sz val="10.0"/>
      <color theme="1"/>
      <name val="Roboto"/>
      <scheme val="minor"/>
    </font>
    <font>
      <sz val="10.0"/>
      <color rgb="FF0C00B2"/>
      <name val="Roboto"/>
      <scheme val="minor"/>
    </font>
    <font>
      <color rgb="FF0C00B2"/>
      <name val="Roboto"/>
      <scheme val="minor"/>
    </font>
    <font>
      <b/>
      <sz val="12.0"/>
      <color theme="1"/>
      <name val="Roboto"/>
    </font>
    <font>
      <color theme="1"/>
      <name val="Roboto"/>
    </font>
    <font>
      <sz val="11.0"/>
      <color theme="1"/>
      <name val="Arial"/>
    </font>
    <font>
      <b/>
      <sz val="16.0"/>
      <color theme="1"/>
      <name val="Roboto"/>
    </font>
    <font>
      <b/>
      <u/>
      <sz val="11.0"/>
      <color rgb="FF0000CC"/>
      <name val="Roboto"/>
    </font>
    <font>
      <b/>
      <sz val="11.0"/>
      <color rgb="FF0000CC"/>
      <name val="Roboto"/>
    </font>
    <font>
      <sz val="11.0"/>
      <color rgb="FF0000CC"/>
      <name val="Roboto"/>
    </font>
    <font>
      <b/>
      <sz val="11.0"/>
      <color rgb="FF0000CC"/>
      <name val="Calibri"/>
    </font>
    <font>
      <sz val="11.0"/>
      <color rgb="FF0000CC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b/>
      <color theme="1"/>
      <name val="Roboto"/>
    </font>
    <font>
      <b/>
      <sz val="11.0"/>
      <color rgb="FF0C00B2"/>
      <name val="Calibri"/>
    </font>
    <font>
      <sz val="11.0"/>
      <color rgb="FF0C00B2"/>
      <name val="Calibri"/>
    </font>
    <font>
      <b/>
      <sz val="11.0"/>
      <color theme="1"/>
      <name val="Calibri"/>
    </font>
    <font>
      <sz val="11.0"/>
      <color theme="1"/>
      <name val="Calibri"/>
    </font>
    <font>
      <color rgb="FF021C90"/>
      <name val="Roboto"/>
      <scheme val="minor"/>
    </font>
    <font>
      <sz val="12.0"/>
      <color rgb="FF0000CC"/>
      <name val="Calibri"/>
    </font>
    <font>
      <b/>
      <u/>
      <sz val="12.0"/>
      <color theme="1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1155CC"/>
      </left>
      <right style="medium">
        <color rgb="FF1155CC"/>
      </right>
      <top style="medium">
        <color rgb="FF1155CC"/>
      </top>
      <bottom style="medium">
        <color rgb="FF1155CC"/>
      </bottom>
    </border>
    <border>
      <right style="medium">
        <color rgb="FF1155CC"/>
      </right>
      <top style="medium">
        <color rgb="FF1155CC"/>
      </top>
      <bottom style="medium">
        <color rgb="FF1155CC"/>
      </bottom>
    </border>
    <border>
      <left style="hair">
        <color rgb="FF1C4587"/>
      </left>
      <right style="hair">
        <color rgb="FF1C4587"/>
      </right>
      <bottom style="hair">
        <color rgb="FF1C4587"/>
      </bottom>
    </border>
    <border>
      <right style="hair">
        <color rgb="FF1C4587"/>
      </right>
      <bottom style="hair">
        <color rgb="FF1C4587"/>
      </bottom>
    </border>
    <border>
      <bottom style="hair">
        <color rgb="FF1C4587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/>
    </xf>
    <xf borderId="1" fillId="2" fontId="6" numFmtId="0" xfId="0" applyAlignment="1" applyBorder="1" applyFill="1" applyFont="1">
      <alignment readingOrder="0" shrinkToFit="0" wrapText="0"/>
    </xf>
    <xf borderId="1" fillId="2" fontId="7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horizontal="left" shrinkToFit="0" wrapText="0"/>
    </xf>
    <xf borderId="1" fillId="0" fontId="9" numFmtId="0" xfId="0" applyAlignment="1" applyBorder="1" applyFont="1">
      <alignment horizontal="left" readingOrder="0" shrinkToFit="0" wrapText="0"/>
    </xf>
    <xf borderId="0" fillId="0" fontId="5" numFmtId="0" xfId="0" applyAlignment="1" applyFont="1">
      <alignment vertical="center"/>
    </xf>
    <xf borderId="2" fillId="0" fontId="10" numFmtId="0" xfId="0" applyAlignment="1" applyBorder="1" applyFont="1">
      <alignment readingOrder="0" vertical="center"/>
    </xf>
    <xf borderId="3" fillId="0" fontId="11" numFmtId="0" xfId="0" applyBorder="1" applyFont="1"/>
    <xf borderId="4" fillId="0" fontId="11" numFmtId="0" xfId="0" applyBorder="1" applyFont="1"/>
    <xf borderId="5" fillId="0" fontId="10" numFmtId="0" xfId="0" applyAlignment="1" applyBorder="1" applyFont="1">
      <alignment readingOrder="0" vertical="center"/>
    </xf>
    <xf borderId="6" fillId="0" fontId="11" numFmtId="0" xfId="0" applyBorder="1" applyFont="1"/>
    <xf borderId="7" fillId="0" fontId="11" numFmtId="0" xfId="0" applyBorder="1" applyFont="1"/>
    <xf borderId="1" fillId="0" fontId="5" numFmtId="0" xfId="0" applyAlignment="1" applyBorder="1" applyFont="1">
      <alignment readingOrder="0" vertical="center"/>
    </xf>
    <xf borderId="8" fillId="0" fontId="11" numFmtId="0" xfId="0" applyBorder="1" applyFont="1"/>
    <xf borderId="9" fillId="0" fontId="11" numFmtId="0" xfId="0" applyBorder="1" applyFont="1"/>
    <xf borderId="10" fillId="0" fontId="11" numFmtId="0" xfId="0" applyBorder="1" applyFont="1"/>
    <xf borderId="11" fillId="0" fontId="11" numFmtId="0" xfId="0" applyBorder="1" applyFont="1"/>
    <xf borderId="12" fillId="0" fontId="11" numFmtId="0" xfId="0" applyBorder="1" applyFont="1"/>
    <xf borderId="0" fillId="0" fontId="5" numFmtId="0" xfId="0" applyAlignment="1" applyFont="1">
      <alignment readingOrder="0" vertical="center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readingOrder="0" vertical="center"/>
    </xf>
    <xf borderId="9" fillId="0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readingOrder="0" vertical="center"/>
    </xf>
    <xf borderId="3" fillId="0" fontId="5" numFmtId="0" xfId="0" applyAlignment="1" applyBorder="1" applyFont="1">
      <alignment readingOrder="0" vertical="center"/>
    </xf>
    <xf borderId="4" fillId="0" fontId="5" numFmtId="0" xfId="0" applyAlignment="1" applyBorder="1" applyFont="1">
      <alignment readingOrder="0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" fillId="2" fontId="6" numFmtId="0" xfId="0" applyAlignment="1" applyBorder="1" applyFont="1">
      <alignment shrinkToFit="0" wrapText="0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1" fillId="0" fontId="8" numFmtId="0" xfId="0" applyAlignment="1" applyBorder="1" applyFont="1">
      <alignment horizontal="left" readingOrder="0" shrinkToFit="0" wrapText="0"/>
    </xf>
    <xf borderId="0" fillId="0" fontId="8" numFmtId="0" xfId="0" applyAlignment="1" applyFont="1">
      <alignment shrinkToFit="0" wrapText="0"/>
    </xf>
    <xf borderId="0" fillId="0" fontId="8" numFmtId="164" xfId="0" applyAlignment="1" applyFont="1" applyNumberForma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5" numFmtId="0" xfId="0" applyAlignment="1" applyFont="1">
      <alignment horizontal="left" readingOrder="0"/>
    </xf>
    <xf borderId="0" fillId="0" fontId="8" numFmtId="0" xfId="0" applyFont="1"/>
    <xf borderId="1" fillId="0" fontId="9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left" shrinkToFit="0" wrapText="1"/>
    </xf>
    <xf borderId="1" fillId="0" fontId="8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shrinkToFit="0" wrapText="1"/>
    </xf>
    <xf borderId="1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left" shrinkToFit="0" wrapText="1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wrapText="1"/>
    </xf>
    <xf borderId="1" fillId="3" fontId="6" numFmtId="0" xfId="0" applyAlignment="1" applyBorder="1" applyFill="1" applyFont="1">
      <alignment horizontal="left" readingOrder="0"/>
    </xf>
    <xf borderId="1" fillId="3" fontId="6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left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1" fillId="4" fontId="6" numFmtId="0" xfId="0" applyBorder="1" applyFill="1" applyFont="1"/>
    <xf borderId="1" fillId="4" fontId="6" numFmtId="0" xfId="0" applyAlignment="1" applyBorder="1" applyFont="1">
      <alignment horizontal="center"/>
    </xf>
    <xf borderId="1" fillId="0" fontId="8" numFmtId="0" xfId="0" applyBorder="1" applyFont="1"/>
    <xf borderId="1" fillId="5" fontId="13" numFmtId="0" xfId="0" applyAlignment="1" applyBorder="1" applyFill="1" applyFont="1">
      <alignment readingOrder="0" shrinkToFit="0" vertical="bottom" wrapText="0"/>
    </xf>
    <xf borderId="1" fillId="5" fontId="13" numFmtId="0" xfId="0" applyAlignment="1" applyBorder="1" applyFont="1">
      <alignment horizontal="center" readingOrder="0" shrinkToFit="0" vertical="bottom" wrapText="1"/>
    </xf>
    <xf borderId="1" fillId="6" fontId="14" numFmtId="0" xfId="0" applyAlignment="1" applyBorder="1" applyFill="1" applyFont="1">
      <alignment readingOrder="0" shrinkToFit="0" vertical="bottom" wrapText="0"/>
    </xf>
    <xf borderId="1" fillId="0" fontId="15" numFmtId="0" xfId="0" applyBorder="1" applyFont="1"/>
    <xf borderId="1" fillId="0" fontId="15" numFmtId="0" xfId="0" applyAlignment="1" applyBorder="1" applyFont="1">
      <alignment horizontal="center"/>
    </xf>
    <xf borderId="1" fillId="0" fontId="16" numFmtId="0" xfId="0" applyAlignment="1" applyBorder="1" applyFont="1">
      <alignment shrinkToFit="0" wrapText="0"/>
    </xf>
    <xf borderId="1" fillId="0" fontId="17" numFmtId="0" xfId="0" applyAlignment="1" applyBorder="1" applyFont="1">
      <alignment horizontal="right" readingOrder="0" shrinkToFit="0" vertical="bottom" wrapText="0"/>
    </xf>
    <xf borderId="1" fillId="0" fontId="16" numFmtId="0" xfId="0" applyAlignment="1" applyBorder="1" applyFont="1">
      <alignment readingOrder="0" shrinkToFit="0" wrapText="0"/>
    </xf>
    <xf borderId="1" fillId="0" fontId="17" numFmtId="165" xfId="0" applyAlignment="1" applyBorder="1" applyFont="1" applyNumberFormat="1">
      <alignment horizontal="right" readingOrder="0" shrinkToFit="0" vertical="bottom" wrapText="0"/>
    </xf>
    <xf borderId="0" fillId="0" fontId="17" numFmtId="0" xfId="0" applyFont="1"/>
    <xf borderId="0" fillId="0" fontId="15" numFmtId="0" xfId="0" applyFont="1"/>
    <xf borderId="0" fillId="0" fontId="15" numFmtId="0" xfId="0" applyAlignment="1" applyFont="1">
      <alignment horizontal="center"/>
    </xf>
    <xf borderId="1" fillId="7" fontId="6" numFmtId="0" xfId="0" applyAlignment="1" applyBorder="1" applyFill="1" applyFont="1">
      <alignment readingOrder="0"/>
    </xf>
    <xf borderId="1" fillId="7" fontId="6" numFmtId="0" xfId="0" applyAlignment="1" applyBorder="1" applyFont="1">
      <alignment horizontal="center"/>
    </xf>
    <xf borderId="1" fillId="0" fontId="8" numFmtId="0" xfId="0" applyAlignment="1" applyBorder="1" applyFont="1">
      <alignment readingOrder="0"/>
    </xf>
    <xf borderId="1" fillId="8" fontId="6" numFmtId="0" xfId="0" applyAlignment="1" applyBorder="1" applyFill="1" applyFont="1">
      <alignment readingOrder="0"/>
    </xf>
    <xf borderId="1" fillId="8" fontId="6" numFmtId="0" xfId="0" applyAlignment="1" applyBorder="1" applyFont="1">
      <alignment horizontal="center"/>
    </xf>
    <xf borderId="0" fillId="8" fontId="7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1" fillId="9" fontId="18" numFmtId="0" xfId="0" applyAlignment="1" applyBorder="1" applyFill="1" applyFont="1">
      <alignment horizontal="center" shrinkToFit="0" vertical="bottom" wrapText="1"/>
    </xf>
    <xf borderId="1" fillId="9" fontId="18" numFmtId="0" xfId="0" applyAlignment="1" applyBorder="1" applyFont="1">
      <alignment horizontal="center" readingOrder="0" shrinkToFit="0" vertical="bottom" wrapText="1"/>
    </xf>
    <xf borderId="1" fillId="0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readingOrder="0" vertical="bottom"/>
    </xf>
    <xf borderId="8" fillId="0" fontId="5" numFmtId="0" xfId="0" applyAlignment="1" applyBorder="1" applyFont="1">
      <alignment readingOrder="0"/>
    </xf>
    <xf borderId="1" fillId="0" fontId="19" numFmtId="0" xfId="0" applyAlignment="1" applyBorder="1" applyFont="1">
      <alignment vertical="bottom"/>
    </xf>
    <xf borderId="1" fillId="0" fontId="19" numFmtId="0" xfId="0" applyAlignment="1" applyBorder="1" applyFont="1">
      <alignment readingOrder="0" vertical="bottom"/>
    </xf>
    <xf borderId="1" fillId="0" fontId="20" numFmtId="0" xfId="0" applyAlignment="1" applyBorder="1" applyFont="1">
      <alignment vertical="bottom"/>
    </xf>
    <xf borderId="0" fillId="0" fontId="19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0" fillId="0" fontId="21" numFmtId="0" xfId="0" applyAlignment="1" applyFont="1">
      <alignment vertical="bottom"/>
    </xf>
    <xf borderId="0" fillId="2" fontId="2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1" xfId="0" applyAlignment="1" applyFont="1" applyNumberFormat="1">
      <alignment vertical="center"/>
    </xf>
    <xf borderId="0" fillId="0" fontId="5" numFmtId="1" xfId="0" applyAlignment="1" applyFont="1" applyNumberFormat="1">
      <alignment readingOrder="0" vertical="center"/>
    </xf>
    <xf borderId="0" fillId="0" fontId="5" numFmtId="2" xfId="0" applyAlignment="1" applyFont="1" applyNumberFormat="1">
      <alignment vertical="center"/>
    </xf>
    <xf borderId="0" fillId="0" fontId="5" numFmtId="0" xfId="0" applyAlignment="1" applyFont="1">
      <alignment horizontal="center" vertical="center"/>
    </xf>
    <xf borderId="1" fillId="10" fontId="22" numFmtId="0" xfId="0" applyAlignment="1" applyBorder="1" applyFill="1" applyFont="1">
      <alignment horizontal="center" shrinkToFit="0" vertical="center" wrapText="1"/>
    </xf>
    <xf borderId="1" fillId="10" fontId="23" numFmtId="0" xfId="0" applyAlignment="1" applyBorder="1" applyFont="1">
      <alignment horizontal="center" shrinkToFit="0" vertical="center" wrapText="1"/>
    </xf>
    <xf borderId="1" fillId="10" fontId="6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vertical="center"/>
    </xf>
    <xf borderId="1" fillId="0" fontId="24" numFmtId="0" xfId="0" applyAlignment="1" applyBorder="1" applyFont="1">
      <alignment horizontal="center" vertical="center"/>
    </xf>
    <xf borderId="1" fillId="0" fontId="24" numFmtId="0" xfId="0" applyAlignment="1" applyBorder="1" applyFont="1">
      <alignment vertical="center"/>
    </xf>
    <xf borderId="1" fillId="0" fontId="19" numFmtId="0" xfId="0" applyAlignment="1" applyBorder="1" applyFont="1">
      <alignment vertical="center"/>
    </xf>
    <xf borderId="4" fillId="2" fontId="25" numFmtId="0" xfId="0" applyAlignment="1" applyBorder="1" applyFont="1">
      <alignment horizontal="center" shrinkToFit="0" vertical="center" wrapText="1"/>
    </xf>
    <xf borderId="1" fillId="2" fontId="23" numFmtId="0" xfId="0" applyAlignment="1" applyBorder="1" applyFont="1">
      <alignment horizontal="center" shrinkToFit="0" vertical="center" wrapText="1"/>
    </xf>
    <xf borderId="4" fillId="2" fontId="25" numFmtId="0" xfId="0" applyAlignment="1" applyBorder="1" applyFont="1">
      <alignment horizontal="center" readingOrder="0" shrinkToFit="0" vertical="center" wrapText="1"/>
    </xf>
    <xf borderId="4" fillId="2" fontId="25" numFmtId="0" xfId="0" applyAlignment="1" applyBorder="1" applyFont="1">
      <alignment horizontal="left" readingOrder="0" shrinkToFit="0" vertical="center" wrapText="1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readingOrder="0" shrinkToFit="0" vertical="center" wrapText="1"/>
    </xf>
    <xf borderId="1" fillId="10" fontId="23" numFmtId="0" xfId="0" applyAlignment="1" applyBorder="1" applyFont="1">
      <alignment shrinkToFit="0" vertical="center" wrapText="1"/>
    </xf>
    <xf borderId="1" fillId="10" fontId="6" numFmtId="0" xfId="0" applyAlignment="1" applyBorder="1" applyFont="1">
      <alignment shrinkToFit="0" vertical="center" wrapText="1"/>
    </xf>
    <xf borderId="12" fillId="0" fontId="26" numFmtId="0" xfId="0" applyAlignment="1" applyBorder="1" applyFont="1">
      <alignment vertical="center"/>
    </xf>
    <xf borderId="12" fillId="0" fontId="26" numFmtId="0" xfId="0" applyAlignment="1" applyBorder="1" applyFont="1">
      <alignment horizontal="center" vertical="center"/>
    </xf>
    <xf borderId="1" fillId="0" fontId="24" numFmtId="0" xfId="0" applyAlignment="1" applyBorder="1" applyFont="1">
      <alignment readingOrder="0" vertical="center"/>
    </xf>
    <xf borderId="12" fillId="0" fontId="26" numFmtId="0" xfId="0" applyAlignment="1" applyBorder="1" applyFont="1">
      <alignment horizontal="center" readingOrder="0" vertical="center"/>
    </xf>
    <xf borderId="12" fillId="0" fontId="27" numFmtId="0" xfId="0" applyAlignment="1" applyBorder="1" applyFont="1">
      <alignment horizontal="left" readingOrder="0" shrinkToFit="0" vertical="center" wrapText="0"/>
    </xf>
    <xf borderId="1" fillId="0" fontId="12" numFmtId="0" xfId="0" applyAlignment="1" applyBorder="1" applyFont="1">
      <alignment vertical="center"/>
    </xf>
    <xf borderId="12" fillId="0" fontId="26" numFmtId="0" xfId="0" applyAlignment="1" applyBorder="1" applyFont="1">
      <alignment horizontal="left" shrinkToFit="0" vertical="center" wrapText="0"/>
    </xf>
    <xf borderId="1" fillId="11" fontId="24" numFmtId="0" xfId="0" applyAlignment="1" applyBorder="1" applyFill="1" applyFont="1">
      <alignment readingOrder="0" vertical="center"/>
    </xf>
    <xf borderId="12" fillId="0" fontId="26" numFmtId="0" xfId="0" applyAlignment="1" applyBorder="1" applyFont="1">
      <alignment horizontal="left" readingOrder="0" shrinkToFit="0" vertical="center" wrapText="0"/>
    </xf>
    <xf borderId="12" fillId="0" fontId="26" numFmtId="0" xfId="0" applyAlignment="1" applyBorder="1" applyFont="1">
      <alignment readingOrder="0" vertical="center"/>
    </xf>
    <xf borderId="0" fillId="0" fontId="24" numFmtId="0" xfId="0" applyAlignment="1" applyFont="1">
      <alignment vertical="center"/>
    </xf>
    <xf borderId="0" fillId="0" fontId="12" numFmtId="0" xfId="0" applyAlignment="1" applyFont="1">
      <alignment vertical="center"/>
    </xf>
    <xf borderId="12" fillId="0" fontId="26" numFmtId="0" xfId="0" applyBorder="1" applyFont="1"/>
    <xf borderId="12" fillId="0" fontId="26" numFmtId="0" xfId="0" applyAlignment="1" applyBorder="1" applyFont="1">
      <alignment horizontal="center" readingOrder="0"/>
    </xf>
    <xf borderId="1" fillId="11" fontId="24" numFmtId="0" xfId="0" applyBorder="1" applyFont="1"/>
    <xf borderId="12" fillId="0" fontId="26" numFmtId="0" xfId="0" applyAlignment="1" applyBorder="1" applyFont="1">
      <alignment horizontal="center"/>
    </xf>
    <xf borderId="12" fillId="0" fontId="26" numFmtId="0" xfId="0" applyAlignment="1" applyBorder="1" applyFont="1">
      <alignment horizontal="center"/>
    </xf>
    <xf borderId="12" fillId="0" fontId="12" numFmtId="0" xfId="0" applyBorder="1" applyFont="1"/>
    <xf borderId="0" fillId="0" fontId="12" numFmtId="0" xfId="0" applyFont="1"/>
    <xf borderId="13" fillId="0" fontId="5" numFmtId="0" xfId="0" applyAlignment="1" applyBorder="1" applyFont="1">
      <alignment horizontal="left" readingOrder="0" vertical="bottom"/>
    </xf>
    <xf borderId="1" fillId="0" fontId="19" numFmtId="0" xfId="0" applyAlignment="1" applyBorder="1" applyFont="1">
      <alignment readingOrder="0" vertical="center"/>
    </xf>
    <xf borderId="12" fillId="0" fontId="19" numFmtId="0" xfId="0" applyAlignment="1" applyBorder="1" applyFont="1">
      <alignment vertical="center"/>
    </xf>
    <xf borderId="0" fillId="0" fontId="19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Font="1"/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5" numFmtId="0" xfId="0" applyFont="1"/>
    <xf borderId="0" fillId="0" fontId="5" numFmtId="0" xfId="0" applyAlignment="1" applyFont="1">
      <alignment horizontal="left"/>
    </xf>
    <xf borderId="0" fillId="2" fontId="5" numFmtId="0" xfId="0" applyAlignment="1" applyFont="1">
      <alignment horizontal="center" readingOrder="0"/>
    </xf>
    <xf borderId="0" fillId="0" fontId="28" numFmtId="0" xfId="0" applyAlignment="1" applyFont="1">
      <alignment horizontal="left"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0" fontId="28" numFmtId="0" xfId="0" applyAlignment="1" applyFont="1">
      <alignment horizontal="right" readingOrder="0" shrinkToFit="0" vertical="bottom" wrapText="0"/>
    </xf>
    <xf borderId="1" fillId="0" fontId="29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readingOrder="0" vertical="bottom"/>
    </xf>
    <xf borderId="0" fillId="0" fontId="19" numFmtId="0" xfId="0" applyAlignment="1" applyFont="1">
      <alignment horizontal="center" vertical="bottom"/>
    </xf>
    <xf borderId="14" fillId="12" fontId="30" numFmtId="0" xfId="0" applyAlignment="1" applyBorder="1" applyFill="1" applyFont="1">
      <alignment horizontal="center" vertical="center"/>
    </xf>
    <xf borderId="15" fillId="12" fontId="30" numFmtId="0" xfId="0" applyAlignment="1" applyBorder="1" applyFont="1">
      <alignment horizontal="center" shrinkToFit="0" vertical="center" wrapText="1"/>
    </xf>
    <xf borderId="15" fillId="12" fontId="30" numFmtId="0" xfId="0" applyAlignment="1" applyBorder="1" applyFont="1">
      <alignment horizontal="center" shrinkToFit="0" vertical="center" wrapText="1"/>
    </xf>
    <xf borderId="15" fillId="12" fontId="30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16" fillId="0" fontId="31" numFmtId="0" xfId="0" applyAlignment="1" applyBorder="1" applyFont="1">
      <alignment vertical="center"/>
    </xf>
    <xf borderId="17" fillId="0" fontId="31" numFmtId="0" xfId="0" applyAlignment="1" applyBorder="1" applyFont="1">
      <alignment vertical="center"/>
    </xf>
    <xf borderId="17" fillId="0" fontId="31" numFmtId="0" xfId="0" applyAlignment="1" applyBorder="1" applyFont="1">
      <alignment vertical="center"/>
    </xf>
    <xf borderId="17" fillId="0" fontId="31" numFmtId="0" xfId="0" applyAlignment="1" applyBorder="1" applyFont="1">
      <alignment horizontal="center" vertical="center"/>
    </xf>
    <xf borderId="18" fillId="0" fontId="31" numFmtId="166" xfId="0" applyAlignment="1" applyBorder="1" applyFont="1" applyNumberFormat="1">
      <alignment horizontal="center" vertical="center"/>
    </xf>
    <xf borderId="19" fillId="0" fontId="31" numFmtId="167" xfId="0" applyAlignment="1" applyBorder="1" applyFont="1" applyNumberFormat="1">
      <alignment horizontal="center" vertical="center"/>
    </xf>
    <xf borderId="19" fillId="0" fontId="31" numFmtId="168" xfId="0" applyAlignment="1" applyBorder="1" applyFont="1" applyNumberFormat="1">
      <alignment horizontal="center" vertical="center"/>
    </xf>
    <xf borderId="19" fillId="0" fontId="31" numFmtId="168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vertical="center"/>
    </xf>
    <xf borderId="1" fillId="0" fontId="32" numFmtId="0" xfId="0" applyAlignment="1" applyBorder="1" applyFont="1">
      <alignment vertical="bottom"/>
    </xf>
    <xf borderId="1" fillId="0" fontId="29" numFmtId="0" xfId="0" applyAlignment="1" applyBorder="1" applyFont="1">
      <alignment vertical="bottom"/>
    </xf>
    <xf borderId="0" fillId="0" fontId="29" numFmtId="0" xfId="0" applyAlignment="1" applyFont="1">
      <alignment horizontal="center" vertical="bottom"/>
    </xf>
    <xf borderId="1" fillId="0" fontId="33" numFmtId="0" xfId="0" applyAlignment="1" applyBorder="1" applyFont="1">
      <alignment horizontal="center" vertical="bottom"/>
    </xf>
    <xf borderId="0" fillId="0" fontId="29" numFmtId="0" xfId="0" applyAlignment="1" applyFont="1">
      <alignment horizontal="center" readingOrder="0" vertical="bottom"/>
    </xf>
    <xf borderId="1" fillId="0" fontId="33" numFmtId="0" xfId="0" applyAlignment="1" applyBorder="1" applyFont="1">
      <alignment horizontal="center" readingOrder="0" vertical="bottom"/>
    </xf>
    <xf borderId="0" fillId="6" fontId="29" numFmtId="0" xfId="0" applyAlignment="1" applyFont="1">
      <alignment vertical="bottom"/>
    </xf>
    <xf borderId="0" fillId="6" fontId="2" numFmtId="0" xfId="0" applyAlignment="1" applyFont="1">
      <alignment readingOrder="0"/>
    </xf>
    <xf borderId="0" fillId="0" fontId="29" numFmtId="0" xfId="0" applyAlignment="1" applyFont="1">
      <alignment vertical="bottom"/>
    </xf>
    <xf borderId="0" fillId="0" fontId="2" numFmtId="0" xfId="0" applyFont="1"/>
    <xf borderId="0" fillId="6" fontId="33" numFmtId="0" xfId="0" applyAlignment="1" applyFont="1">
      <alignment readingOrder="0" vertical="bottom"/>
    </xf>
    <xf borderId="0" fillId="6" fontId="5" numFmtId="0" xfId="0" applyFont="1"/>
    <xf borderId="0" fillId="0" fontId="33" numFmtId="0" xfId="0" applyAlignment="1" applyFont="1">
      <alignment readingOrder="0" vertical="bottom"/>
    </xf>
    <xf borderId="0" fillId="6" fontId="33" numFmtId="0" xfId="0" applyAlignment="1" applyFont="1">
      <alignment vertical="bottom"/>
    </xf>
    <xf borderId="0" fillId="6" fontId="5" numFmtId="0" xfId="0" applyAlignment="1" applyFont="1">
      <alignment readingOrder="0"/>
    </xf>
    <xf quotePrefix="1" borderId="1" fillId="0" fontId="19" numFmtId="0" xfId="0" applyAlignment="1" applyBorder="1" applyFont="1">
      <alignment horizontal="center" vertical="bottom"/>
    </xf>
    <xf borderId="0" fillId="0" fontId="34" numFmtId="0" xfId="0" applyAlignment="1" applyFont="1">
      <alignment readingOrder="0"/>
    </xf>
    <xf borderId="1" fillId="0" fontId="35" numFmtId="0" xfId="0" applyAlignment="1" applyBorder="1" applyFont="1">
      <alignment vertical="bottom"/>
    </xf>
    <xf borderId="1" fillId="0" fontId="35" numFmtId="0" xfId="0" applyAlignment="1" applyBorder="1" applyFont="1">
      <alignment horizontal="center" readingOrder="0" vertical="bottom"/>
    </xf>
    <xf borderId="0" fillId="13" fontId="18" numFmtId="0" xfId="0" applyAlignment="1" applyFill="1" applyFont="1">
      <alignment readingOrder="0" vertical="bottom"/>
    </xf>
    <xf borderId="0" fillId="6" fontId="36" numFmtId="0" xfId="0" applyAlignment="1" applyFont="1">
      <alignment readingOrder="0" vertical="bottom"/>
    </xf>
    <xf borderId="0" fillId="0" fontId="1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C00B2"/>
      </a:dk1>
      <a:lt1>
        <a:srgbClr val="FFFFFF"/>
      </a:lt1>
      <a:dk2>
        <a:srgbClr val="0C00B2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NfDLX2xq5NEvDIDWhF320HQJsl5ua4hg-3uVrDCK6ik/edit?gid=0" TargetMode="External"/><Relationship Id="rId3" Type="http://schemas.openxmlformats.org/officeDocument/2006/relationships/hyperlink" Target="https://docs.google.com/spreadsheets/d/1NfDLX2xq5NEvDIDWhF320HQJsl5ua4hg-3uVrDCK6ik/edit?gid=0" TargetMode="Externa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1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2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3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2PW1ar51um9JDCC3dKQTNkfctJnm-3It/edit" TargetMode="External"/><Relationship Id="rId2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9.63"/>
    <col customWidth="1" min="3" max="3" width="31.38"/>
  </cols>
  <sheetData>
    <row r="1">
      <c r="A1" s="1" t="s">
        <v>0</v>
      </c>
      <c r="B1" s="2" t="s">
        <v>1</v>
      </c>
      <c r="C1" s="3"/>
    </row>
    <row r="2">
      <c r="A2" s="4">
        <v>1.0</v>
      </c>
      <c r="B2" s="5" t="s">
        <v>2</v>
      </c>
    </row>
    <row r="3">
      <c r="A3" s="4">
        <v>2.0</v>
      </c>
      <c r="B3" s="5" t="s">
        <v>3</v>
      </c>
    </row>
    <row r="4">
      <c r="A4" s="4">
        <v>3.0</v>
      </c>
      <c r="B4" s="5" t="s">
        <v>4</v>
      </c>
    </row>
    <row r="5">
      <c r="A5" s="4">
        <v>4.0</v>
      </c>
      <c r="B5" s="6" t="s">
        <v>5</v>
      </c>
    </row>
    <row r="6">
      <c r="A6" s="4">
        <v>5.0</v>
      </c>
      <c r="B6" s="5" t="s">
        <v>6</v>
      </c>
    </row>
    <row r="7">
      <c r="A7" s="4">
        <v>6.0</v>
      </c>
      <c r="B7" s="6" t="s">
        <v>7</v>
      </c>
    </row>
    <row r="8">
      <c r="A8" s="4">
        <v>7.0</v>
      </c>
      <c r="B8" s="5" t="s">
        <v>8</v>
      </c>
    </row>
    <row r="9">
      <c r="A9" s="4">
        <v>8.0</v>
      </c>
      <c r="B9" s="5" t="s">
        <v>9</v>
      </c>
    </row>
    <row r="10">
      <c r="A10" s="4">
        <v>9.0</v>
      </c>
      <c r="B10" s="6" t="s">
        <v>10</v>
      </c>
    </row>
    <row r="11">
      <c r="A11" s="4">
        <v>10.0</v>
      </c>
      <c r="B11" s="5" t="s">
        <v>11</v>
      </c>
    </row>
    <row r="12">
      <c r="A12" s="4">
        <v>11.0</v>
      </c>
      <c r="B12" s="5" t="s">
        <v>12</v>
      </c>
    </row>
    <row r="13">
      <c r="A13" s="4">
        <v>12.0</v>
      </c>
      <c r="B13" s="6" t="s">
        <v>13</v>
      </c>
    </row>
    <row r="14">
      <c r="A14" s="4">
        <v>13.0</v>
      </c>
      <c r="B14" s="6" t="s">
        <v>14</v>
      </c>
    </row>
    <row r="15">
      <c r="A15" s="4">
        <v>14.0</v>
      </c>
      <c r="B15" s="6" t="s">
        <v>15</v>
      </c>
    </row>
    <row r="16">
      <c r="A16" s="4">
        <v>15.0</v>
      </c>
      <c r="B16" s="6" t="s">
        <v>16</v>
      </c>
    </row>
    <row r="17">
      <c r="A17" s="4">
        <v>16.0</v>
      </c>
      <c r="B17" s="5" t="s">
        <v>17</v>
      </c>
      <c r="C17" s="7"/>
    </row>
    <row r="18">
      <c r="A18" s="4">
        <v>17.0</v>
      </c>
      <c r="B18" s="6" t="s">
        <v>18</v>
      </c>
    </row>
    <row r="19">
      <c r="A19" s="4">
        <v>18.0</v>
      </c>
      <c r="B19" s="5" t="s">
        <v>19</v>
      </c>
    </row>
    <row r="20">
      <c r="A20" s="4">
        <v>19.0</v>
      </c>
      <c r="B20" s="5" t="s">
        <v>20</v>
      </c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</sheetData>
  <hyperlinks>
    <hyperlink display="Master Codes FG, RM, Circle" location="'Master Codes'!A1" ref="B2"/>
    <hyperlink display="Finished Goods" location="'Finished Goods'!A1" ref="B3"/>
    <hyperlink display="Raw Material" location="'Raw Material'!A1" ref="B4"/>
    <hyperlink display="Circle Code" location="Circles!A1" ref="B5"/>
    <hyperlink display="Consumables" location="Consumables!A1" ref="B6"/>
    <hyperlink display="Packing" location="Packing!A1" ref="B7"/>
    <hyperlink display="SKU's Process" location="'SKUs Process'!A1" ref="B8"/>
    <hyperlink display="Process Master" location="'Process Master'!A1" ref="B9"/>
    <hyperlink display="Product Master" location="'Product Master'!A1" ref="B10"/>
    <hyperlink display="Process Abbreviation" location="'Process Abbreviation'!A1" ref="B11"/>
    <hyperlink display="Machine Name with Code &amp; Operator" location="'Machine Name with Code &amp; Operat'!A1" ref="B12"/>
    <hyperlink display="Capacity Per Minute" location="'Capacity per min'!A1" ref="B13"/>
    <hyperlink display="Process Code with Item Code" location="'Process Code with Item Code'!A1" ref="B14"/>
    <hyperlink display="Code Generator" location="'Code Generator'!A1" ref="B15"/>
    <hyperlink display="Client Code" location="'Client Code'!A1" ref="B16"/>
    <hyperlink display="AGL 24-25 Index Codes" location="'Index Code - AGL 24-25 '!A2" ref="B17"/>
    <hyperlink display="File Code" location="'File Code'!A1" ref="B18"/>
    <hyperlink display="Die &amp; Tools" location="'Die &amp; Tool'!A1" ref="B19"/>
    <hyperlink display="Stamps" location="Stamps!A1" ref="B20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30.75"/>
  </cols>
  <sheetData>
    <row r="1">
      <c r="A1" s="9" t="s">
        <v>21</v>
      </c>
      <c r="B1" s="10" t="s">
        <v>22</v>
      </c>
    </row>
    <row r="2">
      <c r="A2" s="11" t="s">
        <v>23</v>
      </c>
      <c r="B2" s="11" t="s">
        <v>24</v>
      </c>
    </row>
    <row r="3">
      <c r="A3" s="11" t="s">
        <v>23</v>
      </c>
      <c r="B3" s="11" t="s">
        <v>25</v>
      </c>
    </row>
    <row r="4">
      <c r="A4" s="11" t="s">
        <v>26</v>
      </c>
      <c r="B4" s="11" t="s">
        <v>27</v>
      </c>
    </row>
    <row r="5">
      <c r="A5" s="11" t="s">
        <v>28</v>
      </c>
      <c r="B5" s="11" t="s">
        <v>29</v>
      </c>
    </row>
    <row r="6">
      <c r="A6" s="11" t="s">
        <v>30</v>
      </c>
      <c r="B6" s="12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.63"/>
    <col customWidth="1" min="3" max="3" width="14.5"/>
    <col customWidth="1" min="4" max="4" width="2.88"/>
    <col customWidth="1" min="5" max="5" width="16.75"/>
    <col customWidth="1" min="6" max="6" width="3.25"/>
    <col customWidth="1" min="7" max="7" width="21.0"/>
    <col customWidth="1" min="8" max="8" width="21.38"/>
    <col customWidth="1" min="9" max="9" width="20.25"/>
  </cols>
  <sheetData>
    <row r="1" ht="23.25" customHeight="1">
      <c r="A1" s="13"/>
      <c r="B1" s="13"/>
      <c r="C1" s="13"/>
      <c r="D1" s="13"/>
      <c r="E1" s="13"/>
      <c r="F1" s="13"/>
      <c r="G1" s="14" t="s">
        <v>32</v>
      </c>
      <c r="H1" s="15"/>
      <c r="I1" s="16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7" t="s">
        <v>33</v>
      </c>
      <c r="B2" s="18"/>
      <c r="C2" s="19"/>
      <c r="D2" s="13"/>
      <c r="E2" s="13"/>
      <c r="G2" s="20" t="s">
        <v>1</v>
      </c>
      <c r="H2" s="20" t="s">
        <v>34</v>
      </c>
      <c r="I2" s="20" t="s">
        <v>35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1"/>
      <c r="C3" s="22"/>
      <c r="D3" s="13"/>
      <c r="E3" s="13"/>
      <c r="F3" s="13"/>
      <c r="G3" s="20" t="s">
        <v>1</v>
      </c>
      <c r="H3" s="20" t="s">
        <v>36</v>
      </c>
      <c r="I3" s="20" t="s">
        <v>37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3"/>
      <c r="B4" s="24"/>
      <c r="C4" s="25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20" t="s">
        <v>38</v>
      </c>
      <c r="B6" s="27"/>
      <c r="C6" s="27"/>
      <c r="D6" s="27"/>
      <c r="E6" s="27"/>
      <c r="F6" s="27"/>
      <c r="G6" s="28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29"/>
      <c r="B7" s="26"/>
      <c r="C7" s="26"/>
      <c r="D7" s="26"/>
      <c r="E7" s="26"/>
      <c r="F7" s="26"/>
      <c r="G7" s="30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31" t="s">
        <v>39</v>
      </c>
      <c r="B8" s="32" t="s">
        <v>40</v>
      </c>
      <c r="C8" s="32" t="s">
        <v>41</v>
      </c>
      <c r="D8" s="32" t="s">
        <v>40</v>
      </c>
      <c r="E8" s="32" t="s">
        <v>42</v>
      </c>
      <c r="F8" s="32" t="s">
        <v>40</v>
      </c>
      <c r="G8" s="33" t="s">
        <v>43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20" t="s">
        <v>44</v>
      </c>
      <c r="B10" s="27"/>
      <c r="C10" s="27"/>
      <c r="D10" s="27"/>
      <c r="E10" s="27"/>
      <c r="F10" s="27"/>
      <c r="G10" s="28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34"/>
      <c r="B11" s="13"/>
      <c r="C11" s="13"/>
      <c r="D11" s="13"/>
      <c r="E11" s="13"/>
      <c r="F11" s="13"/>
      <c r="G11" s="35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31" t="s">
        <v>39</v>
      </c>
      <c r="B12" s="32" t="s">
        <v>40</v>
      </c>
      <c r="C12" s="32" t="s">
        <v>41</v>
      </c>
      <c r="D12" s="32" t="s">
        <v>40</v>
      </c>
      <c r="E12" s="32" t="s">
        <v>45</v>
      </c>
      <c r="F12" s="32" t="s">
        <v>40</v>
      </c>
      <c r="G12" s="33" t="s">
        <v>46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20" t="s">
        <v>47</v>
      </c>
      <c r="B14" s="27"/>
      <c r="C14" s="27"/>
      <c r="D14" s="27"/>
      <c r="E14" s="27"/>
      <c r="F14" s="27"/>
      <c r="G14" s="28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34"/>
      <c r="B15" s="13"/>
      <c r="C15" s="13"/>
      <c r="D15" s="13"/>
      <c r="E15" s="13"/>
      <c r="F15" s="13"/>
      <c r="G15" s="3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31" t="s">
        <v>39</v>
      </c>
      <c r="B16" s="32" t="s">
        <v>40</v>
      </c>
      <c r="C16" s="32" t="s">
        <v>41</v>
      </c>
      <c r="D16" s="32" t="s">
        <v>40</v>
      </c>
      <c r="E16" s="32" t="s">
        <v>48</v>
      </c>
      <c r="F16" s="32" t="s">
        <v>40</v>
      </c>
      <c r="G16" s="33" t="s">
        <v>49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20" t="s">
        <v>50</v>
      </c>
      <c r="B18" s="27"/>
      <c r="C18" s="27"/>
      <c r="D18" s="27"/>
      <c r="E18" s="27"/>
      <c r="F18" s="27"/>
      <c r="G18" s="28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34"/>
      <c r="B19" s="13"/>
      <c r="C19" s="13"/>
      <c r="D19" s="13"/>
      <c r="E19" s="13"/>
      <c r="F19" s="13"/>
      <c r="G19" s="35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31" t="s">
        <v>39</v>
      </c>
      <c r="B20" s="32" t="s">
        <v>40</v>
      </c>
      <c r="C20" s="32" t="s">
        <v>41</v>
      </c>
      <c r="D20" s="32" t="s">
        <v>40</v>
      </c>
      <c r="E20" s="32" t="s">
        <v>42</v>
      </c>
      <c r="F20" s="32" t="s">
        <v>40</v>
      </c>
      <c r="G20" s="33" t="s">
        <v>51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20" t="s">
        <v>52</v>
      </c>
      <c r="B22" s="27"/>
      <c r="C22" s="27"/>
      <c r="D22" s="27"/>
      <c r="E22" s="27"/>
      <c r="F22" s="27"/>
      <c r="G22" s="28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34"/>
      <c r="B23" s="13"/>
      <c r="C23" s="13"/>
      <c r="D23" s="13"/>
      <c r="E23" s="13"/>
      <c r="F23" s="13"/>
      <c r="G23" s="35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31" t="s">
        <v>39</v>
      </c>
      <c r="B24" s="32" t="s">
        <v>40</v>
      </c>
      <c r="C24" s="32" t="s">
        <v>41</v>
      </c>
      <c r="D24" s="32" t="s">
        <v>40</v>
      </c>
      <c r="E24" s="32" t="s">
        <v>53</v>
      </c>
      <c r="F24" s="32" t="s">
        <v>40</v>
      </c>
      <c r="G24" s="33" t="s">
        <v>54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20" t="s">
        <v>55</v>
      </c>
      <c r="B26" s="27"/>
      <c r="C26" s="27"/>
      <c r="D26" s="27"/>
      <c r="E26" s="27"/>
      <c r="F26" s="27"/>
      <c r="G26" s="28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34"/>
      <c r="B27" s="13"/>
      <c r="C27" s="13"/>
      <c r="D27" s="13"/>
      <c r="E27" s="13"/>
      <c r="F27" s="13"/>
      <c r="G27" s="35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31" t="s">
        <v>39</v>
      </c>
      <c r="B28" s="32" t="s">
        <v>40</v>
      </c>
      <c r="C28" s="32" t="s">
        <v>41</v>
      </c>
      <c r="D28" s="32" t="s">
        <v>40</v>
      </c>
      <c r="E28" s="32" t="s">
        <v>53</v>
      </c>
      <c r="F28" s="32" t="s">
        <v>40</v>
      </c>
      <c r="G28" s="33" t="s">
        <v>56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3">
    <mergeCell ref="G1:I1"/>
    <mergeCell ref="A2:C4"/>
    <mergeCell ref="E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9.25"/>
    <col customWidth="1" min="2" max="2" width="15.88"/>
    <col customWidth="1" min="3" max="3" width="15.38"/>
  </cols>
  <sheetData>
    <row r="1">
      <c r="A1" s="9" t="s">
        <v>57</v>
      </c>
      <c r="B1" s="36" t="s">
        <v>58</v>
      </c>
      <c r="C1" s="36" t="s">
        <v>59</v>
      </c>
      <c r="D1" s="37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11" t="s">
        <v>60</v>
      </c>
      <c r="B2" s="11" t="s">
        <v>61</v>
      </c>
      <c r="C2" s="39" t="s">
        <v>4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11" t="s">
        <v>62</v>
      </c>
      <c r="B3" s="11" t="s">
        <v>63</v>
      </c>
      <c r="C3" s="39" t="s">
        <v>4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11" t="s">
        <v>64</v>
      </c>
      <c r="B4" s="11" t="s">
        <v>65</v>
      </c>
      <c r="C4" s="39" t="s">
        <v>4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11" t="s">
        <v>66</v>
      </c>
      <c r="B5" s="11" t="s">
        <v>67</v>
      </c>
      <c r="C5" s="39" t="s">
        <v>4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11" t="s">
        <v>68</v>
      </c>
      <c r="B6" s="11" t="s">
        <v>69</v>
      </c>
      <c r="C6" s="39" t="s">
        <v>4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12" t="s">
        <v>70</v>
      </c>
      <c r="B7" s="12" t="s">
        <v>71</v>
      </c>
      <c r="C7" s="39" t="s">
        <v>4</v>
      </c>
      <c r="D7" s="40"/>
      <c r="E7" s="40"/>
      <c r="F7" s="40"/>
      <c r="G7" s="40"/>
      <c r="H7" s="40"/>
      <c r="I7" s="40"/>
      <c r="J7" s="41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12" t="s">
        <v>72</v>
      </c>
      <c r="B8" s="12" t="s">
        <v>73</v>
      </c>
      <c r="C8" s="39" t="s">
        <v>4</v>
      </c>
      <c r="D8" s="40"/>
      <c r="E8" s="40"/>
      <c r="F8" s="40"/>
      <c r="G8" s="40"/>
      <c r="H8" s="40"/>
      <c r="I8" s="40"/>
      <c r="J8" s="41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12" t="s">
        <v>74</v>
      </c>
      <c r="B9" s="39" t="s">
        <v>75</v>
      </c>
      <c r="C9" s="39" t="s">
        <v>76</v>
      </c>
      <c r="D9" s="40"/>
      <c r="E9" s="40"/>
      <c r="F9" s="40"/>
      <c r="G9" s="40"/>
      <c r="H9" s="40"/>
      <c r="I9" s="40"/>
      <c r="J9" s="41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12" t="s">
        <v>77</v>
      </c>
      <c r="B10" s="12" t="s">
        <v>78</v>
      </c>
      <c r="C10" s="39" t="s">
        <v>76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12" t="s">
        <v>79</v>
      </c>
      <c r="B11" s="12" t="s">
        <v>80</v>
      </c>
      <c r="C11" s="39" t="s">
        <v>76</v>
      </c>
      <c r="D11" s="40"/>
      <c r="E11" s="40"/>
      <c r="F11" s="40"/>
      <c r="G11" s="40"/>
      <c r="H11" s="40"/>
      <c r="I11" s="40"/>
      <c r="J11" s="41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12" t="s">
        <v>81</v>
      </c>
      <c r="B12" s="12" t="s">
        <v>82</v>
      </c>
      <c r="C12" s="39" t="s">
        <v>76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12" t="s">
        <v>83</v>
      </c>
      <c r="B13" s="12" t="s">
        <v>84</v>
      </c>
      <c r="C13" s="39" t="s">
        <v>76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12" t="s">
        <v>85</v>
      </c>
      <c r="B14" s="12" t="s">
        <v>86</v>
      </c>
      <c r="C14" s="39" t="s">
        <v>76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12" t="s">
        <v>87</v>
      </c>
      <c r="B15" s="39" t="s">
        <v>88</v>
      </c>
      <c r="C15" s="39" t="s">
        <v>76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12" t="s">
        <v>89</v>
      </c>
      <c r="B16" s="12" t="s">
        <v>90</v>
      </c>
      <c r="C16" s="39" t="s">
        <v>76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11" t="s">
        <v>91</v>
      </c>
      <c r="B17" s="39" t="s">
        <v>92</v>
      </c>
      <c r="C17" s="39" t="s">
        <v>76</v>
      </c>
      <c r="D17" s="40"/>
      <c r="E17" s="40"/>
      <c r="F17" s="40"/>
      <c r="G17" s="40"/>
      <c r="H17" s="40"/>
      <c r="I17" s="40"/>
      <c r="J17" s="41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11" t="s">
        <v>93</v>
      </c>
      <c r="B18" s="39" t="s">
        <v>94</v>
      </c>
      <c r="C18" s="39" t="s">
        <v>76</v>
      </c>
      <c r="D18" s="40"/>
      <c r="E18" s="40"/>
      <c r="F18" s="40"/>
      <c r="G18" s="40"/>
      <c r="H18" s="40"/>
      <c r="I18" s="40"/>
      <c r="J18" s="41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12" t="s">
        <v>95</v>
      </c>
      <c r="B19" s="12" t="s">
        <v>96</v>
      </c>
      <c r="C19" s="39" t="s">
        <v>76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12" t="s">
        <v>97</v>
      </c>
      <c r="B20" s="12" t="s">
        <v>98</v>
      </c>
      <c r="C20" s="39" t="s">
        <v>76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11" t="s">
        <v>99</v>
      </c>
      <c r="B21" s="39" t="s">
        <v>100</v>
      </c>
      <c r="C21" s="39" t="s">
        <v>76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12" t="s">
        <v>101</v>
      </c>
      <c r="B22" s="12" t="s">
        <v>102</v>
      </c>
      <c r="C22" s="39" t="s">
        <v>76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11" t="s">
        <v>103</v>
      </c>
      <c r="B23" s="39" t="s">
        <v>104</v>
      </c>
      <c r="C23" s="39" t="s">
        <v>76</v>
      </c>
      <c r="D23" s="40"/>
      <c r="E23" s="40"/>
      <c r="F23" s="40"/>
      <c r="G23" s="40"/>
      <c r="H23" s="40"/>
      <c r="I23" s="40"/>
      <c r="J23" s="41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12" t="s">
        <v>105</v>
      </c>
      <c r="B24" s="12" t="s">
        <v>106</v>
      </c>
      <c r="C24" s="39" t="s">
        <v>76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11" t="s">
        <v>107</v>
      </c>
      <c r="B25" s="39" t="s">
        <v>108</v>
      </c>
      <c r="C25" s="39" t="s">
        <v>76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12" t="s">
        <v>109</v>
      </c>
      <c r="B26" s="39" t="s">
        <v>110</v>
      </c>
      <c r="C26" s="39" t="s">
        <v>76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11" t="s">
        <v>111</v>
      </c>
      <c r="B27" s="39" t="s">
        <v>112</v>
      </c>
      <c r="C27" s="39" t="s">
        <v>76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11" t="s">
        <v>113</v>
      </c>
      <c r="B28" s="39" t="s">
        <v>114</v>
      </c>
      <c r="C28" s="39" t="s">
        <v>76</v>
      </c>
      <c r="D28" s="40"/>
      <c r="E28" s="40"/>
      <c r="F28" s="40"/>
      <c r="G28" s="40"/>
      <c r="H28" s="40"/>
      <c r="I28" s="40"/>
      <c r="J28" s="41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12" t="s">
        <v>115</v>
      </c>
      <c r="B29" s="12" t="s">
        <v>116</v>
      </c>
      <c r="C29" s="39" t="s">
        <v>76</v>
      </c>
      <c r="D29" s="40"/>
      <c r="E29" s="40"/>
      <c r="F29" s="40"/>
      <c r="G29" s="40"/>
      <c r="H29" s="40"/>
      <c r="I29" s="40"/>
      <c r="J29" s="41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12" t="s">
        <v>117</v>
      </c>
      <c r="B30" s="12" t="s">
        <v>118</v>
      </c>
      <c r="C30" s="39" t="s">
        <v>7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39" t="s">
        <v>119</v>
      </c>
      <c r="B31" s="12" t="s">
        <v>120</v>
      </c>
      <c r="C31" s="39" t="s">
        <v>7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12" t="s">
        <v>121</v>
      </c>
      <c r="B32" s="12" t="s">
        <v>122</v>
      </c>
      <c r="C32" s="39" t="s">
        <v>7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12" t="s">
        <v>123</v>
      </c>
      <c r="B33" s="12" t="s">
        <v>122</v>
      </c>
      <c r="C33" s="39" t="s">
        <v>7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39" t="s">
        <v>124</v>
      </c>
      <c r="B34" s="12" t="s">
        <v>125</v>
      </c>
      <c r="C34" s="39" t="s">
        <v>7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12" t="s">
        <v>126</v>
      </c>
      <c r="B35" s="12" t="s">
        <v>127</v>
      </c>
      <c r="C35" s="39" t="s">
        <v>7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12" t="s">
        <v>128</v>
      </c>
      <c r="B36" s="12" t="s">
        <v>129</v>
      </c>
      <c r="C36" s="39" t="s">
        <v>7</v>
      </c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12" t="s">
        <v>130</v>
      </c>
      <c r="B37" s="12" t="s">
        <v>131</v>
      </c>
      <c r="C37" s="39" t="s">
        <v>7</v>
      </c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12" t="s">
        <v>132</v>
      </c>
      <c r="B38" s="12" t="s">
        <v>133</v>
      </c>
      <c r="C38" s="39" t="s">
        <v>7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12" t="s">
        <v>134</v>
      </c>
      <c r="B39" s="12" t="s">
        <v>135</v>
      </c>
      <c r="C39" s="39" t="s">
        <v>7</v>
      </c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12" t="s">
        <v>136</v>
      </c>
      <c r="B40" s="12" t="s">
        <v>137</v>
      </c>
      <c r="C40" s="39" t="s">
        <v>7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12" t="s">
        <v>138</v>
      </c>
      <c r="B41" s="12" t="s">
        <v>139</v>
      </c>
      <c r="C41" s="39" t="s">
        <v>7</v>
      </c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39" t="s">
        <v>140</v>
      </c>
      <c r="B42" s="12" t="s">
        <v>141</v>
      </c>
      <c r="C42" s="39" t="s">
        <v>7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12" t="s">
        <v>142</v>
      </c>
      <c r="B43" s="12" t="s">
        <v>143</v>
      </c>
      <c r="C43" s="39" t="s">
        <v>7</v>
      </c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39" t="s">
        <v>144</v>
      </c>
      <c r="B44" s="12" t="s">
        <v>145</v>
      </c>
      <c r="C44" s="39" t="s">
        <v>7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39" t="s">
        <v>146</v>
      </c>
      <c r="B45" s="12" t="s">
        <v>147</v>
      </c>
      <c r="C45" s="39" t="s">
        <v>7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39" t="s">
        <v>148</v>
      </c>
      <c r="B46" s="12" t="s">
        <v>149</v>
      </c>
      <c r="C46" s="39" t="s">
        <v>7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12" t="s">
        <v>121</v>
      </c>
      <c r="B47" s="12" t="s">
        <v>150</v>
      </c>
      <c r="C47" s="39" t="s">
        <v>7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12" t="s">
        <v>151</v>
      </c>
      <c r="B48" s="12" t="s">
        <v>152</v>
      </c>
      <c r="C48" s="39" t="s">
        <v>7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12" t="s">
        <v>153</v>
      </c>
      <c r="B49" s="12" t="s">
        <v>154</v>
      </c>
      <c r="C49" s="39" t="s">
        <v>7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12" t="s">
        <v>155</v>
      </c>
      <c r="B50" s="12" t="s">
        <v>156</v>
      </c>
      <c r="C50" s="39" t="s">
        <v>7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12" t="s">
        <v>157</v>
      </c>
      <c r="B51" s="12" t="s">
        <v>158</v>
      </c>
      <c r="C51" s="39" t="s">
        <v>7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12" t="s">
        <v>159</v>
      </c>
      <c r="B52" s="12" t="s">
        <v>160</v>
      </c>
      <c r="C52" s="39" t="s">
        <v>7</v>
      </c>
      <c r="D52" s="40"/>
      <c r="E52" s="40"/>
      <c r="F52" s="40"/>
      <c r="G52" s="42" t="s">
        <v>161</v>
      </c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12" t="s">
        <v>162</v>
      </c>
      <c r="B53" s="12" t="s">
        <v>163</v>
      </c>
      <c r="C53" s="39" t="s">
        <v>7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39" t="s">
        <v>164</v>
      </c>
      <c r="B54" s="12" t="s">
        <v>165</v>
      </c>
      <c r="C54" s="39" t="s">
        <v>7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39" t="s">
        <v>166</v>
      </c>
      <c r="B55" s="12" t="s">
        <v>167</v>
      </c>
      <c r="C55" s="39" t="s">
        <v>7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39" t="s">
        <v>168</v>
      </c>
      <c r="B56" s="12" t="s">
        <v>169</v>
      </c>
      <c r="C56" s="39" t="s">
        <v>7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39" t="s">
        <v>170</v>
      </c>
      <c r="B57" s="12" t="s">
        <v>171</v>
      </c>
      <c r="C57" s="39" t="s">
        <v>7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39" t="s">
        <v>172</v>
      </c>
      <c r="B58" s="12" t="s">
        <v>173</v>
      </c>
      <c r="C58" s="39" t="s">
        <v>7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39" t="s">
        <v>174</v>
      </c>
      <c r="B59" s="12" t="s">
        <v>175</v>
      </c>
      <c r="C59" s="39" t="s">
        <v>7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39" t="s">
        <v>176</v>
      </c>
      <c r="B60" s="12" t="s">
        <v>177</v>
      </c>
      <c r="C60" s="39" t="s">
        <v>7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39" t="s">
        <v>178</v>
      </c>
      <c r="B61" s="39" t="s">
        <v>179</v>
      </c>
      <c r="C61" s="39" t="s">
        <v>7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39" t="s">
        <v>180</v>
      </c>
      <c r="B62" s="39" t="s">
        <v>181</v>
      </c>
      <c r="C62" s="39" t="s">
        <v>7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12" t="s">
        <v>182</v>
      </c>
      <c r="B63" s="39" t="s">
        <v>183</v>
      </c>
      <c r="C63" s="39" t="s">
        <v>7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12" t="s">
        <v>184</v>
      </c>
      <c r="B64" s="12" t="s">
        <v>185</v>
      </c>
      <c r="C64" s="39" t="s">
        <v>7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39" t="s">
        <v>186</v>
      </c>
      <c r="B65" s="39" t="s">
        <v>187</v>
      </c>
      <c r="C65" s="39" t="s">
        <v>7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39" t="s">
        <v>188</v>
      </c>
      <c r="B66" s="39" t="s">
        <v>189</v>
      </c>
      <c r="C66" s="39" t="s">
        <v>7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39" t="s">
        <v>190</v>
      </c>
      <c r="B67" s="39" t="s">
        <v>191</v>
      </c>
      <c r="C67" s="39" t="s">
        <v>7</v>
      </c>
      <c r="D67" s="40"/>
      <c r="E67" s="40"/>
      <c r="F67" s="40"/>
      <c r="G67" s="42" t="s">
        <v>161</v>
      </c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39" t="s">
        <v>192</v>
      </c>
      <c r="B68" s="39" t="s">
        <v>193</v>
      </c>
      <c r="C68" s="39" t="s">
        <v>7</v>
      </c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39" t="s">
        <v>194</v>
      </c>
      <c r="B69" s="39" t="s">
        <v>195</v>
      </c>
      <c r="C69" s="39" t="s">
        <v>7</v>
      </c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39" t="s">
        <v>196</v>
      </c>
      <c r="B70" s="39" t="s">
        <v>197</v>
      </c>
      <c r="C70" s="39" t="s">
        <v>7</v>
      </c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39" t="s">
        <v>198</v>
      </c>
      <c r="B71" s="12" t="s">
        <v>199</v>
      </c>
      <c r="C71" s="39" t="s">
        <v>7</v>
      </c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12" t="s">
        <v>200</v>
      </c>
      <c r="B72" s="39" t="s">
        <v>201</v>
      </c>
      <c r="C72" s="39" t="s">
        <v>7</v>
      </c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39" t="s">
        <v>202</v>
      </c>
      <c r="B73" s="39" t="s">
        <v>203</v>
      </c>
      <c r="C73" s="39" t="s">
        <v>7</v>
      </c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39" t="s">
        <v>204</v>
      </c>
      <c r="B74" s="39" t="s">
        <v>205</v>
      </c>
      <c r="C74" s="39" t="s">
        <v>7</v>
      </c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39" t="s">
        <v>206</v>
      </c>
      <c r="B75" s="39" t="s">
        <v>207</v>
      </c>
      <c r="C75" s="39" t="s">
        <v>7</v>
      </c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12" t="s">
        <v>208</v>
      </c>
      <c r="B76" s="12" t="s">
        <v>209</v>
      </c>
      <c r="C76" s="39" t="s">
        <v>7</v>
      </c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12" t="s">
        <v>210</v>
      </c>
      <c r="B77" s="12" t="s">
        <v>211</v>
      </c>
      <c r="C77" s="39" t="s">
        <v>7</v>
      </c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12" t="s">
        <v>212</v>
      </c>
      <c r="B78" s="12" t="s">
        <v>213</v>
      </c>
      <c r="C78" s="39" t="s">
        <v>7</v>
      </c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12" t="s">
        <v>214</v>
      </c>
      <c r="B79" s="12" t="s">
        <v>215</v>
      </c>
      <c r="C79" s="39" t="s">
        <v>7</v>
      </c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12" t="s">
        <v>216</v>
      </c>
      <c r="B80" s="12" t="s">
        <v>217</v>
      </c>
      <c r="C80" s="39" t="s">
        <v>7</v>
      </c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12" t="s">
        <v>218</v>
      </c>
      <c r="B81" s="12" t="s">
        <v>219</v>
      </c>
      <c r="C81" s="39" t="s">
        <v>7</v>
      </c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12" t="s">
        <v>220</v>
      </c>
      <c r="B82" s="12" t="s">
        <v>221</v>
      </c>
      <c r="C82" s="39" t="s">
        <v>7</v>
      </c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12" t="s">
        <v>222</v>
      </c>
      <c r="B83" s="12" t="s">
        <v>223</v>
      </c>
      <c r="C83" s="39" t="s">
        <v>7</v>
      </c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39" t="s">
        <v>224</v>
      </c>
      <c r="B84" s="39" t="s">
        <v>225</v>
      </c>
      <c r="C84" s="39" t="s">
        <v>7</v>
      </c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39" t="s">
        <v>226</v>
      </c>
      <c r="B85" s="39" t="s">
        <v>227</v>
      </c>
      <c r="C85" s="39" t="s">
        <v>7</v>
      </c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39" t="s">
        <v>228</v>
      </c>
      <c r="B86" s="39" t="s">
        <v>229</v>
      </c>
      <c r="C86" s="39" t="s">
        <v>7</v>
      </c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39" t="s">
        <v>230</v>
      </c>
      <c r="B87" s="39" t="s">
        <v>231</v>
      </c>
      <c r="C87" s="39" t="s">
        <v>7</v>
      </c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39" t="s">
        <v>232</v>
      </c>
      <c r="B88" s="11" t="s">
        <v>233</v>
      </c>
      <c r="C88" s="39" t="s">
        <v>6</v>
      </c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39" t="s">
        <v>234</v>
      </c>
      <c r="B89" s="39" t="s">
        <v>235</v>
      </c>
      <c r="C89" s="39" t="s">
        <v>6</v>
      </c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39" t="s">
        <v>236</v>
      </c>
      <c r="B90" s="11" t="s">
        <v>237</v>
      </c>
      <c r="C90" s="39" t="s">
        <v>6</v>
      </c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39" t="s">
        <v>238</v>
      </c>
      <c r="B91" s="11" t="s">
        <v>239</v>
      </c>
      <c r="C91" s="39" t="s">
        <v>6</v>
      </c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39" t="s">
        <v>240</v>
      </c>
      <c r="B92" s="11" t="s">
        <v>241</v>
      </c>
      <c r="C92" s="39" t="s">
        <v>6</v>
      </c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39" t="s">
        <v>242</v>
      </c>
      <c r="B93" s="39" t="s">
        <v>243</v>
      </c>
      <c r="C93" s="39" t="s">
        <v>6</v>
      </c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39" t="s">
        <v>244</v>
      </c>
      <c r="B94" s="11" t="s">
        <v>245</v>
      </c>
      <c r="C94" s="39" t="s">
        <v>6</v>
      </c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39" t="s">
        <v>246</v>
      </c>
      <c r="B95" s="11" t="s">
        <v>247</v>
      </c>
      <c r="C95" s="39" t="s">
        <v>6</v>
      </c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39" t="s">
        <v>248</v>
      </c>
      <c r="B96" s="39" t="s">
        <v>249</v>
      </c>
      <c r="C96" s="39" t="s">
        <v>6</v>
      </c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39" t="s">
        <v>250</v>
      </c>
      <c r="B97" s="11" t="s">
        <v>251</v>
      </c>
      <c r="C97" s="39" t="s">
        <v>6</v>
      </c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39" t="s">
        <v>252</v>
      </c>
      <c r="B98" s="11" t="s">
        <v>253</v>
      </c>
      <c r="C98" s="39" t="s">
        <v>6</v>
      </c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39" t="s">
        <v>254</v>
      </c>
      <c r="B99" s="11" t="s">
        <v>255</v>
      </c>
      <c r="C99" s="39" t="s">
        <v>6</v>
      </c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39" t="s">
        <v>256</v>
      </c>
      <c r="B100" s="11" t="s">
        <v>257</v>
      </c>
      <c r="C100" s="39" t="s">
        <v>6</v>
      </c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39" t="s">
        <v>258</v>
      </c>
      <c r="B101" s="11" t="s">
        <v>259</v>
      </c>
      <c r="C101" s="39" t="s">
        <v>6</v>
      </c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39" t="s">
        <v>260</v>
      </c>
      <c r="B102" s="11" t="s">
        <v>261</v>
      </c>
      <c r="C102" s="39" t="s">
        <v>6</v>
      </c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39" t="s">
        <v>262</v>
      </c>
      <c r="B103" s="11" t="s">
        <v>263</v>
      </c>
      <c r="C103" s="39" t="s">
        <v>6</v>
      </c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39" t="s">
        <v>264</v>
      </c>
      <c r="B104" s="11" t="s">
        <v>265</v>
      </c>
      <c r="C104" s="39" t="s">
        <v>6</v>
      </c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12" t="s">
        <v>266</v>
      </c>
      <c r="B105" s="11" t="s">
        <v>267</v>
      </c>
      <c r="C105" s="39" t="s">
        <v>6</v>
      </c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39" t="s">
        <v>268</v>
      </c>
      <c r="B106" s="11" t="s">
        <v>269</v>
      </c>
      <c r="C106" s="39" t="s">
        <v>6</v>
      </c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39" t="s">
        <v>270</v>
      </c>
      <c r="B107" s="11" t="s">
        <v>271</v>
      </c>
      <c r="C107" s="39" t="s">
        <v>6</v>
      </c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39" t="s">
        <v>272</v>
      </c>
      <c r="B108" s="11" t="s">
        <v>273</v>
      </c>
      <c r="C108" s="39" t="s">
        <v>6</v>
      </c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39" t="s">
        <v>274</v>
      </c>
      <c r="B109" s="39" t="s">
        <v>275</v>
      </c>
      <c r="C109" s="39" t="s">
        <v>6</v>
      </c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39" t="s">
        <v>276</v>
      </c>
      <c r="B110" s="11" t="s">
        <v>277</v>
      </c>
      <c r="C110" s="39" t="s">
        <v>6</v>
      </c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12" t="s">
        <v>278</v>
      </c>
      <c r="B111" s="11" t="s">
        <v>279</v>
      </c>
      <c r="C111" s="39" t="s">
        <v>6</v>
      </c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3" t="s">
        <v>280</v>
      </c>
      <c r="B112" s="12" t="s">
        <v>281</v>
      </c>
      <c r="C112" s="39" t="s">
        <v>6</v>
      </c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12" t="s">
        <v>282</v>
      </c>
      <c r="B113" s="12" t="s">
        <v>283</v>
      </c>
      <c r="C113" s="39" t="s">
        <v>6</v>
      </c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12" t="s">
        <v>284</v>
      </c>
      <c r="B114" s="12" t="s">
        <v>285</v>
      </c>
      <c r="C114" s="39" t="s">
        <v>6</v>
      </c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3" t="s">
        <v>286</v>
      </c>
      <c r="B115" s="12" t="s">
        <v>287</v>
      </c>
      <c r="C115" s="39" t="s">
        <v>6</v>
      </c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39" t="s">
        <v>288</v>
      </c>
      <c r="B116" s="39" t="s">
        <v>289</v>
      </c>
      <c r="C116" s="39" t="s">
        <v>6</v>
      </c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39" t="s">
        <v>290</v>
      </c>
      <c r="B117" s="11" t="s">
        <v>291</v>
      </c>
      <c r="C117" s="39" t="s">
        <v>6</v>
      </c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39" t="s">
        <v>292</v>
      </c>
      <c r="B118" s="11" t="s">
        <v>293</v>
      </c>
      <c r="C118" s="39" t="s">
        <v>6</v>
      </c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39" t="s">
        <v>294</v>
      </c>
      <c r="B119" s="11" t="s">
        <v>295</v>
      </c>
      <c r="C119" s="39" t="s">
        <v>6</v>
      </c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12" t="s">
        <v>296</v>
      </c>
      <c r="B120" s="39" t="s">
        <v>297</v>
      </c>
      <c r="C120" s="39" t="s">
        <v>6</v>
      </c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12" t="s">
        <v>298</v>
      </c>
      <c r="B121" s="12" t="s">
        <v>299</v>
      </c>
      <c r="C121" s="39" t="s">
        <v>6</v>
      </c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12" t="s">
        <v>300</v>
      </c>
      <c r="B122" s="11" t="s">
        <v>301</v>
      </c>
      <c r="C122" s="39" t="s">
        <v>6</v>
      </c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12" t="s">
        <v>302</v>
      </c>
      <c r="B123" s="12" t="s">
        <v>303</v>
      </c>
      <c r="C123" s="39" t="s">
        <v>6</v>
      </c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39" t="s">
        <v>304</v>
      </c>
      <c r="B124" s="11" t="s">
        <v>305</v>
      </c>
      <c r="C124" s="39" t="s">
        <v>6</v>
      </c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39" t="s">
        <v>306</v>
      </c>
      <c r="B125" s="11" t="s">
        <v>307</v>
      </c>
      <c r="C125" s="39" t="s">
        <v>6</v>
      </c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39" t="s">
        <v>308</v>
      </c>
      <c r="B126" s="11" t="s">
        <v>309</v>
      </c>
      <c r="C126" s="39" t="s">
        <v>6</v>
      </c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39" t="s">
        <v>310</v>
      </c>
      <c r="B127" s="11" t="s">
        <v>311</v>
      </c>
      <c r="C127" s="39" t="s">
        <v>6</v>
      </c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39" t="s">
        <v>312</v>
      </c>
      <c r="B128" s="11" t="s">
        <v>313</v>
      </c>
      <c r="C128" s="39" t="s">
        <v>6</v>
      </c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39" t="s">
        <v>314</v>
      </c>
      <c r="B129" s="11" t="s">
        <v>315</v>
      </c>
      <c r="C129" s="39" t="s">
        <v>6</v>
      </c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39" t="s">
        <v>316</v>
      </c>
      <c r="B130" s="11" t="s">
        <v>317</v>
      </c>
      <c r="C130" s="39" t="s">
        <v>6</v>
      </c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12" t="s">
        <v>318</v>
      </c>
      <c r="B131" s="12" t="s">
        <v>319</v>
      </c>
      <c r="C131" s="39" t="s">
        <v>6</v>
      </c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39" t="s">
        <v>320</v>
      </c>
      <c r="B132" s="11" t="s">
        <v>321</v>
      </c>
      <c r="C132" s="39" t="s">
        <v>6</v>
      </c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12" t="s">
        <v>322</v>
      </c>
      <c r="B133" s="12" t="s">
        <v>323</v>
      </c>
      <c r="C133" s="39" t="s">
        <v>6</v>
      </c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39" t="s">
        <v>324</v>
      </c>
      <c r="B134" s="11" t="s">
        <v>325</v>
      </c>
      <c r="C134" s="39" t="s">
        <v>6</v>
      </c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39" t="s">
        <v>326</v>
      </c>
      <c r="B135" s="11" t="s">
        <v>327</v>
      </c>
      <c r="C135" s="39" t="s">
        <v>6</v>
      </c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39" t="s">
        <v>328</v>
      </c>
      <c r="B136" s="11" t="s">
        <v>329</v>
      </c>
      <c r="C136" s="39" t="s">
        <v>6</v>
      </c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39" t="s">
        <v>330</v>
      </c>
      <c r="B137" s="11" t="s">
        <v>331</v>
      </c>
      <c r="C137" s="39" t="s">
        <v>6</v>
      </c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39" t="s">
        <v>332</v>
      </c>
      <c r="B138" s="11" t="s">
        <v>333</v>
      </c>
      <c r="C138" s="39" t="s">
        <v>6</v>
      </c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39" t="s">
        <v>334</v>
      </c>
      <c r="B139" s="11" t="s">
        <v>335</v>
      </c>
      <c r="C139" s="39" t="s">
        <v>6</v>
      </c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12" t="s">
        <v>336</v>
      </c>
      <c r="B140" s="12" t="s">
        <v>337</v>
      </c>
      <c r="C140" s="39" t="s">
        <v>6</v>
      </c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39" t="s">
        <v>338</v>
      </c>
      <c r="B141" s="11" t="s">
        <v>339</v>
      </c>
      <c r="C141" s="39" t="s">
        <v>6</v>
      </c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12" t="s">
        <v>340</v>
      </c>
      <c r="B142" s="11" t="s">
        <v>341</v>
      </c>
      <c r="C142" s="39" t="s">
        <v>6</v>
      </c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39" t="s">
        <v>342</v>
      </c>
      <c r="B143" s="11" t="s">
        <v>343</v>
      </c>
      <c r="C143" s="39" t="s">
        <v>6</v>
      </c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39" t="s">
        <v>344</v>
      </c>
      <c r="B144" s="11" t="s">
        <v>345</v>
      </c>
      <c r="C144" s="39" t="s">
        <v>6</v>
      </c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39" t="s">
        <v>346</v>
      </c>
      <c r="B145" s="11" t="s">
        <v>347</v>
      </c>
      <c r="C145" s="39" t="s">
        <v>6</v>
      </c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39" t="s">
        <v>348</v>
      </c>
      <c r="B146" s="11" t="s">
        <v>349</v>
      </c>
      <c r="C146" s="39" t="s">
        <v>6</v>
      </c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39" t="s">
        <v>350</v>
      </c>
      <c r="B147" s="11" t="s">
        <v>351</v>
      </c>
      <c r="C147" s="39" t="s">
        <v>6</v>
      </c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39" t="s">
        <v>352</v>
      </c>
      <c r="B148" s="11" t="s">
        <v>353</v>
      </c>
      <c r="C148" s="39" t="s">
        <v>6</v>
      </c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39" t="s">
        <v>354</v>
      </c>
      <c r="B149" s="11" t="s">
        <v>355</v>
      </c>
      <c r="C149" s="39" t="s">
        <v>6</v>
      </c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39" t="s">
        <v>356</v>
      </c>
      <c r="B150" s="11" t="s">
        <v>357</v>
      </c>
      <c r="C150" s="39" t="s">
        <v>6</v>
      </c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39" t="s">
        <v>358</v>
      </c>
      <c r="B151" s="11" t="s">
        <v>359</v>
      </c>
      <c r="C151" s="39" t="s">
        <v>6</v>
      </c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39" t="s">
        <v>360</v>
      </c>
      <c r="B152" s="11" t="s">
        <v>361</v>
      </c>
      <c r="C152" s="39" t="s">
        <v>6</v>
      </c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12" t="s">
        <v>362</v>
      </c>
      <c r="B153" s="12" t="s">
        <v>363</v>
      </c>
      <c r="C153" s="39" t="s">
        <v>6</v>
      </c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39" t="s">
        <v>364</v>
      </c>
      <c r="B154" s="11" t="s">
        <v>365</v>
      </c>
      <c r="C154" s="39" t="s">
        <v>6</v>
      </c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39" t="s">
        <v>366</v>
      </c>
      <c r="B155" s="11" t="s">
        <v>367</v>
      </c>
      <c r="C155" s="39" t="s">
        <v>6</v>
      </c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39" t="s">
        <v>368</v>
      </c>
      <c r="B156" s="11" t="s">
        <v>369</v>
      </c>
      <c r="C156" s="39" t="s">
        <v>6</v>
      </c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39" t="s">
        <v>262</v>
      </c>
      <c r="B157" s="11" t="s">
        <v>370</v>
      </c>
      <c r="C157" s="39" t="s">
        <v>6</v>
      </c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39" t="s">
        <v>371</v>
      </c>
      <c r="B158" s="11" t="s">
        <v>372</v>
      </c>
      <c r="C158" s="39" t="s">
        <v>6</v>
      </c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39" t="s">
        <v>373</v>
      </c>
      <c r="B159" s="11" t="s">
        <v>374</v>
      </c>
      <c r="C159" s="39" t="s">
        <v>6</v>
      </c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12" t="s">
        <v>375</v>
      </c>
      <c r="B160" s="12" t="s">
        <v>376</v>
      </c>
      <c r="C160" s="39" t="s">
        <v>6</v>
      </c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39" t="s">
        <v>377</v>
      </c>
      <c r="B161" s="11" t="s">
        <v>378</v>
      </c>
      <c r="C161" s="39" t="s">
        <v>6</v>
      </c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39" t="s">
        <v>379</v>
      </c>
      <c r="B162" s="11" t="s">
        <v>380</v>
      </c>
      <c r="C162" s="39" t="s">
        <v>6</v>
      </c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39" t="s">
        <v>381</v>
      </c>
      <c r="B163" s="11" t="s">
        <v>382</v>
      </c>
      <c r="C163" s="39" t="s">
        <v>6</v>
      </c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12" t="s">
        <v>383</v>
      </c>
      <c r="B164" s="12" t="s">
        <v>384</v>
      </c>
      <c r="C164" s="39" t="s">
        <v>6</v>
      </c>
      <c r="D164" s="4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12" t="s">
        <v>385</v>
      </c>
      <c r="B165" s="12" t="s">
        <v>386</v>
      </c>
      <c r="C165" s="39" t="s">
        <v>6</v>
      </c>
      <c r="D165" s="4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12" t="s">
        <v>387</v>
      </c>
      <c r="B166" s="12" t="s">
        <v>388</v>
      </c>
      <c r="C166" s="39" t="s">
        <v>6</v>
      </c>
      <c r="D166" s="4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12" t="s">
        <v>389</v>
      </c>
      <c r="B167" s="12" t="s">
        <v>390</v>
      </c>
      <c r="C167" s="39" t="s">
        <v>6</v>
      </c>
      <c r="D167" s="4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12" t="s">
        <v>391</v>
      </c>
      <c r="B168" s="12" t="s">
        <v>392</v>
      </c>
      <c r="C168" s="39" t="s">
        <v>6</v>
      </c>
      <c r="D168" s="4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12" t="s">
        <v>393</v>
      </c>
      <c r="B169" s="12" t="s">
        <v>394</v>
      </c>
      <c r="C169" s="39" t="s">
        <v>6</v>
      </c>
      <c r="D169" s="4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39" t="s">
        <v>395</v>
      </c>
      <c r="B170" s="12" t="s">
        <v>396</v>
      </c>
      <c r="C170" s="39" t="s">
        <v>6</v>
      </c>
      <c r="D170" s="4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39" t="s">
        <v>397</v>
      </c>
      <c r="B171" s="12" t="s">
        <v>398</v>
      </c>
      <c r="C171" s="39" t="s">
        <v>6</v>
      </c>
      <c r="D171" s="4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12" t="s">
        <v>399</v>
      </c>
      <c r="B172" s="12" t="s">
        <v>400</v>
      </c>
      <c r="C172" s="39" t="s">
        <v>6</v>
      </c>
      <c r="D172" s="4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12" t="s">
        <v>401</v>
      </c>
      <c r="B173" s="12" t="s">
        <v>402</v>
      </c>
      <c r="C173" s="39" t="s">
        <v>6</v>
      </c>
      <c r="D173" s="4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12" t="s">
        <v>403</v>
      </c>
      <c r="B174" s="12" t="s">
        <v>404</v>
      </c>
      <c r="C174" s="39" t="s">
        <v>6</v>
      </c>
      <c r="D174" s="4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12" t="s">
        <v>405</v>
      </c>
      <c r="B175" s="12" t="s">
        <v>406</v>
      </c>
      <c r="C175" s="39" t="s">
        <v>6</v>
      </c>
      <c r="D175" s="4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12" t="s">
        <v>407</v>
      </c>
      <c r="B176" s="12" t="s">
        <v>408</v>
      </c>
      <c r="C176" s="39" t="s">
        <v>6</v>
      </c>
      <c r="D176" s="4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39" t="s">
        <v>409</v>
      </c>
      <c r="B177" s="12" t="s">
        <v>410</v>
      </c>
      <c r="C177" s="39" t="s">
        <v>6</v>
      </c>
      <c r="D177" s="4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39" t="s">
        <v>411</v>
      </c>
      <c r="B178" s="12" t="s">
        <v>412</v>
      </c>
      <c r="C178" s="39" t="s">
        <v>6</v>
      </c>
      <c r="D178" s="4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39" t="s">
        <v>413</v>
      </c>
      <c r="B179" s="12" t="s">
        <v>414</v>
      </c>
      <c r="C179" s="39" t="s">
        <v>6</v>
      </c>
      <c r="D179" s="4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12" t="s">
        <v>415</v>
      </c>
      <c r="B180" s="12" t="s">
        <v>416</v>
      </c>
      <c r="C180" s="39" t="s">
        <v>6</v>
      </c>
      <c r="D180" s="4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12" t="s">
        <v>417</v>
      </c>
      <c r="B181" s="12" t="s">
        <v>418</v>
      </c>
      <c r="C181" s="39" t="s">
        <v>6</v>
      </c>
      <c r="D181" s="4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12" t="s">
        <v>419</v>
      </c>
      <c r="B182" s="12" t="s">
        <v>420</v>
      </c>
      <c r="C182" s="39" t="s">
        <v>6</v>
      </c>
      <c r="D182" s="4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39" t="s">
        <v>421</v>
      </c>
      <c r="B183" s="12" t="s">
        <v>422</v>
      </c>
      <c r="C183" s="39" t="s">
        <v>6</v>
      </c>
      <c r="D183" s="4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12" t="s">
        <v>423</v>
      </c>
      <c r="B184" s="12" t="s">
        <v>424</v>
      </c>
      <c r="C184" s="39" t="s">
        <v>6</v>
      </c>
      <c r="D184" s="4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12" t="s">
        <v>425</v>
      </c>
      <c r="B185" s="12" t="s">
        <v>426</v>
      </c>
      <c r="C185" s="39" t="s">
        <v>6</v>
      </c>
      <c r="D185" s="4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12" t="s">
        <v>427</v>
      </c>
      <c r="B186" s="12" t="s">
        <v>428</v>
      </c>
      <c r="C186" s="39" t="s">
        <v>6</v>
      </c>
      <c r="D186" s="4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12" t="s">
        <v>429</v>
      </c>
      <c r="B187" s="11" t="s">
        <v>430</v>
      </c>
      <c r="C187" s="39" t="s">
        <v>3</v>
      </c>
      <c r="D187" s="4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11" t="s">
        <v>431</v>
      </c>
      <c r="B188" s="11" t="s">
        <v>432</v>
      </c>
      <c r="C188" s="39" t="s">
        <v>3</v>
      </c>
      <c r="D188" s="44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12" t="s">
        <v>433</v>
      </c>
      <c r="B189" s="11" t="s">
        <v>434</v>
      </c>
      <c r="C189" s="39" t="s">
        <v>3</v>
      </c>
      <c r="D189" s="44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11" t="s">
        <v>435</v>
      </c>
      <c r="B190" s="11" t="s">
        <v>436</v>
      </c>
      <c r="C190" s="39" t="s">
        <v>3</v>
      </c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4"/>
    </row>
    <row r="191">
      <c r="A191" s="11" t="s">
        <v>437</v>
      </c>
      <c r="B191" s="11" t="s">
        <v>438</v>
      </c>
      <c r="C191" s="39" t="s">
        <v>3</v>
      </c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4"/>
    </row>
    <row r="192">
      <c r="A192" s="11" t="s">
        <v>439</v>
      </c>
      <c r="B192" s="12" t="s">
        <v>440</v>
      </c>
      <c r="C192" s="39" t="s">
        <v>3</v>
      </c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11" t="s">
        <v>441</v>
      </c>
      <c r="B193" s="11" t="s">
        <v>442</v>
      </c>
      <c r="C193" s="39" t="s">
        <v>3</v>
      </c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4"/>
    </row>
    <row r="194">
      <c r="A194" s="11" t="s">
        <v>443</v>
      </c>
      <c r="B194" s="11" t="s">
        <v>444</v>
      </c>
      <c r="C194" s="39" t="s">
        <v>3</v>
      </c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4"/>
    </row>
    <row r="195">
      <c r="A195" s="11" t="s">
        <v>445</v>
      </c>
      <c r="B195" s="11" t="s">
        <v>446</v>
      </c>
      <c r="C195" s="39" t="s">
        <v>3</v>
      </c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4"/>
      <c r="Z195" s="44"/>
    </row>
    <row r="196">
      <c r="A196" s="11" t="s">
        <v>447</v>
      </c>
      <c r="B196" s="11" t="s">
        <v>448</v>
      </c>
      <c r="C196" s="39" t="s">
        <v>3</v>
      </c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4"/>
    </row>
    <row r="197">
      <c r="A197" s="11" t="s">
        <v>449</v>
      </c>
      <c r="B197" s="11" t="s">
        <v>450</v>
      </c>
      <c r="C197" s="39" t="s">
        <v>3</v>
      </c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4"/>
    </row>
    <row r="198">
      <c r="A198" s="11" t="s">
        <v>451</v>
      </c>
      <c r="B198" s="11" t="s">
        <v>452</v>
      </c>
      <c r="C198" s="39" t="s">
        <v>3</v>
      </c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4"/>
    </row>
    <row r="199">
      <c r="A199" s="11" t="s">
        <v>453</v>
      </c>
      <c r="B199" s="11" t="s">
        <v>454</v>
      </c>
      <c r="C199" s="39" t="s">
        <v>3</v>
      </c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4"/>
    </row>
    <row r="200">
      <c r="A200" s="11" t="s">
        <v>455</v>
      </c>
      <c r="B200" s="11" t="s">
        <v>456</v>
      </c>
      <c r="C200" s="39" t="s">
        <v>3</v>
      </c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4"/>
    </row>
    <row r="201">
      <c r="A201" s="11" t="s">
        <v>457</v>
      </c>
      <c r="B201" s="11" t="s">
        <v>458</v>
      </c>
      <c r="C201" s="39" t="s">
        <v>3</v>
      </c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4"/>
    </row>
    <row r="202">
      <c r="A202" s="11" t="s">
        <v>459</v>
      </c>
      <c r="B202" s="11" t="s">
        <v>460</v>
      </c>
      <c r="C202" s="39" t="s">
        <v>3</v>
      </c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4"/>
    </row>
    <row r="203">
      <c r="A203" s="11" t="s">
        <v>461</v>
      </c>
      <c r="B203" s="11" t="s">
        <v>462</v>
      </c>
      <c r="C203" s="39" t="s">
        <v>3</v>
      </c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4"/>
    </row>
    <row r="204">
      <c r="A204" s="11" t="s">
        <v>463</v>
      </c>
      <c r="B204" s="11" t="s">
        <v>464</v>
      </c>
      <c r="C204" s="39" t="s">
        <v>3</v>
      </c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4"/>
    </row>
    <row r="205">
      <c r="A205" s="11" t="s">
        <v>465</v>
      </c>
      <c r="B205" s="11" t="s">
        <v>466</v>
      </c>
      <c r="C205" s="39" t="s">
        <v>3</v>
      </c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4"/>
    </row>
    <row r="206">
      <c r="A206" s="11" t="s">
        <v>467</v>
      </c>
      <c r="B206" s="11" t="s">
        <v>468</v>
      </c>
      <c r="C206" s="39" t="s">
        <v>3</v>
      </c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4"/>
    </row>
    <row r="207">
      <c r="A207" s="11" t="s">
        <v>469</v>
      </c>
      <c r="B207" s="11" t="s">
        <v>470</v>
      </c>
      <c r="C207" s="39" t="s">
        <v>3</v>
      </c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4"/>
    </row>
    <row r="208">
      <c r="A208" s="11" t="s">
        <v>471</v>
      </c>
      <c r="B208" s="12" t="s">
        <v>472</v>
      </c>
      <c r="C208" s="39" t="s">
        <v>3</v>
      </c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4"/>
    </row>
    <row r="209">
      <c r="A209" s="11" t="s">
        <v>473</v>
      </c>
      <c r="B209" s="12" t="s">
        <v>474</v>
      </c>
      <c r="C209" s="39" t="s">
        <v>3</v>
      </c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4"/>
    </row>
    <row r="210">
      <c r="A210" s="11" t="s">
        <v>475</v>
      </c>
      <c r="B210" s="12" t="s">
        <v>476</v>
      </c>
      <c r="C210" s="39" t="s">
        <v>3</v>
      </c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4"/>
    </row>
    <row r="211">
      <c r="A211" s="45" t="s">
        <v>477</v>
      </c>
      <c r="B211" s="46" t="s">
        <v>478</v>
      </c>
      <c r="C211" s="39" t="s">
        <v>3</v>
      </c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5" t="s">
        <v>479</v>
      </c>
      <c r="B212" s="46" t="s">
        <v>480</v>
      </c>
      <c r="C212" s="39" t="s">
        <v>3</v>
      </c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5" t="s">
        <v>481</v>
      </c>
      <c r="B213" s="46" t="s">
        <v>482</v>
      </c>
      <c r="C213" s="39" t="s">
        <v>3</v>
      </c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5" t="s">
        <v>483</v>
      </c>
      <c r="B214" s="47" t="s">
        <v>484</v>
      </c>
      <c r="C214" s="39" t="s">
        <v>3</v>
      </c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5" t="s">
        <v>485</v>
      </c>
      <c r="B215" s="48" t="s">
        <v>486</v>
      </c>
      <c r="C215" s="39" t="s">
        <v>3</v>
      </c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5" t="s">
        <v>487</v>
      </c>
      <c r="B216" s="47" t="s">
        <v>488</v>
      </c>
      <c r="C216" s="39" t="s">
        <v>3</v>
      </c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5" t="s">
        <v>489</v>
      </c>
      <c r="B217" s="48" t="s">
        <v>490</v>
      </c>
      <c r="C217" s="39" t="s">
        <v>3</v>
      </c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5" t="s">
        <v>491</v>
      </c>
      <c r="B218" s="47" t="s">
        <v>492</v>
      </c>
      <c r="C218" s="39" t="s">
        <v>3</v>
      </c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12" t="s">
        <v>493</v>
      </c>
      <c r="B219" s="11" t="s">
        <v>494</v>
      </c>
      <c r="C219" s="39" t="s">
        <v>3</v>
      </c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4"/>
    </row>
    <row r="220">
      <c r="A220" s="12" t="s">
        <v>495</v>
      </c>
      <c r="B220" s="11" t="s">
        <v>496</v>
      </c>
      <c r="C220" s="39" t="s">
        <v>3</v>
      </c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4"/>
    </row>
    <row r="221">
      <c r="A221" s="12" t="s">
        <v>497</v>
      </c>
      <c r="B221" s="11" t="s">
        <v>498</v>
      </c>
      <c r="C221" s="39" t="s">
        <v>3</v>
      </c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4"/>
    </row>
    <row r="222">
      <c r="A222" s="12" t="s">
        <v>499</v>
      </c>
      <c r="B222" s="11" t="s">
        <v>500</v>
      </c>
      <c r="C222" s="39" t="s">
        <v>3</v>
      </c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4"/>
    </row>
    <row r="223">
      <c r="A223" s="12" t="s">
        <v>501</v>
      </c>
      <c r="B223" s="11" t="s">
        <v>502</v>
      </c>
      <c r="C223" s="39" t="s">
        <v>3</v>
      </c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4"/>
    </row>
    <row r="224">
      <c r="A224" s="12" t="s">
        <v>503</v>
      </c>
      <c r="B224" s="12" t="s">
        <v>504</v>
      </c>
      <c r="C224" s="39" t="s">
        <v>3</v>
      </c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12" t="s">
        <v>505</v>
      </c>
      <c r="B225" s="12" t="s">
        <v>506</v>
      </c>
      <c r="C225" s="39" t="s">
        <v>6</v>
      </c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5" t="s">
        <v>507</v>
      </c>
      <c r="B226" s="12" t="s">
        <v>508</v>
      </c>
      <c r="C226" s="39" t="s">
        <v>7</v>
      </c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5" t="s">
        <v>509</v>
      </c>
      <c r="B227" s="12" t="s">
        <v>510</v>
      </c>
      <c r="C227" s="39" t="s">
        <v>7</v>
      </c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5" t="s">
        <v>511</v>
      </c>
      <c r="B228" s="12" t="s">
        <v>512</v>
      </c>
      <c r="C228" s="39" t="s">
        <v>7</v>
      </c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5" t="s">
        <v>513</v>
      </c>
      <c r="B229" s="12" t="s">
        <v>514</v>
      </c>
      <c r="C229" s="39" t="s">
        <v>7</v>
      </c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5" t="s">
        <v>515</v>
      </c>
      <c r="B230" s="48" t="s">
        <v>516</v>
      </c>
      <c r="C230" s="39" t="s">
        <v>7</v>
      </c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5" t="s">
        <v>517</v>
      </c>
      <c r="B231" s="48" t="s">
        <v>518</v>
      </c>
      <c r="C231" s="39" t="s">
        <v>7</v>
      </c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5" t="s">
        <v>519</v>
      </c>
      <c r="B232" s="48" t="s">
        <v>520</v>
      </c>
      <c r="C232" s="39" t="s">
        <v>7</v>
      </c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5" t="s">
        <v>521</v>
      </c>
      <c r="B233" s="48" t="s">
        <v>522</v>
      </c>
      <c r="C233" s="39" t="s">
        <v>7</v>
      </c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5" t="s">
        <v>523</v>
      </c>
      <c r="B234" s="48" t="s">
        <v>524</v>
      </c>
      <c r="C234" s="39" t="s">
        <v>7</v>
      </c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5" t="s">
        <v>525</v>
      </c>
      <c r="B235" s="48" t="s">
        <v>526</v>
      </c>
      <c r="C235" s="39" t="s">
        <v>7</v>
      </c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12" t="s">
        <v>527</v>
      </c>
      <c r="B236" s="12" t="s">
        <v>528</v>
      </c>
      <c r="C236" s="39" t="s">
        <v>6</v>
      </c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12" t="s">
        <v>529</v>
      </c>
      <c r="B237" s="12" t="s">
        <v>530</v>
      </c>
      <c r="C237" s="39" t="s">
        <v>6</v>
      </c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5" t="s">
        <v>531</v>
      </c>
      <c r="B238" s="48" t="s">
        <v>532</v>
      </c>
      <c r="C238" s="39" t="s">
        <v>7</v>
      </c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9" t="s">
        <v>153</v>
      </c>
      <c r="B239" s="47" t="s">
        <v>154</v>
      </c>
      <c r="C239" s="39" t="s">
        <v>7</v>
      </c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50" t="s">
        <v>157</v>
      </c>
      <c r="B240" s="47" t="s">
        <v>158</v>
      </c>
      <c r="C240" s="39" t="s">
        <v>7</v>
      </c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50" t="s">
        <v>155</v>
      </c>
      <c r="B241" s="47" t="s">
        <v>156</v>
      </c>
      <c r="C241" s="39" t="s">
        <v>7</v>
      </c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50" t="s">
        <v>159</v>
      </c>
      <c r="B242" s="47" t="s">
        <v>160</v>
      </c>
      <c r="C242" s="39" t="s">
        <v>7</v>
      </c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50" t="s">
        <v>166</v>
      </c>
      <c r="B243" s="51"/>
      <c r="C243" s="39" t="s">
        <v>7</v>
      </c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50" t="s">
        <v>168</v>
      </c>
      <c r="B244" s="48"/>
      <c r="C244" s="39" t="s">
        <v>7</v>
      </c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50" t="s">
        <v>170</v>
      </c>
      <c r="B245" s="46"/>
      <c r="C245" s="39" t="s">
        <v>7</v>
      </c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50" t="s">
        <v>172</v>
      </c>
      <c r="B246" s="46"/>
      <c r="C246" s="39" t="s">
        <v>7</v>
      </c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50" t="s">
        <v>174</v>
      </c>
      <c r="B247" s="46"/>
      <c r="C247" s="39" t="s">
        <v>7</v>
      </c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50" t="s">
        <v>176</v>
      </c>
      <c r="B248" s="46"/>
      <c r="C248" s="39" t="s">
        <v>7</v>
      </c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52" t="s">
        <v>533</v>
      </c>
      <c r="B249" s="46"/>
      <c r="C249" s="39" t="s">
        <v>6</v>
      </c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52" t="s">
        <v>534</v>
      </c>
      <c r="B250" s="46"/>
      <c r="C250" s="39" t="s">
        <v>6</v>
      </c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52" t="s">
        <v>535</v>
      </c>
      <c r="B251" s="46"/>
      <c r="C251" s="39" t="s">
        <v>6</v>
      </c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52" t="s">
        <v>536</v>
      </c>
      <c r="B252" s="46"/>
      <c r="C252" s="39" t="s">
        <v>6</v>
      </c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52" t="s">
        <v>537</v>
      </c>
      <c r="B253" s="46"/>
      <c r="C253" s="39" t="s">
        <v>6</v>
      </c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53"/>
      <c r="B254" s="46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53"/>
      <c r="B255" s="46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53"/>
      <c r="B256" s="46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53"/>
      <c r="B257" s="46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53"/>
      <c r="B258" s="46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</row>
    <row r="1006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</row>
    <row r="1007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</row>
    <row r="1008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</row>
    <row r="1009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</row>
    <row r="1010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</row>
    <row r="1011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</row>
    <row r="101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</row>
    <row r="1013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</row>
    <row r="1014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</row>
    <row r="1015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</row>
    <row r="1016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</row>
    <row r="1017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</row>
    <row r="1018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</row>
    <row r="1019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</row>
    <row r="1020">
      <c r="A1020" s="40"/>
      <c r="B1020" s="40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</row>
    <row r="1021">
      <c r="A1021" s="40"/>
      <c r="B1021" s="40"/>
      <c r="C1021" s="40"/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</row>
    <row r="1022">
      <c r="A1022" s="40"/>
      <c r="B1022" s="40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</row>
    <row r="1023">
      <c r="A1023" s="40"/>
      <c r="B1023" s="40"/>
      <c r="C1023" s="40"/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</row>
    <row r="1024">
      <c r="A1024" s="40"/>
      <c r="B1024" s="40"/>
      <c r="C1024" s="40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</row>
    <row r="1025">
      <c r="A1025" s="40"/>
      <c r="B1025" s="40"/>
      <c r="C1025" s="40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</row>
    <row r="1026">
      <c r="A1026" s="40"/>
      <c r="B1026" s="40"/>
      <c r="C1026" s="40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</row>
    <row r="1027">
      <c r="A1027" s="40"/>
      <c r="B1027" s="40"/>
      <c r="C1027" s="40"/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</row>
    <row r="1028">
      <c r="A1028" s="40"/>
      <c r="B1028" s="40"/>
      <c r="C1028" s="40"/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</row>
    <row r="1029">
      <c r="A1029" s="40"/>
      <c r="B1029" s="40"/>
      <c r="C1029" s="40"/>
      <c r="D1029" s="40"/>
      <c r="E1029" s="40"/>
      <c r="F1029" s="40"/>
      <c r="G1029" s="40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</row>
    <row r="1030">
      <c r="A1030" s="40"/>
      <c r="B1030" s="40"/>
      <c r="C1030" s="40"/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</row>
    <row r="1031">
      <c r="A1031" s="40"/>
      <c r="B1031" s="40"/>
      <c r="C1031" s="40"/>
      <c r="D1031" s="40"/>
      <c r="E1031" s="40"/>
      <c r="F1031" s="40"/>
      <c r="G1031" s="40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</row>
    <row r="1032">
      <c r="A1032" s="40"/>
      <c r="B1032" s="40"/>
      <c r="C1032" s="40"/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</row>
    <row r="1033">
      <c r="A1033" s="40"/>
      <c r="B1033" s="40"/>
      <c r="C1033" s="40"/>
      <c r="D1033" s="40"/>
      <c r="E1033" s="40"/>
      <c r="F1033" s="40"/>
      <c r="G1033" s="40"/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</row>
    <row r="1034">
      <c r="A1034" s="40"/>
      <c r="B1034" s="40"/>
      <c r="C1034" s="40"/>
      <c r="D1034" s="44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</row>
    <row r="1035">
      <c r="A1035" s="40"/>
      <c r="B1035" s="40"/>
      <c r="C1035" s="40"/>
      <c r="D1035" s="44"/>
      <c r="E1035" s="40"/>
      <c r="F1035" s="40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</row>
    <row r="1036">
      <c r="A1036" s="40"/>
      <c r="B1036" s="40"/>
      <c r="C1036" s="40"/>
      <c r="D1036" s="44"/>
      <c r="E1036" s="40"/>
      <c r="F1036" s="40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20.63"/>
  </cols>
  <sheetData>
    <row r="1" ht="15.75" customHeight="1">
      <c r="A1" s="54" t="s">
        <v>3</v>
      </c>
      <c r="B1" s="55" t="s">
        <v>58</v>
      </c>
    </row>
    <row r="2" ht="15.75" customHeight="1">
      <c r="A2" s="56" t="str">
        <f>IFERROR(__xludf.DUMMYFUNCTION("FILTER('Master Codes'!A1:B904,'Master Codes'!C:C=""Finished Goods"")"),"PP Wet")</f>
        <v>PP Wet</v>
      </c>
      <c r="B2" s="57" t="str">
        <f>IFERROR(__xludf.DUMMYFUNCTION("""COMPUTED_VALUE"""),"PP1500-202")</f>
        <v>PP1500-202</v>
      </c>
    </row>
    <row r="3" ht="15.75" customHeight="1">
      <c r="A3" s="56" t="str">
        <f>IFERROR(__xludf.DUMMYFUNCTION("""COMPUTED_VALUE"""),"PP Dry")</f>
        <v>PP Dry</v>
      </c>
      <c r="B3" s="57" t="str">
        <f>IFERROR(__xludf.DUMMYFUNCTION("""COMPUTED_VALUE"""),"PP1000-202")</f>
        <v>PP1000-202</v>
      </c>
    </row>
    <row r="4" ht="15.75" customHeight="1">
      <c r="A4" s="56" t="str">
        <f>IFERROR(__xludf.DUMMYFUNCTION("""COMPUTED_VALUE"""),"PP Chutney")</f>
        <v>PP Chutney</v>
      </c>
      <c r="B4" s="57" t="str">
        <f>IFERROR(__xludf.DUMMYFUNCTION("""COMPUTED_VALUE"""),"PP0400-202")</f>
        <v>PP0400-202</v>
      </c>
    </row>
    <row r="5" ht="15.75" customHeight="1">
      <c r="A5" s="56" t="str">
        <f>IFERROR(__xludf.DUMMYFUNCTION("""COMPUTED_VALUE"""),"PP Flat Wet")</f>
        <v>PP Flat Wet</v>
      </c>
      <c r="B5" s="57" t="str">
        <f>IFERROR(__xludf.DUMMYFUNCTION("""COMPUTED_VALUE"""),"PF1500-202")</f>
        <v>PF1500-202</v>
      </c>
    </row>
    <row r="6" ht="15.75" customHeight="1">
      <c r="A6" s="56" t="str">
        <f>IFERROR(__xludf.DUMMYFUNCTION("""COMPUTED_VALUE"""),"PP Flat Dry")</f>
        <v>PP Flat Dry</v>
      </c>
      <c r="B6" s="57" t="str">
        <f>IFERROR(__xludf.DUMMYFUNCTION("""COMPUTED_VALUE"""),"PF1000-202")</f>
        <v>PF1000-202</v>
      </c>
    </row>
    <row r="7" ht="15.75" customHeight="1">
      <c r="A7" s="56" t="str">
        <f>IFERROR(__xludf.DUMMYFUNCTION("""COMPUTED_VALUE"""),"PP Flat Chutney")</f>
        <v>PP Flat Chutney</v>
      </c>
      <c r="B7" s="57" t="str">
        <f>IFERROR(__xludf.DUMMYFUNCTION("""COMPUTED_VALUE"""),"PF0600-202")</f>
        <v>PF0600-202</v>
      </c>
    </row>
    <row r="8" ht="15.75" customHeight="1">
      <c r="A8" s="56" t="str">
        <f>IFERROR(__xludf.DUMMYFUNCTION("""COMPUTED_VALUE"""),"VA Wet")</f>
        <v>VA Wet</v>
      </c>
      <c r="B8" s="57" t="str">
        <f>IFERROR(__xludf.DUMMYFUNCTION("""COMPUTED_VALUE"""),"VA1500-202")</f>
        <v>VA1500-202</v>
      </c>
    </row>
    <row r="9" ht="15.75" customHeight="1">
      <c r="A9" s="56" t="str">
        <f>IFERROR(__xludf.DUMMYFUNCTION("""COMPUTED_VALUE"""),"VA Dry")</f>
        <v>VA Dry</v>
      </c>
      <c r="B9" s="57" t="str">
        <f>IFERROR(__xludf.DUMMYFUNCTION("""COMPUTED_VALUE"""),"VA1000-202")</f>
        <v>VA1000-202</v>
      </c>
    </row>
    <row r="10" ht="15.75" customHeight="1">
      <c r="A10" s="56" t="str">
        <f>IFERROR(__xludf.DUMMYFUNCTION("""COMPUTED_VALUE"""),"VA Chutney")</f>
        <v>VA Chutney</v>
      </c>
      <c r="B10" s="57" t="str">
        <f>IFERROR(__xludf.DUMMYFUNCTION("""COMPUTED_VALUE"""),"VA0400-202")</f>
        <v>VA0400-202</v>
      </c>
    </row>
    <row r="11" ht="15.75" customHeight="1">
      <c r="A11" s="56" t="str">
        <f>IFERROR(__xludf.DUMMYFUNCTION("""COMPUTED_VALUE"""),"Value Flat Wet")</f>
        <v>Value Flat Wet</v>
      </c>
      <c r="B11" s="57" t="str">
        <f>IFERROR(__xludf.DUMMYFUNCTION("""COMPUTED_VALUE"""),"VF1500-202")</f>
        <v>VF1500-202</v>
      </c>
    </row>
    <row r="12" ht="15.75" customHeight="1">
      <c r="A12" s="56" t="str">
        <f>IFERROR(__xludf.DUMMYFUNCTION("""COMPUTED_VALUE"""),"Value Flat Dry")</f>
        <v>Value Flat Dry</v>
      </c>
      <c r="B12" s="57" t="str">
        <f>IFERROR(__xludf.DUMMYFUNCTION("""COMPUTED_VALUE"""),"VF1000-202")</f>
        <v>VF1000-202</v>
      </c>
    </row>
    <row r="13" ht="15.75" customHeight="1">
      <c r="A13" s="56" t="str">
        <f>IFERROR(__xludf.DUMMYFUNCTION("""COMPUTED_VALUE"""),"Value Flat Chutney")</f>
        <v>Value Flat Chutney</v>
      </c>
      <c r="B13" s="57" t="str">
        <f>IFERROR(__xludf.DUMMYFUNCTION("""COMPUTED_VALUE"""),"VF0400-202")</f>
        <v>VF0400-202</v>
      </c>
    </row>
    <row r="14" ht="15.75" customHeight="1">
      <c r="A14" s="56" t="str">
        <f>IFERROR(__xludf.DUMMYFUNCTION("""COMPUTED_VALUE"""),"Steele 1.5 Ltr")</f>
        <v>Steele 1.5 Ltr</v>
      </c>
      <c r="B14" s="57" t="str">
        <f>IFERROR(__xludf.DUMMYFUNCTION("""COMPUTED_VALUE"""),"ST1500-202")</f>
        <v>ST1500-202</v>
      </c>
    </row>
    <row r="15" ht="15.75" customHeight="1">
      <c r="A15" s="56" t="str">
        <f>IFERROR(__xludf.DUMMYFUNCTION("""COMPUTED_VALUE"""),"Steele 1.0 Ltr")</f>
        <v>Steele 1.0 Ltr</v>
      </c>
      <c r="B15" s="57" t="str">
        <f>IFERROR(__xludf.DUMMYFUNCTION("""COMPUTED_VALUE"""),"ST1000-202")</f>
        <v>ST1000-202</v>
      </c>
    </row>
    <row r="16" ht="15.75" customHeight="1">
      <c r="A16" s="56" t="str">
        <f>IFERROR(__xludf.DUMMYFUNCTION("""COMPUTED_VALUE"""),"Galaxy 1.5 Ltr")</f>
        <v>Galaxy 1.5 Ltr</v>
      </c>
      <c r="B16" s="57" t="str">
        <f>IFERROR(__xludf.DUMMYFUNCTION("""COMPUTED_VALUE"""),"GX1500-202")</f>
        <v>GX1500-202</v>
      </c>
    </row>
    <row r="17" ht="15.75" customHeight="1">
      <c r="A17" s="56" t="str">
        <f>IFERROR(__xludf.DUMMYFUNCTION("""COMPUTED_VALUE"""),"Galaxy 1.0 Ltr")</f>
        <v>Galaxy 1.0 Ltr</v>
      </c>
      <c r="B17" s="57" t="str">
        <f>IFERROR(__xludf.DUMMYFUNCTION("""COMPUTED_VALUE"""),"GX1000-202")</f>
        <v>GX1000-202</v>
      </c>
    </row>
    <row r="18" ht="15.75" customHeight="1">
      <c r="A18" s="56" t="str">
        <f>IFERROR(__xludf.DUMMYFUNCTION("""COMPUTED_VALUE"""),"Chutney Katori")</f>
        <v>Chutney Katori</v>
      </c>
      <c r="B18" s="57" t="str">
        <f>IFERROR(__xludf.DUMMYFUNCTION("""COMPUTED_VALUE"""),"CK0600-204")</f>
        <v>CK0600-204</v>
      </c>
    </row>
    <row r="19" ht="15.75" customHeight="1">
      <c r="A19" s="56" t="str">
        <f>IFERROR(__xludf.DUMMYFUNCTION("""COMPUTED_VALUE"""),"Grinder Jar")</f>
        <v>Grinder Jar</v>
      </c>
      <c r="B19" s="57" t="str">
        <f>IFERROR(__xludf.DUMMYFUNCTION("""COMPUTED_VALUE"""),"GJ1000-204")</f>
        <v>GJ1000-204</v>
      </c>
    </row>
    <row r="20" ht="15.75" customHeight="1">
      <c r="A20" s="56" t="str">
        <f>IFERROR(__xludf.DUMMYFUNCTION("""COMPUTED_VALUE"""),"Grinder Jar - DD")</f>
        <v>Grinder Jar - DD</v>
      </c>
      <c r="B20" s="57" t="str">
        <f>IFERROR(__xludf.DUMMYFUNCTION("""COMPUTED_VALUE"""),"GJ1000-202")</f>
        <v>GJ1000-202</v>
      </c>
    </row>
    <row r="21" ht="15.75" customHeight="1">
      <c r="A21" s="56" t="str">
        <f>IFERROR(__xludf.DUMMYFUNCTION("""COMPUTED_VALUE"""),"Dome Jar")</f>
        <v>Dome Jar</v>
      </c>
      <c r="B21" s="57" t="str">
        <f>IFERROR(__xludf.DUMMYFUNCTION("""COMPUTED_VALUE"""),"DJ1500-204")</f>
        <v>DJ1500-204</v>
      </c>
    </row>
    <row r="22" ht="15.75" customHeight="1">
      <c r="A22" s="56" t="str">
        <f>IFERROR(__xludf.DUMMYFUNCTION("""COMPUTED_VALUE"""),"Flat Jar")</f>
        <v>Flat Jar</v>
      </c>
      <c r="B22" s="57" t="str">
        <f>IFERROR(__xludf.DUMMYFUNCTION("""COMPUTED_VALUE"""),"FJ1000-204")</f>
        <v>FJ1000-204</v>
      </c>
    </row>
    <row r="23" ht="15.75" customHeight="1">
      <c r="A23" s="56" t="str">
        <f>IFERROR(__xludf.DUMMYFUNCTION("""COMPUTED_VALUE"""),"Nano Dome Jar")</f>
        <v>Nano Dome Jar</v>
      </c>
      <c r="B23" s="57" t="str">
        <f>IFERROR(__xludf.DUMMYFUNCTION("""COMPUTED_VALUE"""),"ND1500-204")</f>
        <v>ND1500-204</v>
      </c>
    </row>
    <row r="24" ht="15.75" customHeight="1">
      <c r="A24" s="56" t="str">
        <f>IFERROR(__xludf.DUMMYFUNCTION("""COMPUTED_VALUE"""),"Nano Flat Jar")</f>
        <v>Nano Flat Jar</v>
      </c>
      <c r="B24" s="57" t="str">
        <f>IFERROR(__xludf.DUMMYFUNCTION("""COMPUTED_VALUE"""),"NF1000-204")</f>
        <v>NF1000-204</v>
      </c>
    </row>
    <row r="25" ht="15.75" customHeight="1">
      <c r="A25" s="56" t="str">
        <f>IFERROR(__xludf.DUMMYFUNCTION("""COMPUTED_VALUE"""),"Nano Chutney Jar")</f>
        <v>Nano Chutney Jar</v>
      </c>
      <c r="B25" s="57" t="str">
        <f>IFERROR(__xludf.DUMMYFUNCTION("""COMPUTED_VALUE"""),"NC0400-204")</f>
        <v>NC0400-204</v>
      </c>
    </row>
    <row r="26" ht="15.75" customHeight="1">
      <c r="A26" s="56" t="str">
        <f>IFERROR(__xludf.DUMMYFUNCTION("""COMPUTED_VALUE"""),"MA Wet Jar")</f>
        <v>MA Wet Jar</v>
      </c>
      <c r="B26" s="57" t="str">
        <f>IFERROR(__xludf.DUMMYFUNCTION("""COMPUTED_VALUE"""),"MA1500-204")</f>
        <v>MA1500-204</v>
      </c>
    </row>
    <row r="27" ht="15.75" customHeight="1">
      <c r="A27" s="56" t="str">
        <f>IFERROR(__xludf.DUMMYFUNCTION("""COMPUTED_VALUE"""),"MA Dry Jar")</f>
        <v>MA Dry Jar</v>
      </c>
      <c r="B27" s="57" t="str">
        <f>IFERROR(__xludf.DUMMYFUNCTION("""COMPUTED_VALUE"""),"MA1000-204")</f>
        <v>MA1000-204</v>
      </c>
    </row>
    <row r="28" ht="15.75" customHeight="1">
      <c r="A28" s="56" t="str">
        <f>IFERROR(__xludf.DUMMYFUNCTION("""COMPUTED_VALUE"""),"MA Chutney Jar")</f>
        <v>MA Chutney Jar</v>
      </c>
      <c r="B28" s="57" t="str">
        <f>IFERROR(__xludf.DUMMYFUNCTION("""COMPUTED_VALUE"""),"MA0400-204")</f>
        <v>MA0400-204</v>
      </c>
    </row>
    <row r="29" ht="15.75" customHeight="1">
      <c r="A29" s="56" t="str">
        <f>IFERROR(__xludf.DUMMYFUNCTION("""COMPUTED_VALUE"""),"MG 1.1 Wet Jar Celum")</f>
        <v>MG 1.1 Wet Jar Celum</v>
      </c>
      <c r="B29" s="57" t="str">
        <f>IFERROR(__xludf.DUMMYFUNCTION("""COMPUTED_VALUE"""),"MG1650-304")</f>
        <v>MG1650-304</v>
      </c>
    </row>
    <row r="30" ht="15.75" customHeight="1">
      <c r="A30" s="56" t="str">
        <f>IFERROR(__xludf.DUMMYFUNCTION("""COMPUTED_VALUE"""),"MG 1.1 Wet Jar")</f>
        <v>MG 1.1 Wet Jar</v>
      </c>
      <c r="B30" s="57" t="str">
        <f>IFERROR(__xludf.DUMMYFUNCTION("""COMPUTED_VALUE"""),"MG1650-204")</f>
        <v>MG1650-204</v>
      </c>
    </row>
    <row r="31" ht="15.75" customHeight="1">
      <c r="A31" s="56" t="str">
        <f>IFERROR(__xludf.DUMMYFUNCTION("""COMPUTED_VALUE"""),"MG 1.1 Dry Jar  Celum")</f>
        <v>MG 1.1 Dry Jar  Celum</v>
      </c>
      <c r="B31" s="57" t="str">
        <f>IFERROR(__xludf.DUMMYFUNCTION("""COMPUTED_VALUE"""),"MG1100-304")</f>
        <v>MG1100-304</v>
      </c>
    </row>
    <row r="32" ht="15.75" customHeight="1">
      <c r="A32" s="56" t="str">
        <f>IFERROR(__xludf.DUMMYFUNCTION("""COMPUTED_VALUE"""),"MG 1.1 Dry Jar")</f>
        <v>MG 1.1 Dry Jar</v>
      </c>
      <c r="B32" s="57" t="str">
        <f>IFERROR(__xludf.DUMMYFUNCTION("""COMPUTED_VALUE"""),"MG1100-204")</f>
        <v>MG1100-204</v>
      </c>
    </row>
    <row r="33" ht="15.75" customHeight="1">
      <c r="A33" s="56" t="str">
        <f>IFERROR(__xludf.DUMMYFUNCTION("""COMPUTED_VALUE"""),"MG 1.1 Chutney Jar")</f>
        <v>MG 1.1 Chutney Jar</v>
      </c>
      <c r="B33" s="57" t="str">
        <f>IFERROR(__xludf.DUMMYFUNCTION("""COMPUTED_VALUE"""),"MG0500-204")</f>
        <v>MG0500-204</v>
      </c>
    </row>
    <row r="34" ht="15.75" customHeight="1">
      <c r="A34" s="58" t="str">
        <f>IFERROR(__xludf.DUMMYFUNCTION("""COMPUTED_VALUE"""),"Bowl 2.0 Ltr")</f>
        <v>Bowl 2.0 Ltr</v>
      </c>
      <c r="B34" s="59" t="str">
        <f>IFERROR(__xludf.DUMMYFUNCTION("""COMPUTED_VALUE"""),"BO2000-202")</f>
        <v>BO2000-202</v>
      </c>
    </row>
    <row r="35" ht="15.75" customHeight="1">
      <c r="A35" s="58" t="str">
        <f>IFERROR(__xludf.DUMMYFUNCTION("""COMPUTED_VALUE"""),"Taper Jar - Bidding 1.5 Ltr")</f>
        <v>Taper Jar - Bidding 1.5 Ltr</v>
      </c>
      <c r="B35" s="59" t="str">
        <f>IFERROR(__xludf.DUMMYFUNCTION("""COMPUTED_VALUE"""),"TB1500-204")</f>
        <v>TB1500-204</v>
      </c>
    </row>
    <row r="36" ht="15.75" customHeight="1">
      <c r="A36" s="58" t="str">
        <f>IFERROR(__xludf.DUMMYFUNCTION("""COMPUTED_VALUE"""),"Taper Jar - Bidding 1.0 Ltr")</f>
        <v>Taper Jar - Bidding 1.0 Ltr</v>
      </c>
      <c r="B36" s="59" t="str">
        <f>IFERROR(__xludf.DUMMYFUNCTION("""COMPUTED_VALUE"""),"TB1000-204")</f>
        <v>TB1000-204</v>
      </c>
    </row>
    <row r="37" ht="15.75" customHeight="1">
      <c r="A37" s="56" t="str">
        <f>IFERROR(__xludf.DUMMYFUNCTION("""COMPUTED_VALUE"""),"Taper Jar - Patti 1.5 Ltr")</f>
        <v>Taper Jar - Patti 1.5 Ltr</v>
      </c>
      <c r="B37" s="57" t="str">
        <f>IFERROR(__xludf.DUMMYFUNCTION("""COMPUTED_VALUE"""),"TP1500-202")</f>
        <v>TP1500-202</v>
      </c>
    </row>
    <row r="38" ht="15.75" customHeight="1">
      <c r="A38" s="56" t="str">
        <f>IFERROR(__xludf.DUMMYFUNCTION("""COMPUTED_VALUE"""),"Taper Jar - Patti 1.0 Ltr")</f>
        <v>Taper Jar - Patti 1.0 Ltr</v>
      </c>
      <c r="B38" s="57" t="str">
        <f>IFERROR(__xludf.DUMMYFUNCTION("""COMPUTED_VALUE"""),"TP1000-202")</f>
        <v>TP1000-202</v>
      </c>
    </row>
    <row r="39" ht="15.75" customHeight="1">
      <c r="A39" s="56" t="str">
        <f>IFERROR(__xludf.DUMMYFUNCTION("""COMPUTED_VALUE"""),"Taper Jar - Patti 0.750 Ltr")</f>
        <v>Taper Jar - Patti 0.750 Ltr</v>
      </c>
      <c r="B39" s="57" t="str">
        <f>IFERROR(__xludf.DUMMYFUNCTION("""COMPUTED_VALUE"""),"TP0750-202")</f>
        <v>TP0750-202</v>
      </c>
    </row>
    <row r="40" ht="15.75" customHeight="1">
      <c r="A40" s="56"/>
      <c r="B40" s="57"/>
    </row>
    <row r="41" ht="15.75" customHeight="1">
      <c r="A41" s="56"/>
      <c r="B41" s="57"/>
    </row>
    <row r="42" ht="15.75" customHeight="1">
      <c r="A42" s="56"/>
      <c r="B42" s="57"/>
    </row>
    <row r="43" ht="15.75" customHeight="1">
      <c r="A43" s="56"/>
      <c r="B43" s="57"/>
    </row>
    <row r="44" ht="15.75" customHeight="1">
      <c r="A44" s="56"/>
      <c r="B44" s="57"/>
    </row>
    <row r="45" ht="15.75" customHeight="1">
      <c r="A45" s="56"/>
      <c r="B45" s="57"/>
    </row>
    <row r="46" ht="15.75" customHeight="1">
      <c r="A46" s="56"/>
      <c r="B46" s="57"/>
    </row>
    <row r="47" ht="15.75" customHeight="1">
      <c r="A47" s="56"/>
      <c r="B47" s="57"/>
    </row>
    <row r="48" ht="15.75" customHeight="1">
      <c r="A48" s="56"/>
      <c r="B48" s="57"/>
    </row>
    <row r="49" ht="15.75" customHeight="1">
      <c r="A49" s="56"/>
      <c r="B49" s="57"/>
    </row>
    <row r="50" ht="15.75" customHeight="1">
      <c r="A50" s="56"/>
      <c r="B50" s="57"/>
    </row>
    <row r="51" ht="15.75" customHeight="1">
      <c r="A51" s="56"/>
      <c r="B51" s="57"/>
    </row>
    <row r="52" ht="15.75" customHeight="1">
      <c r="A52" s="56"/>
      <c r="B52" s="57"/>
    </row>
    <row r="53" ht="15.75" customHeight="1">
      <c r="A53" s="56"/>
      <c r="B53" s="57"/>
    </row>
    <row r="54" ht="15.75" customHeight="1">
      <c r="A54" s="56"/>
      <c r="B54" s="57"/>
    </row>
    <row r="55" ht="15.75" customHeight="1">
      <c r="A55" s="60"/>
      <c r="B55" s="61"/>
    </row>
    <row r="56" ht="15.75" customHeight="1">
      <c r="A56" s="60"/>
      <c r="B56" s="61"/>
    </row>
    <row r="57" ht="15.75" customHeight="1">
      <c r="A57" s="60"/>
      <c r="B57" s="61"/>
    </row>
    <row r="58" ht="15.75" customHeight="1">
      <c r="A58" s="60"/>
      <c r="B58" s="61"/>
    </row>
    <row r="59" ht="15.75" customHeight="1">
      <c r="A59" s="60"/>
      <c r="B59" s="61"/>
    </row>
    <row r="60" ht="15.75" customHeight="1">
      <c r="A60" s="60"/>
      <c r="B60" s="61"/>
    </row>
    <row r="61" ht="15.75" customHeight="1">
      <c r="A61" s="60"/>
      <c r="B61" s="61"/>
    </row>
    <row r="62" ht="15.75" customHeight="1">
      <c r="A62" s="60"/>
      <c r="B62" s="61"/>
    </row>
    <row r="63" ht="15.75" customHeight="1">
      <c r="A63" s="60"/>
      <c r="B63" s="61"/>
    </row>
    <row r="64" ht="15.75" customHeight="1">
      <c r="A64" s="60"/>
      <c r="B64" s="61"/>
    </row>
    <row r="65" ht="15.75" customHeight="1">
      <c r="A65" s="60"/>
      <c r="B65" s="61"/>
    </row>
    <row r="66" ht="15.75" customHeight="1">
      <c r="A66" s="60"/>
      <c r="B66" s="61"/>
    </row>
    <row r="67" ht="15.75" customHeight="1">
      <c r="A67" s="60"/>
      <c r="B67" s="61"/>
    </row>
    <row r="68" ht="15.75" customHeight="1">
      <c r="A68" s="60"/>
      <c r="B68" s="61"/>
    </row>
    <row r="69" ht="15.75" customHeight="1">
      <c r="A69" s="60"/>
      <c r="B69" s="61"/>
    </row>
    <row r="70" ht="15.75" customHeight="1">
      <c r="A70" s="60"/>
      <c r="B70" s="61"/>
    </row>
    <row r="71" ht="15.75" customHeight="1">
      <c r="A71" s="60"/>
      <c r="B71" s="61"/>
    </row>
    <row r="72" ht="15.75" customHeight="1">
      <c r="A72" s="60"/>
      <c r="B72" s="61"/>
    </row>
    <row r="73" ht="15.75" customHeight="1">
      <c r="A73" s="60"/>
      <c r="B73" s="61"/>
    </row>
    <row r="74" ht="15.75" customHeight="1">
      <c r="A74" s="60"/>
      <c r="B74" s="61"/>
    </row>
    <row r="75" ht="15.75" customHeight="1">
      <c r="A75" s="60"/>
      <c r="B75" s="61"/>
    </row>
    <row r="76" ht="15.75" customHeight="1">
      <c r="A76" s="60"/>
      <c r="B76" s="61"/>
    </row>
    <row r="77" ht="15.75" customHeight="1">
      <c r="A77" s="60"/>
      <c r="B77" s="61"/>
    </row>
    <row r="78" ht="15.75" customHeight="1">
      <c r="A78" s="60"/>
      <c r="B78" s="61"/>
    </row>
    <row r="79" ht="15.75" customHeight="1">
      <c r="A79" s="60"/>
      <c r="B79" s="61"/>
    </row>
    <row r="80" ht="15.75" customHeight="1">
      <c r="A80" s="60"/>
      <c r="B80" s="61"/>
    </row>
    <row r="81" ht="15.75" customHeight="1">
      <c r="A81" s="60"/>
      <c r="B81" s="61"/>
    </row>
    <row r="82" ht="15.75" customHeight="1">
      <c r="A82" s="60"/>
      <c r="B82" s="61"/>
    </row>
    <row r="83" ht="15.75" customHeight="1">
      <c r="A83" s="60"/>
      <c r="B83" s="61"/>
    </row>
    <row r="84" ht="15.75" customHeight="1">
      <c r="A84" s="60"/>
      <c r="B84" s="61"/>
    </row>
    <row r="85" ht="15.75" customHeight="1">
      <c r="A85" s="60"/>
      <c r="B85" s="61"/>
    </row>
    <row r="86" ht="15.75" customHeight="1">
      <c r="A86" s="60"/>
      <c r="B86" s="61"/>
    </row>
    <row r="87" ht="15.75" customHeight="1">
      <c r="A87" s="60"/>
      <c r="B87" s="61"/>
    </row>
    <row r="88" ht="15.75" customHeight="1">
      <c r="A88" s="60"/>
      <c r="B88" s="61"/>
    </row>
    <row r="89" ht="15.75" customHeight="1">
      <c r="A89" s="60"/>
      <c r="B89" s="61"/>
    </row>
    <row r="90" ht="15.75" customHeight="1">
      <c r="A90" s="60"/>
      <c r="B90" s="61"/>
    </row>
    <row r="91" ht="15.75" customHeight="1">
      <c r="A91" s="60"/>
      <c r="B91" s="61"/>
    </row>
    <row r="92" ht="15.75" customHeight="1">
      <c r="A92" s="60"/>
      <c r="B92" s="61"/>
    </row>
    <row r="93" ht="15.75" customHeight="1">
      <c r="A93" s="60"/>
      <c r="B93" s="61"/>
    </row>
    <row r="94" ht="15.75" customHeight="1">
      <c r="A94" s="60"/>
      <c r="B94" s="61"/>
    </row>
    <row r="95" ht="15.75" customHeight="1">
      <c r="A95" s="60"/>
      <c r="B95" s="61"/>
    </row>
    <row r="96" ht="15.75" customHeight="1">
      <c r="A96" s="60"/>
      <c r="B96" s="61"/>
    </row>
    <row r="97" ht="15.75" customHeight="1">
      <c r="A97" s="60"/>
      <c r="B97" s="61"/>
    </row>
    <row r="98" ht="15.75" customHeight="1">
      <c r="A98" s="60"/>
      <c r="B98" s="61"/>
    </row>
    <row r="99" ht="15.75" customHeight="1">
      <c r="A99" s="60"/>
      <c r="B99" s="61"/>
    </row>
    <row r="100" ht="15.75" customHeight="1">
      <c r="A100" s="60"/>
      <c r="B100" s="61"/>
    </row>
    <row r="101" ht="15.75" customHeight="1">
      <c r="A101" s="60"/>
      <c r="B101" s="61"/>
    </row>
    <row r="102" ht="15.75" customHeight="1">
      <c r="A102" s="60"/>
      <c r="B102" s="61"/>
    </row>
    <row r="103" ht="15.75" customHeight="1">
      <c r="A103" s="60"/>
      <c r="B103" s="61"/>
    </row>
    <row r="104" ht="15.75" customHeight="1">
      <c r="A104" s="60"/>
      <c r="B104" s="61"/>
    </row>
    <row r="105" ht="15.75" customHeight="1">
      <c r="A105" s="60"/>
      <c r="B105" s="61"/>
    </row>
    <row r="106" ht="15.75" customHeight="1">
      <c r="A106" s="60"/>
      <c r="B106" s="61"/>
    </row>
    <row r="107" ht="15.75" customHeight="1">
      <c r="A107" s="60"/>
      <c r="B107" s="61"/>
    </row>
    <row r="108" ht="15.75" customHeight="1">
      <c r="A108" s="60"/>
      <c r="B108" s="61"/>
    </row>
    <row r="109" ht="15.75" customHeight="1">
      <c r="A109" s="60"/>
      <c r="B109" s="61"/>
    </row>
    <row r="110" ht="15.75" customHeight="1">
      <c r="A110" s="60"/>
      <c r="B110" s="61"/>
    </row>
    <row r="111" ht="15.75" customHeight="1">
      <c r="A111" s="60"/>
      <c r="B111" s="61"/>
    </row>
    <row r="112" ht="15.75" customHeight="1">
      <c r="A112" s="60"/>
      <c r="B112" s="61"/>
    </row>
    <row r="113" ht="15.75" customHeight="1">
      <c r="A113" s="60"/>
      <c r="B113" s="61"/>
    </row>
    <row r="114" ht="15.75" customHeight="1">
      <c r="A114" s="60"/>
      <c r="B114" s="61"/>
    </row>
    <row r="115" ht="15.75" customHeight="1">
      <c r="A115" s="60"/>
      <c r="B115" s="61"/>
    </row>
    <row r="116" ht="15.75" customHeight="1">
      <c r="A116" s="60"/>
      <c r="B116" s="61"/>
    </row>
    <row r="117" ht="15.75" customHeight="1">
      <c r="A117" s="60"/>
      <c r="B117" s="61"/>
    </row>
    <row r="118" ht="15.75" customHeight="1">
      <c r="A118" s="60"/>
      <c r="B118" s="61"/>
    </row>
    <row r="119" ht="15.75" customHeight="1">
      <c r="A119" s="60"/>
      <c r="B119" s="61"/>
    </row>
    <row r="120" ht="15.75" customHeight="1">
      <c r="A120" s="60"/>
      <c r="B120" s="61"/>
    </row>
    <row r="121" ht="15.75" customHeight="1">
      <c r="A121" s="60"/>
      <c r="B121" s="61"/>
    </row>
    <row r="122" ht="15.75" customHeight="1">
      <c r="A122" s="60"/>
      <c r="B122" s="61"/>
    </row>
    <row r="123" ht="15.75" customHeight="1">
      <c r="A123" s="60"/>
      <c r="B123" s="61"/>
    </row>
    <row r="124" ht="15.75" customHeight="1">
      <c r="A124" s="60"/>
      <c r="B124" s="61"/>
    </row>
    <row r="125" ht="15.75" customHeight="1">
      <c r="A125" s="60"/>
      <c r="B125" s="61"/>
    </row>
    <row r="126" ht="15.75" customHeight="1">
      <c r="A126" s="60"/>
      <c r="B126" s="61"/>
    </row>
    <row r="127" ht="15.75" customHeight="1">
      <c r="A127" s="60"/>
      <c r="B127" s="61"/>
    </row>
    <row r="128" ht="15.75" customHeight="1">
      <c r="A128" s="60"/>
      <c r="B128" s="61"/>
    </row>
    <row r="129" ht="15.75" customHeight="1">
      <c r="A129" s="60"/>
      <c r="B129" s="61"/>
    </row>
    <row r="130" ht="15.75" customHeight="1">
      <c r="A130" s="60"/>
      <c r="B130" s="61"/>
    </row>
    <row r="131" ht="15.75" customHeight="1">
      <c r="A131" s="60"/>
      <c r="B131" s="61"/>
    </row>
    <row r="132" ht="15.75" customHeight="1">
      <c r="A132" s="60"/>
      <c r="B132" s="61"/>
    </row>
    <row r="133" ht="15.75" customHeight="1">
      <c r="A133" s="60"/>
      <c r="B133" s="61"/>
    </row>
    <row r="134" ht="15.75" customHeight="1">
      <c r="A134" s="60"/>
      <c r="B134" s="61"/>
    </row>
    <row r="135" ht="15.75" customHeight="1">
      <c r="A135" s="60"/>
      <c r="B135" s="61"/>
    </row>
    <row r="136" ht="15.75" customHeight="1">
      <c r="A136" s="60"/>
      <c r="B136" s="61"/>
    </row>
    <row r="137" ht="15.75" customHeight="1">
      <c r="A137" s="60"/>
      <c r="B137" s="61"/>
    </row>
    <row r="138" ht="15.75" customHeight="1">
      <c r="A138" s="60"/>
      <c r="B138" s="61"/>
    </row>
    <row r="139" ht="15.75" customHeight="1">
      <c r="A139" s="60"/>
      <c r="B139" s="61"/>
    </row>
    <row r="140" ht="15.75" customHeight="1">
      <c r="A140" s="60"/>
      <c r="B140" s="61"/>
    </row>
    <row r="141" ht="15.75" customHeight="1">
      <c r="A141" s="60"/>
      <c r="B141" s="61"/>
    </row>
    <row r="142" ht="15.75" customHeight="1">
      <c r="A142" s="60"/>
      <c r="B142" s="61"/>
    </row>
    <row r="143" ht="15.75" customHeight="1">
      <c r="A143" s="60"/>
      <c r="B143" s="61"/>
    </row>
    <row r="144" ht="15.75" customHeight="1">
      <c r="A144" s="60"/>
      <c r="B144" s="61"/>
    </row>
    <row r="145" ht="15.75" customHeight="1">
      <c r="A145" s="60"/>
      <c r="B145" s="61"/>
    </row>
    <row r="146" ht="15.75" customHeight="1">
      <c r="A146" s="60"/>
      <c r="B146" s="61"/>
    </row>
    <row r="147" ht="15.75" customHeight="1">
      <c r="A147" s="60"/>
      <c r="B147" s="61"/>
    </row>
    <row r="148" ht="15.75" customHeight="1">
      <c r="A148" s="60"/>
      <c r="B148" s="61"/>
    </row>
    <row r="149" ht="15.75" customHeight="1">
      <c r="A149" s="60"/>
      <c r="B149" s="61"/>
    </row>
    <row r="150" ht="15.75" customHeight="1">
      <c r="A150" s="60"/>
      <c r="B150" s="61"/>
    </row>
    <row r="151" ht="15.75" customHeight="1">
      <c r="A151" s="60"/>
      <c r="B151" s="61"/>
    </row>
    <row r="152" ht="15.75" customHeight="1">
      <c r="A152" s="60"/>
      <c r="B152" s="61"/>
    </row>
    <row r="153" ht="15.75" customHeight="1">
      <c r="A153" s="60"/>
      <c r="B153" s="61"/>
    </row>
    <row r="154" ht="15.75" customHeight="1">
      <c r="A154" s="60"/>
      <c r="B154" s="61"/>
    </row>
    <row r="155" ht="15.75" customHeight="1">
      <c r="A155" s="60"/>
      <c r="B155" s="61"/>
    </row>
    <row r="156" ht="15.75" customHeight="1">
      <c r="A156" s="60"/>
      <c r="B156" s="61"/>
    </row>
    <row r="157" ht="15.75" customHeight="1">
      <c r="A157" s="60"/>
      <c r="B157" s="61"/>
    </row>
    <row r="158" ht="15.75" customHeight="1">
      <c r="A158" s="60"/>
      <c r="B158" s="61"/>
    </row>
    <row r="159" ht="15.75" customHeight="1">
      <c r="A159" s="60"/>
      <c r="B159" s="61"/>
    </row>
    <row r="160" ht="15.75" customHeight="1">
      <c r="A160" s="60"/>
      <c r="B160" s="61"/>
    </row>
    <row r="161" ht="15.75" customHeight="1">
      <c r="A161" s="60"/>
      <c r="B161" s="61"/>
    </row>
    <row r="162" ht="15.75" customHeight="1">
      <c r="A162" s="60"/>
      <c r="B162" s="61"/>
    </row>
    <row r="163" ht="15.75" customHeight="1">
      <c r="A163" s="60"/>
      <c r="B163" s="61"/>
    </row>
    <row r="164" ht="15.75" customHeight="1">
      <c r="A164" s="60"/>
      <c r="B164" s="61"/>
    </row>
    <row r="165" ht="15.75" customHeight="1">
      <c r="A165" s="60"/>
      <c r="B165" s="61"/>
    </row>
    <row r="166" ht="15.75" customHeight="1">
      <c r="A166" s="60"/>
      <c r="B166" s="61"/>
    </row>
    <row r="167" ht="15.75" customHeight="1">
      <c r="A167" s="60"/>
      <c r="B167" s="61"/>
    </row>
    <row r="168" ht="15.75" customHeight="1">
      <c r="A168" s="60"/>
      <c r="B168" s="61"/>
    </row>
    <row r="169" ht="15.75" customHeight="1">
      <c r="A169" s="60"/>
      <c r="B169" s="61"/>
    </row>
    <row r="170" ht="15.75" customHeight="1">
      <c r="A170" s="60"/>
      <c r="B170" s="61"/>
    </row>
    <row r="171" ht="15.75" customHeight="1">
      <c r="A171" s="60"/>
      <c r="B171" s="61"/>
    </row>
    <row r="172" ht="15.75" customHeight="1">
      <c r="A172" s="60"/>
      <c r="B172" s="61"/>
    </row>
    <row r="173" ht="15.75" customHeight="1">
      <c r="A173" s="60"/>
      <c r="B173" s="61"/>
    </row>
    <row r="174" ht="15.75" customHeight="1">
      <c r="A174" s="60"/>
      <c r="B174" s="61"/>
    </row>
    <row r="175" ht="15.75" customHeight="1">
      <c r="A175" s="60"/>
      <c r="B175" s="61"/>
    </row>
    <row r="176" ht="15.75" customHeight="1">
      <c r="A176" s="60"/>
      <c r="B176" s="61"/>
    </row>
    <row r="177" ht="15.75" customHeight="1">
      <c r="A177" s="60"/>
      <c r="B177" s="61"/>
    </row>
    <row r="178" ht="15.75" customHeight="1">
      <c r="A178" s="60"/>
      <c r="B178" s="61"/>
    </row>
    <row r="179" ht="15.75" customHeight="1">
      <c r="A179" s="60"/>
      <c r="B179" s="61"/>
    </row>
    <row r="180" ht="15.75" customHeight="1">
      <c r="A180" s="60"/>
      <c r="B180" s="61"/>
    </row>
    <row r="181" ht="15.75" customHeight="1">
      <c r="A181" s="60"/>
      <c r="B181" s="61"/>
    </row>
    <row r="182" ht="15.75" customHeight="1">
      <c r="A182" s="60"/>
      <c r="B182" s="61"/>
    </row>
    <row r="183" ht="15.75" customHeight="1">
      <c r="A183" s="60"/>
      <c r="B183" s="61"/>
    </row>
    <row r="184" ht="15.75" customHeight="1">
      <c r="A184" s="60"/>
      <c r="B184" s="61"/>
    </row>
    <row r="185" ht="15.75" customHeight="1">
      <c r="A185" s="60"/>
      <c r="B185" s="61"/>
    </row>
    <row r="186" ht="15.75" customHeight="1">
      <c r="A186" s="60"/>
      <c r="B186" s="61"/>
    </row>
    <row r="187" ht="15.75" customHeight="1">
      <c r="A187" s="60"/>
      <c r="B187" s="61"/>
    </row>
    <row r="188" ht="15.75" customHeight="1">
      <c r="A188" s="60"/>
      <c r="B188" s="61"/>
    </row>
    <row r="189" ht="15.75" customHeight="1">
      <c r="A189" s="60"/>
      <c r="B189" s="61"/>
    </row>
    <row r="190" ht="15.75" customHeight="1">
      <c r="A190" s="60"/>
      <c r="B190" s="61"/>
    </row>
    <row r="191" ht="15.75" customHeight="1">
      <c r="A191" s="60"/>
      <c r="B191" s="61"/>
    </row>
    <row r="192" ht="15.75" customHeight="1">
      <c r="A192" s="60"/>
      <c r="B192" s="61"/>
    </row>
    <row r="193" ht="15.75" customHeight="1">
      <c r="A193" s="60"/>
      <c r="B193" s="61"/>
    </row>
    <row r="194" ht="15.75" customHeight="1">
      <c r="A194" s="60"/>
      <c r="B194" s="61"/>
    </row>
    <row r="195" ht="15.75" customHeight="1">
      <c r="A195" s="60"/>
      <c r="B195" s="61"/>
    </row>
    <row r="196" ht="15.75" customHeight="1">
      <c r="A196" s="60"/>
      <c r="B196" s="61"/>
    </row>
    <row r="197" ht="15.75" customHeight="1">
      <c r="A197" s="60"/>
      <c r="B197" s="61"/>
    </row>
    <row r="198" ht="15.75" customHeight="1">
      <c r="A198" s="60"/>
      <c r="B198" s="61"/>
    </row>
    <row r="199" ht="15.75" customHeight="1">
      <c r="A199" s="60"/>
      <c r="B199" s="61"/>
    </row>
    <row r="200" ht="15.75" customHeight="1">
      <c r="A200" s="60"/>
      <c r="B200" s="61"/>
    </row>
    <row r="201" ht="15.75" customHeight="1">
      <c r="A201" s="60"/>
      <c r="B201" s="61"/>
    </row>
    <row r="202" ht="15.75" customHeight="1">
      <c r="A202" s="60"/>
      <c r="B202" s="61"/>
    </row>
    <row r="203" ht="15.75" customHeight="1">
      <c r="A203" s="60"/>
      <c r="B203" s="61"/>
    </row>
    <row r="204" ht="15.75" customHeight="1">
      <c r="A204" s="60"/>
      <c r="B204" s="61"/>
    </row>
    <row r="205" ht="15.75" customHeight="1">
      <c r="A205" s="60"/>
      <c r="B205" s="61"/>
    </row>
    <row r="206" ht="15.75" customHeight="1">
      <c r="A206" s="60"/>
      <c r="B206" s="61"/>
    </row>
    <row r="207" ht="15.75" customHeight="1">
      <c r="A207" s="60"/>
      <c r="B207" s="61"/>
    </row>
    <row r="208" ht="15.75" customHeight="1">
      <c r="A208" s="60"/>
      <c r="B208" s="61"/>
    </row>
    <row r="209" ht="15.75" customHeight="1">
      <c r="A209" s="60"/>
      <c r="B209" s="61"/>
    </row>
    <row r="210" ht="15.75" customHeight="1">
      <c r="A210" s="60"/>
      <c r="B210" s="61"/>
    </row>
    <row r="211" ht="15.75" customHeight="1">
      <c r="A211" s="60"/>
      <c r="B211" s="61"/>
    </row>
    <row r="212" ht="15.75" customHeight="1">
      <c r="A212" s="60"/>
      <c r="B212" s="61"/>
    </row>
    <row r="213" ht="15.75" customHeight="1">
      <c r="A213" s="60"/>
      <c r="B213" s="61"/>
    </row>
    <row r="214" ht="15.75" customHeight="1">
      <c r="A214" s="60"/>
      <c r="B214" s="61"/>
    </row>
    <row r="215" ht="15.75" customHeight="1">
      <c r="A215" s="60"/>
      <c r="B215" s="61"/>
    </row>
    <row r="216" ht="15.75" customHeight="1">
      <c r="A216" s="60"/>
      <c r="B216" s="61"/>
    </row>
    <row r="217" ht="15.75" customHeight="1">
      <c r="A217" s="60"/>
      <c r="B217" s="61"/>
    </row>
    <row r="218" ht="15.75" customHeight="1">
      <c r="A218" s="60"/>
      <c r="B218" s="61"/>
    </row>
    <row r="219" ht="15.75" customHeight="1">
      <c r="A219" s="60"/>
      <c r="B219" s="61"/>
    </row>
    <row r="220" ht="15.75" customHeight="1">
      <c r="A220" s="60"/>
      <c r="B220" s="61"/>
    </row>
    <row r="221" ht="15.75" customHeight="1">
      <c r="A221" s="60"/>
      <c r="B221" s="61"/>
    </row>
    <row r="222" ht="15.75" customHeight="1">
      <c r="A222" s="60"/>
      <c r="B222" s="61"/>
    </row>
    <row r="223" ht="15.75" customHeight="1">
      <c r="A223" s="60"/>
      <c r="B223" s="61"/>
    </row>
    <row r="224" ht="15.75" customHeight="1">
      <c r="A224" s="60"/>
      <c r="B224" s="61"/>
    </row>
    <row r="225" ht="15.75" customHeight="1">
      <c r="A225" s="60"/>
      <c r="B225" s="61"/>
    </row>
    <row r="226" ht="15.75" customHeight="1">
      <c r="A226" s="60"/>
      <c r="B226" s="61"/>
    </row>
    <row r="227" ht="15.75" customHeight="1">
      <c r="A227" s="60"/>
      <c r="B227" s="61"/>
    </row>
    <row r="228" ht="15.75" customHeight="1">
      <c r="A228" s="60"/>
      <c r="B228" s="61"/>
    </row>
    <row r="229" ht="15.75" customHeight="1">
      <c r="A229" s="60"/>
      <c r="B229" s="61"/>
    </row>
    <row r="230" ht="15.75" customHeight="1">
      <c r="A230" s="60"/>
      <c r="B230" s="61"/>
    </row>
    <row r="231" ht="15.75" customHeight="1">
      <c r="A231" s="60"/>
      <c r="B231" s="61"/>
    </row>
    <row r="232" ht="15.75" customHeight="1">
      <c r="A232" s="60"/>
      <c r="B232" s="61"/>
    </row>
    <row r="233" ht="15.75" customHeight="1">
      <c r="A233" s="60"/>
      <c r="B233" s="61"/>
    </row>
    <row r="234" ht="15.75" customHeight="1">
      <c r="A234" s="60"/>
      <c r="B234" s="61"/>
    </row>
    <row r="235" ht="15.75" customHeight="1">
      <c r="A235" s="60"/>
      <c r="B235" s="61"/>
    </row>
    <row r="236" ht="15.75" customHeight="1">
      <c r="A236" s="60"/>
      <c r="B236" s="61"/>
    </row>
    <row r="237" ht="15.75" customHeight="1">
      <c r="A237" s="60"/>
      <c r="B237" s="61"/>
    </row>
    <row r="238" ht="15.75" customHeight="1">
      <c r="A238" s="60"/>
      <c r="B238" s="61"/>
    </row>
    <row r="239" ht="15.75" customHeight="1">
      <c r="A239" s="60"/>
      <c r="B239" s="61"/>
    </row>
    <row r="240" ht="15.75" customHeight="1">
      <c r="A240" s="60"/>
      <c r="B240" s="61"/>
    </row>
    <row r="241" ht="15.75" customHeight="1">
      <c r="A241" s="60"/>
      <c r="B241" s="61"/>
    </row>
    <row r="242" ht="15.75" customHeight="1">
      <c r="A242" s="60"/>
      <c r="B242" s="61"/>
    </row>
    <row r="243" ht="15.75" customHeight="1">
      <c r="A243" s="60"/>
      <c r="B243" s="61"/>
    </row>
    <row r="244" ht="15.75" customHeight="1">
      <c r="A244" s="60"/>
      <c r="B244" s="61"/>
    </row>
    <row r="245" ht="15.75" customHeight="1">
      <c r="A245" s="60"/>
      <c r="B245" s="61"/>
    </row>
    <row r="246" ht="15.75" customHeight="1">
      <c r="A246" s="60"/>
      <c r="B246" s="61"/>
    </row>
    <row r="247" ht="15.75" customHeight="1">
      <c r="A247" s="60"/>
      <c r="B247" s="61"/>
    </row>
    <row r="248" ht="15.75" customHeight="1">
      <c r="A248" s="60"/>
      <c r="B248" s="61"/>
    </row>
    <row r="249" ht="15.75" customHeight="1">
      <c r="A249" s="60"/>
      <c r="B249" s="61"/>
    </row>
    <row r="250" ht="15.75" customHeight="1">
      <c r="A250" s="60"/>
      <c r="B250" s="61"/>
    </row>
    <row r="251" ht="15.75" customHeight="1">
      <c r="A251" s="60"/>
      <c r="B251" s="61"/>
    </row>
    <row r="252" ht="15.75" customHeight="1">
      <c r="A252" s="60"/>
      <c r="B252" s="61"/>
    </row>
    <row r="253" ht="15.75" customHeight="1">
      <c r="A253" s="60"/>
      <c r="B253" s="61"/>
    </row>
    <row r="254" ht="15.75" customHeight="1">
      <c r="A254" s="60"/>
      <c r="B254" s="61"/>
    </row>
    <row r="255" ht="15.75" customHeight="1">
      <c r="A255" s="60"/>
      <c r="B255" s="61"/>
    </row>
    <row r="256" ht="15.75" customHeight="1">
      <c r="A256" s="60"/>
      <c r="B256" s="61"/>
    </row>
    <row r="257" ht="15.75" customHeight="1">
      <c r="A257" s="60"/>
      <c r="B257" s="61"/>
    </row>
    <row r="258" ht="15.75" customHeight="1">
      <c r="A258" s="60"/>
      <c r="B258" s="61"/>
    </row>
    <row r="259" ht="15.75" customHeight="1">
      <c r="A259" s="60"/>
      <c r="B259" s="61"/>
    </row>
    <row r="260" ht="15.75" customHeight="1">
      <c r="A260" s="60"/>
      <c r="B260" s="61"/>
    </row>
    <row r="261" ht="15.75" customHeight="1">
      <c r="A261" s="60"/>
      <c r="B261" s="61"/>
    </row>
    <row r="262" ht="15.75" customHeight="1">
      <c r="A262" s="60"/>
      <c r="B262" s="61"/>
    </row>
    <row r="263" ht="15.75" customHeight="1">
      <c r="A263" s="60"/>
      <c r="B263" s="61"/>
    </row>
    <row r="264" ht="15.75" customHeight="1">
      <c r="A264" s="60"/>
      <c r="B264" s="61"/>
    </row>
    <row r="265" ht="15.75" customHeight="1">
      <c r="A265" s="60"/>
      <c r="B265" s="61"/>
    </row>
    <row r="266" ht="15.75" customHeight="1">
      <c r="A266" s="60"/>
      <c r="B266" s="61"/>
    </row>
    <row r="267" ht="15.75" customHeight="1">
      <c r="A267" s="60"/>
      <c r="B267" s="61"/>
    </row>
    <row r="268" ht="15.75" customHeight="1">
      <c r="A268" s="60"/>
      <c r="B268" s="61"/>
    </row>
    <row r="269" ht="15.75" customHeight="1">
      <c r="A269" s="60"/>
      <c r="B269" s="61"/>
    </row>
    <row r="270" ht="15.75" customHeight="1">
      <c r="A270" s="60"/>
      <c r="B270" s="61"/>
    </row>
    <row r="271" ht="15.75" customHeight="1">
      <c r="A271" s="60"/>
      <c r="B271" s="61"/>
    </row>
    <row r="272" ht="15.75" customHeight="1">
      <c r="A272" s="60"/>
      <c r="B272" s="61"/>
    </row>
    <row r="273" ht="15.75" customHeight="1">
      <c r="A273" s="60"/>
      <c r="B273" s="61"/>
    </row>
    <row r="274" ht="15.75" customHeight="1">
      <c r="A274" s="60"/>
      <c r="B274" s="61"/>
    </row>
    <row r="275" ht="15.75" customHeight="1">
      <c r="A275" s="60"/>
      <c r="B275" s="61"/>
    </row>
    <row r="276" ht="15.75" customHeight="1">
      <c r="A276" s="60"/>
      <c r="B276" s="61"/>
    </row>
    <row r="277" ht="15.75" customHeight="1">
      <c r="A277" s="60"/>
      <c r="B277" s="61"/>
    </row>
    <row r="278" ht="15.75" customHeight="1">
      <c r="A278" s="60"/>
      <c r="B278" s="61"/>
    </row>
    <row r="279" ht="15.75" customHeight="1">
      <c r="A279" s="60"/>
      <c r="B279" s="61"/>
    </row>
    <row r="280" ht="15.75" customHeight="1">
      <c r="A280" s="60"/>
      <c r="B280" s="61"/>
    </row>
    <row r="281" ht="15.75" customHeight="1">
      <c r="A281" s="60"/>
      <c r="B281" s="61"/>
    </row>
    <row r="282" ht="15.75" customHeight="1">
      <c r="A282" s="60"/>
      <c r="B282" s="61"/>
    </row>
    <row r="283" ht="15.75" customHeight="1">
      <c r="A283" s="60"/>
      <c r="B283" s="61"/>
    </row>
    <row r="284" ht="15.75" customHeight="1">
      <c r="A284" s="60"/>
      <c r="B284" s="61"/>
    </row>
    <row r="285" ht="15.75" customHeight="1">
      <c r="A285" s="60"/>
      <c r="B285" s="61"/>
    </row>
    <row r="286" ht="15.75" customHeight="1">
      <c r="A286" s="60"/>
      <c r="B286" s="61"/>
    </row>
    <row r="287" ht="15.75" customHeight="1">
      <c r="A287" s="60"/>
      <c r="B287" s="61"/>
    </row>
    <row r="288" ht="15.75" customHeight="1">
      <c r="A288" s="60"/>
      <c r="B288" s="61"/>
    </row>
    <row r="289" ht="15.75" customHeight="1">
      <c r="A289" s="60"/>
      <c r="B289" s="61"/>
    </row>
    <row r="290" ht="15.75" customHeight="1">
      <c r="A290" s="60"/>
      <c r="B290" s="61"/>
    </row>
    <row r="291" ht="15.75" customHeight="1">
      <c r="A291" s="60"/>
      <c r="B291" s="61"/>
    </row>
    <row r="292" ht="15.75" customHeight="1">
      <c r="A292" s="60"/>
      <c r="B292" s="61"/>
    </row>
    <row r="293" ht="15.75" customHeight="1">
      <c r="A293" s="60"/>
      <c r="B293" s="61"/>
    </row>
    <row r="294" ht="15.75" customHeight="1">
      <c r="A294" s="60"/>
      <c r="B294" s="61"/>
    </row>
    <row r="295" ht="15.75" customHeight="1">
      <c r="A295" s="60"/>
      <c r="B295" s="61"/>
    </row>
    <row r="296" ht="15.75" customHeight="1">
      <c r="A296" s="60"/>
      <c r="B296" s="61"/>
    </row>
    <row r="297" ht="15.75" customHeight="1">
      <c r="A297" s="60"/>
      <c r="B297" s="61"/>
    </row>
    <row r="298" ht="15.75" customHeight="1">
      <c r="A298" s="60"/>
      <c r="B298" s="61"/>
    </row>
    <row r="299" ht="15.75" customHeight="1">
      <c r="A299" s="60"/>
      <c r="B299" s="61"/>
    </row>
    <row r="300" ht="15.75" customHeight="1">
      <c r="A300" s="60"/>
      <c r="B300" s="61"/>
    </row>
    <row r="301" ht="15.75" customHeight="1">
      <c r="A301" s="60"/>
      <c r="B301" s="61"/>
    </row>
    <row r="302" ht="15.75" customHeight="1">
      <c r="A302" s="60"/>
      <c r="B302" s="61"/>
    </row>
    <row r="303" ht="15.75" customHeight="1">
      <c r="A303" s="60"/>
      <c r="B303" s="61"/>
    </row>
    <row r="304" ht="15.75" customHeight="1">
      <c r="A304" s="60"/>
      <c r="B304" s="61"/>
    </row>
    <row r="305" ht="15.75" customHeight="1">
      <c r="A305" s="60"/>
      <c r="B305" s="61"/>
    </row>
    <row r="306" ht="15.75" customHeight="1">
      <c r="A306" s="60"/>
      <c r="B306" s="61"/>
    </row>
    <row r="307" ht="15.75" customHeight="1">
      <c r="A307" s="60"/>
      <c r="B307" s="61"/>
    </row>
    <row r="308" ht="15.75" customHeight="1">
      <c r="A308" s="60"/>
      <c r="B308" s="61"/>
    </row>
    <row r="309" ht="15.75" customHeight="1">
      <c r="A309" s="60"/>
      <c r="B309" s="61"/>
    </row>
    <row r="310" ht="15.75" customHeight="1">
      <c r="A310" s="60"/>
      <c r="B310" s="61"/>
    </row>
    <row r="311" ht="15.75" customHeight="1">
      <c r="A311" s="60"/>
      <c r="B311" s="61"/>
    </row>
    <row r="312" ht="15.75" customHeight="1">
      <c r="A312" s="60"/>
      <c r="B312" s="61"/>
    </row>
    <row r="313" ht="15.75" customHeight="1">
      <c r="A313" s="60"/>
      <c r="B313" s="61"/>
    </row>
    <row r="314" ht="15.75" customHeight="1">
      <c r="A314" s="60"/>
      <c r="B314" s="61"/>
    </row>
    <row r="315" ht="15.75" customHeight="1">
      <c r="A315" s="60"/>
      <c r="B315" s="61"/>
    </row>
    <row r="316" ht="15.75" customHeight="1">
      <c r="A316" s="60"/>
      <c r="B316" s="61"/>
    </row>
    <row r="317" ht="15.75" customHeight="1">
      <c r="A317" s="60"/>
      <c r="B317" s="61"/>
    </row>
    <row r="318" ht="15.75" customHeight="1">
      <c r="A318" s="60"/>
      <c r="B318" s="61"/>
    </row>
    <row r="319" ht="15.75" customHeight="1">
      <c r="A319" s="60"/>
      <c r="B319" s="61"/>
    </row>
    <row r="320" ht="15.75" customHeight="1">
      <c r="A320" s="60"/>
      <c r="B320" s="61"/>
    </row>
    <row r="321" ht="15.75" customHeight="1">
      <c r="A321" s="60"/>
      <c r="B321" s="61"/>
    </row>
    <row r="322" ht="15.75" customHeight="1">
      <c r="A322" s="60"/>
      <c r="B322" s="61"/>
    </row>
    <row r="323" ht="15.75" customHeight="1">
      <c r="A323" s="60"/>
      <c r="B323" s="61"/>
    </row>
    <row r="324" ht="15.75" customHeight="1">
      <c r="A324" s="60"/>
      <c r="B324" s="61"/>
    </row>
    <row r="325" ht="15.75" customHeight="1">
      <c r="A325" s="60"/>
      <c r="B325" s="61"/>
    </row>
    <row r="326" ht="15.75" customHeight="1">
      <c r="A326" s="60"/>
      <c r="B326" s="61"/>
    </row>
    <row r="327" ht="15.75" customHeight="1">
      <c r="A327" s="60"/>
      <c r="B327" s="61"/>
    </row>
    <row r="328" ht="15.75" customHeight="1">
      <c r="A328" s="60"/>
      <c r="B328" s="61"/>
    </row>
    <row r="329" ht="15.75" customHeight="1">
      <c r="A329" s="60"/>
      <c r="B329" s="61"/>
    </row>
    <row r="330" ht="15.75" customHeight="1">
      <c r="A330" s="60"/>
      <c r="B330" s="61"/>
    </row>
    <row r="331" ht="15.75" customHeight="1">
      <c r="A331" s="60"/>
      <c r="B331" s="61"/>
    </row>
    <row r="332" ht="15.75" customHeight="1">
      <c r="A332" s="60"/>
      <c r="B332" s="61"/>
    </row>
    <row r="333" ht="15.75" customHeight="1">
      <c r="A333" s="60"/>
      <c r="B333" s="61"/>
    </row>
    <row r="334" ht="15.75" customHeight="1">
      <c r="A334" s="60"/>
      <c r="B334" s="61"/>
    </row>
    <row r="335" ht="15.75" customHeight="1">
      <c r="A335" s="60"/>
      <c r="B335" s="61"/>
    </row>
    <row r="336" ht="15.75" customHeight="1">
      <c r="A336" s="60"/>
      <c r="B336" s="61"/>
    </row>
    <row r="337" ht="15.75" customHeight="1">
      <c r="A337" s="60"/>
      <c r="B337" s="61"/>
    </row>
    <row r="338" ht="15.75" customHeight="1">
      <c r="A338" s="60"/>
      <c r="B338" s="61"/>
    </row>
    <row r="339" ht="15.75" customHeight="1">
      <c r="A339" s="60"/>
      <c r="B339" s="61"/>
    </row>
    <row r="340" ht="15.75" customHeight="1">
      <c r="A340" s="60"/>
      <c r="B340" s="61"/>
    </row>
    <row r="341" ht="15.75" customHeight="1">
      <c r="A341" s="60"/>
      <c r="B341" s="61"/>
    </row>
    <row r="342" ht="15.75" customHeight="1">
      <c r="A342" s="60"/>
      <c r="B342" s="61"/>
    </row>
    <row r="343" ht="15.75" customHeight="1">
      <c r="A343" s="60"/>
      <c r="B343" s="61"/>
    </row>
    <row r="344" ht="15.75" customHeight="1">
      <c r="A344" s="60"/>
      <c r="B344" s="61"/>
    </row>
    <row r="345" ht="15.75" customHeight="1">
      <c r="A345" s="60"/>
      <c r="B345" s="61"/>
    </row>
    <row r="346" ht="15.75" customHeight="1">
      <c r="A346" s="60"/>
      <c r="B346" s="61"/>
    </row>
    <row r="347" ht="15.75" customHeight="1">
      <c r="A347" s="60"/>
      <c r="B347" s="61"/>
    </row>
    <row r="348" ht="15.75" customHeight="1">
      <c r="A348" s="60"/>
      <c r="B348" s="61"/>
    </row>
    <row r="349" ht="15.75" customHeight="1">
      <c r="A349" s="60"/>
      <c r="B349" s="61"/>
    </row>
    <row r="350" ht="15.75" customHeight="1">
      <c r="A350" s="60"/>
      <c r="B350" s="61"/>
    </row>
    <row r="351" ht="15.75" customHeight="1">
      <c r="A351" s="60"/>
      <c r="B351" s="61"/>
    </row>
    <row r="352" ht="15.75" customHeight="1">
      <c r="A352" s="60"/>
      <c r="B352" s="61"/>
    </row>
    <row r="353" ht="15.75" customHeight="1">
      <c r="A353" s="60"/>
      <c r="B353" s="61"/>
    </row>
    <row r="354" ht="15.75" customHeight="1">
      <c r="A354" s="60"/>
      <c r="B354" s="61"/>
    </row>
    <row r="355" ht="15.75" customHeight="1">
      <c r="A355" s="60"/>
      <c r="B355" s="61"/>
    </row>
    <row r="356" ht="15.75" customHeight="1">
      <c r="A356" s="60"/>
      <c r="B356" s="61"/>
    </row>
    <row r="357" ht="15.75" customHeight="1">
      <c r="A357" s="60"/>
      <c r="B357" s="61"/>
    </row>
    <row r="358" ht="15.75" customHeight="1">
      <c r="A358" s="60"/>
      <c r="B358" s="61"/>
    </row>
    <row r="359" ht="15.75" customHeight="1">
      <c r="A359" s="60"/>
      <c r="B359" s="61"/>
    </row>
    <row r="360" ht="15.75" customHeight="1">
      <c r="A360" s="60"/>
      <c r="B360" s="61"/>
    </row>
    <row r="361" ht="15.75" customHeight="1">
      <c r="A361" s="60"/>
      <c r="B361" s="61"/>
    </row>
    <row r="362" ht="15.75" customHeight="1">
      <c r="A362" s="60"/>
      <c r="B362" s="61"/>
    </row>
    <row r="363" ht="15.75" customHeight="1">
      <c r="A363" s="60"/>
      <c r="B363" s="61"/>
    </row>
    <row r="364" ht="15.75" customHeight="1">
      <c r="A364" s="60"/>
      <c r="B364" s="61"/>
    </row>
    <row r="365" ht="15.75" customHeight="1">
      <c r="A365" s="60"/>
      <c r="B365" s="61"/>
    </row>
    <row r="366" ht="15.75" customHeight="1">
      <c r="A366" s="60"/>
      <c r="B366" s="61"/>
    </row>
    <row r="367" ht="15.75" customHeight="1">
      <c r="A367" s="60"/>
      <c r="B367" s="61"/>
    </row>
    <row r="368" ht="15.75" customHeight="1">
      <c r="A368" s="60"/>
      <c r="B368" s="61"/>
    </row>
    <row r="369" ht="15.75" customHeight="1">
      <c r="A369" s="60"/>
      <c r="B369" s="61"/>
    </row>
    <row r="370" ht="15.75" customHeight="1">
      <c r="A370" s="60"/>
      <c r="B370" s="61"/>
    </row>
    <row r="371" ht="15.75" customHeight="1">
      <c r="A371" s="60"/>
      <c r="B371" s="61"/>
    </row>
    <row r="372" ht="15.75" customHeight="1">
      <c r="A372" s="60"/>
      <c r="B372" s="61"/>
    </row>
    <row r="373" ht="15.75" customHeight="1">
      <c r="A373" s="60"/>
      <c r="B373" s="61"/>
    </row>
    <row r="374" ht="15.75" customHeight="1">
      <c r="A374" s="60"/>
      <c r="B374" s="61"/>
    </row>
    <row r="375" ht="15.75" customHeight="1">
      <c r="A375" s="60"/>
      <c r="B375" s="61"/>
    </row>
    <row r="376" ht="15.75" customHeight="1">
      <c r="A376" s="60"/>
      <c r="B376" s="61"/>
    </row>
    <row r="377" ht="15.75" customHeight="1">
      <c r="A377" s="60"/>
      <c r="B377" s="61"/>
    </row>
    <row r="378" ht="15.75" customHeight="1">
      <c r="A378" s="60"/>
      <c r="B378" s="61"/>
    </row>
    <row r="379" ht="15.75" customHeight="1">
      <c r="A379" s="60"/>
      <c r="B379" s="61"/>
    </row>
    <row r="380" ht="15.75" customHeight="1">
      <c r="A380" s="60"/>
      <c r="B380" s="61"/>
    </row>
    <row r="381" ht="15.75" customHeight="1">
      <c r="A381" s="60"/>
      <c r="B381" s="61"/>
    </row>
    <row r="382" ht="15.75" customHeight="1">
      <c r="A382" s="60"/>
      <c r="B382" s="61"/>
    </row>
    <row r="383" ht="15.75" customHeight="1">
      <c r="A383" s="60"/>
      <c r="B383" s="61"/>
    </row>
    <row r="384" ht="15.75" customHeight="1">
      <c r="A384" s="60"/>
      <c r="B384" s="61"/>
    </row>
    <row r="385" ht="15.75" customHeight="1">
      <c r="A385" s="60"/>
      <c r="B385" s="61"/>
    </row>
    <row r="386" ht="15.75" customHeight="1">
      <c r="A386" s="60"/>
      <c r="B386" s="61"/>
    </row>
    <row r="387" ht="15.75" customHeight="1">
      <c r="A387" s="60"/>
      <c r="B387" s="61"/>
    </row>
    <row r="388" ht="15.75" customHeight="1">
      <c r="A388" s="60"/>
      <c r="B388" s="61"/>
    </row>
    <row r="389" ht="15.75" customHeight="1">
      <c r="A389" s="60"/>
      <c r="B389" s="61"/>
    </row>
    <row r="390" ht="15.75" customHeight="1">
      <c r="A390" s="60"/>
      <c r="B390" s="61"/>
    </row>
    <row r="391" ht="15.75" customHeight="1">
      <c r="A391" s="60"/>
      <c r="B391" s="61"/>
    </row>
    <row r="392" ht="15.75" customHeight="1">
      <c r="A392" s="60"/>
      <c r="B392" s="61"/>
    </row>
    <row r="393" ht="15.75" customHeight="1">
      <c r="A393" s="60"/>
      <c r="B393" s="61"/>
    </row>
    <row r="394" ht="15.75" customHeight="1">
      <c r="A394" s="60"/>
      <c r="B394" s="61"/>
    </row>
    <row r="395" ht="15.75" customHeight="1">
      <c r="A395" s="60"/>
      <c r="B395" s="61"/>
    </row>
    <row r="396" ht="15.75" customHeight="1">
      <c r="A396" s="60"/>
      <c r="B396" s="61"/>
    </row>
    <row r="397" ht="15.75" customHeight="1">
      <c r="A397" s="60"/>
      <c r="B397" s="61"/>
    </row>
    <row r="398" ht="15.75" customHeight="1">
      <c r="A398" s="60"/>
      <c r="B398" s="61"/>
    </row>
    <row r="399" ht="15.75" customHeight="1">
      <c r="A399" s="60"/>
      <c r="B399" s="61"/>
    </row>
    <row r="400" ht="15.75" customHeight="1">
      <c r="A400" s="60"/>
      <c r="B400" s="61"/>
    </row>
    <row r="401" ht="15.75" customHeight="1">
      <c r="A401" s="60"/>
      <c r="B401" s="61"/>
    </row>
    <row r="402" ht="15.75" customHeight="1">
      <c r="A402" s="60"/>
      <c r="B402" s="61"/>
    </row>
    <row r="403" ht="15.75" customHeight="1">
      <c r="A403" s="60"/>
      <c r="B403" s="61"/>
    </row>
    <row r="404" ht="15.75" customHeight="1">
      <c r="A404" s="60"/>
      <c r="B404" s="61"/>
    </row>
    <row r="405" ht="15.75" customHeight="1">
      <c r="A405" s="60"/>
      <c r="B405" s="61"/>
    </row>
    <row r="406" ht="15.75" customHeight="1">
      <c r="A406" s="60"/>
      <c r="B406" s="61"/>
    </row>
    <row r="407" ht="15.75" customHeight="1">
      <c r="A407" s="60"/>
      <c r="B407" s="61"/>
    </row>
    <row r="408" ht="15.75" customHeight="1">
      <c r="A408" s="60"/>
      <c r="B408" s="61"/>
    </row>
    <row r="409" ht="15.75" customHeight="1">
      <c r="A409" s="60"/>
      <c r="B409" s="61"/>
    </row>
    <row r="410" ht="15.75" customHeight="1">
      <c r="A410" s="60"/>
      <c r="B410" s="61"/>
    </row>
    <row r="411" ht="15.75" customHeight="1">
      <c r="A411" s="60"/>
      <c r="B411" s="61"/>
    </row>
    <row r="412" ht="15.75" customHeight="1">
      <c r="A412" s="60"/>
      <c r="B412" s="61"/>
    </row>
    <row r="413" ht="15.75" customHeight="1">
      <c r="A413" s="60"/>
      <c r="B413" s="61"/>
    </row>
    <row r="414" ht="15.75" customHeight="1">
      <c r="A414" s="60"/>
      <c r="B414" s="61"/>
    </row>
    <row r="415" ht="15.75" customHeight="1">
      <c r="A415" s="60"/>
      <c r="B415" s="61"/>
    </row>
    <row r="416" ht="15.75" customHeight="1">
      <c r="A416" s="60"/>
      <c r="B416" s="61"/>
    </row>
    <row r="417" ht="15.75" customHeight="1">
      <c r="A417" s="60"/>
      <c r="B417" s="61"/>
    </row>
    <row r="418" ht="15.75" customHeight="1">
      <c r="A418" s="60"/>
      <c r="B418" s="61"/>
    </row>
    <row r="419" ht="15.75" customHeight="1">
      <c r="A419" s="60"/>
      <c r="B419" s="61"/>
    </row>
    <row r="420" ht="15.75" customHeight="1">
      <c r="A420" s="60"/>
      <c r="B420" s="61"/>
    </row>
    <row r="421" ht="15.75" customHeight="1">
      <c r="A421" s="60"/>
      <c r="B421" s="61"/>
    </row>
    <row r="422" ht="15.75" customHeight="1">
      <c r="A422" s="60"/>
      <c r="B422" s="61"/>
    </row>
    <row r="423" ht="15.75" customHeight="1">
      <c r="A423" s="60"/>
      <c r="B423" s="61"/>
    </row>
    <row r="424" ht="15.75" customHeight="1">
      <c r="A424" s="60"/>
      <c r="B424" s="61"/>
    </row>
    <row r="425" ht="15.75" customHeight="1">
      <c r="A425" s="60"/>
      <c r="B425" s="61"/>
    </row>
    <row r="426" ht="15.75" customHeight="1">
      <c r="A426" s="60"/>
      <c r="B426" s="61"/>
    </row>
    <row r="427" ht="15.75" customHeight="1">
      <c r="A427" s="60"/>
      <c r="B427" s="61"/>
    </row>
    <row r="428" ht="15.75" customHeight="1">
      <c r="A428" s="60"/>
      <c r="B428" s="61"/>
    </row>
    <row r="429" ht="15.75" customHeight="1">
      <c r="A429" s="60"/>
      <c r="B429" s="61"/>
    </row>
    <row r="430" ht="15.75" customHeight="1">
      <c r="A430" s="60"/>
      <c r="B430" s="61"/>
    </row>
    <row r="431" ht="15.75" customHeight="1">
      <c r="A431" s="60"/>
      <c r="B431" s="61"/>
    </row>
    <row r="432" ht="15.75" customHeight="1">
      <c r="A432" s="60"/>
      <c r="B432" s="61"/>
    </row>
    <row r="433" ht="15.75" customHeight="1">
      <c r="A433" s="60"/>
      <c r="B433" s="61"/>
    </row>
    <row r="434" ht="15.75" customHeight="1">
      <c r="A434" s="60"/>
      <c r="B434" s="61"/>
    </row>
    <row r="435" ht="15.75" customHeight="1">
      <c r="A435" s="60"/>
      <c r="B435" s="61"/>
    </row>
    <row r="436" ht="15.75" customHeight="1">
      <c r="A436" s="60"/>
      <c r="B436" s="61"/>
    </row>
    <row r="437" ht="15.75" customHeight="1">
      <c r="A437" s="60"/>
      <c r="B437" s="61"/>
    </row>
    <row r="438" ht="15.75" customHeight="1">
      <c r="A438" s="60"/>
      <c r="B438" s="61"/>
    </row>
    <row r="439" ht="15.75" customHeight="1">
      <c r="A439" s="60"/>
      <c r="B439" s="61"/>
    </row>
    <row r="440" ht="15.75" customHeight="1">
      <c r="A440" s="60"/>
      <c r="B440" s="61"/>
    </row>
    <row r="441" ht="15.75" customHeight="1">
      <c r="A441" s="60"/>
      <c r="B441" s="61"/>
    </row>
    <row r="442" ht="15.75" customHeight="1">
      <c r="A442" s="60"/>
      <c r="B442" s="61"/>
    </row>
    <row r="443" ht="15.75" customHeight="1">
      <c r="A443" s="60"/>
      <c r="B443" s="61"/>
    </row>
    <row r="444" ht="15.75" customHeight="1">
      <c r="A444" s="60"/>
      <c r="B444" s="61"/>
    </row>
    <row r="445" ht="15.75" customHeight="1">
      <c r="A445" s="60"/>
      <c r="B445" s="61"/>
    </row>
    <row r="446" ht="15.75" customHeight="1">
      <c r="A446" s="60"/>
      <c r="B446" s="61"/>
    </row>
    <row r="447" ht="15.75" customHeight="1">
      <c r="A447" s="60"/>
      <c r="B447" s="61"/>
    </row>
    <row r="448" ht="15.75" customHeight="1">
      <c r="A448" s="60"/>
      <c r="B448" s="61"/>
    </row>
    <row r="449" ht="15.75" customHeight="1">
      <c r="A449" s="60"/>
      <c r="B449" s="61"/>
    </row>
    <row r="450" ht="15.75" customHeight="1">
      <c r="A450" s="60"/>
      <c r="B450" s="61"/>
    </row>
    <row r="451" ht="15.75" customHeight="1">
      <c r="A451" s="60"/>
      <c r="B451" s="61"/>
    </row>
    <row r="452" ht="15.75" customHeight="1">
      <c r="A452" s="60"/>
      <c r="B452" s="61"/>
    </row>
    <row r="453" ht="15.75" customHeight="1">
      <c r="A453" s="60"/>
      <c r="B453" s="61"/>
    </row>
    <row r="454" ht="15.75" customHeight="1">
      <c r="A454" s="60"/>
      <c r="B454" s="61"/>
    </row>
    <row r="455" ht="15.75" customHeight="1">
      <c r="A455" s="60"/>
      <c r="B455" s="61"/>
    </row>
    <row r="456" ht="15.75" customHeight="1">
      <c r="A456" s="60"/>
      <c r="B456" s="61"/>
    </row>
    <row r="457" ht="15.75" customHeight="1">
      <c r="A457" s="60"/>
      <c r="B457" s="61"/>
    </row>
    <row r="458" ht="15.75" customHeight="1">
      <c r="A458" s="60"/>
      <c r="B458" s="61"/>
    </row>
    <row r="459" ht="15.75" customHeight="1">
      <c r="A459" s="60"/>
      <c r="B459" s="61"/>
    </row>
    <row r="460" ht="15.75" customHeight="1">
      <c r="A460" s="60"/>
      <c r="B460" s="61"/>
    </row>
    <row r="461" ht="15.75" customHeight="1">
      <c r="A461" s="60"/>
      <c r="B461" s="61"/>
    </row>
    <row r="462" ht="15.75" customHeight="1">
      <c r="A462" s="60"/>
      <c r="B462" s="61"/>
    </row>
    <row r="463" ht="15.75" customHeight="1">
      <c r="A463" s="60"/>
      <c r="B463" s="61"/>
    </row>
    <row r="464" ht="15.75" customHeight="1">
      <c r="A464" s="60"/>
      <c r="B464" s="61"/>
    </row>
    <row r="465" ht="15.75" customHeight="1">
      <c r="A465" s="60"/>
      <c r="B465" s="61"/>
    </row>
    <row r="466" ht="15.75" customHeight="1">
      <c r="A466" s="60"/>
      <c r="B466" s="61"/>
    </row>
    <row r="467" ht="15.75" customHeight="1">
      <c r="A467" s="60"/>
      <c r="B467" s="61"/>
    </row>
    <row r="468" ht="15.75" customHeight="1">
      <c r="A468" s="60"/>
      <c r="B468" s="61"/>
    </row>
    <row r="469" ht="15.75" customHeight="1">
      <c r="A469" s="60"/>
      <c r="B469" s="61"/>
    </row>
    <row r="470" ht="15.75" customHeight="1">
      <c r="A470" s="60"/>
      <c r="B470" s="61"/>
    </row>
    <row r="471" ht="15.75" customHeight="1">
      <c r="A471" s="60"/>
      <c r="B471" s="61"/>
    </row>
    <row r="472" ht="15.75" customHeight="1">
      <c r="A472" s="60"/>
      <c r="B472" s="61"/>
    </row>
    <row r="473" ht="15.75" customHeight="1">
      <c r="A473" s="60"/>
      <c r="B473" s="61"/>
    </row>
    <row r="474" ht="15.75" customHeight="1">
      <c r="A474" s="60"/>
      <c r="B474" s="61"/>
    </row>
    <row r="475" ht="15.75" customHeight="1">
      <c r="A475" s="60"/>
      <c r="B475" s="61"/>
    </row>
    <row r="476" ht="15.75" customHeight="1">
      <c r="A476" s="60"/>
      <c r="B476" s="61"/>
    </row>
    <row r="477" ht="15.75" customHeight="1">
      <c r="A477" s="60"/>
      <c r="B477" s="61"/>
    </row>
    <row r="478" ht="15.75" customHeight="1">
      <c r="A478" s="60"/>
      <c r="B478" s="61"/>
    </row>
    <row r="479" ht="15.75" customHeight="1">
      <c r="A479" s="60"/>
      <c r="B479" s="61"/>
    </row>
    <row r="480" ht="15.75" customHeight="1">
      <c r="A480" s="60"/>
      <c r="B480" s="61"/>
    </row>
    <row r="481" ht="15.75" customHeight="1">
      <c r="A481" s="60"/>
      <c r="B481" s="61"/>
    </row>
    <row r="482" ht="15.75" customHeight="1">
      <c r="A482" s="60"/>
      <c r="B482" s="61"/>
    </row>
    <row r="483" ht="15.75" customHeight="1">
      <c r="A483" s="60"/>
      <c r="B483" s="61"/>
    </row>
    <row r="484" ht="15.75" customHeight="1">
      <c r="A484" s="60"/>
      <c r="B484" s="61"/>
    </row>
    <row r="485" ht="15.75" customHeight="1">
      <c r="A485" s="60"/>
      <c r="B485" s="61"/>
    </row>
    <row r="486" ht="15.75" customHeight="1">
      <c r="A486" s="60"/>
      <c r="B486" s="61"/>
    </row>
    <row r="487" ht="15.75" customHeight="1">
      <c r="A487" s="60"/>
      <c r="B487" s="61"/>
    </row>
    <row r="488" ht="15.75" customHeight="1">
      <c r="A488" s="60"/>
      <c r="B488" s="61"/>
    </row>
    <row r="489" ht="15.75" customHeight="1">
      <c r="A489" s="60"/>
      <c r="B489" s="61"/>
    </row>
    <row r="490" ht="15.75" customHeight="1">
      <c r="A490" s="60"/>
      <c r="B490" s="61"/>
    </row>
    <row r="491" ht="15.75" customHeight="1">
      <c r="A491" s="60"/>
      <c r="B491" s="61"/>
    </row>
    <row r="492" ht="15.75" customHeight="1">
      <c r="A492" s="60"/>
      <c r="B492" s="61"/>
    </row>
    <row r="493" ht="15.75" customHeight="1">
      <c r="A493" s="60"/>
      <c r="B493" s="61"/>
    </row>
    <row r="494" ht="15.75" customHeight="1">
      <c r="A494" s="60"/>
      <c r="B494" s="61"/>
    </row>
    <row r="495" ht="15.75" customHeight="1">
      <c r="A495" s="60"/>
      <c r="B495" s="61"/>
    </row>
    <row r="496" ht="15.75" customHeight="1">
      <c r="A496" s="60"/>
      <c r="B496" s="61"/>
    </row>
    <row r="497" ht="15.75" customHeight="1">
      <c r="A497" s="60"/>
      <c r="B497" s="61"/>
    </row>
    <row r="498" ht="15.75" customHeight="1">
      <c r="A498" s="60"/>
      <c r="B498" s="61"/>
    </row>
    <row r="499" ht="15.75" customHeight="1">
      <c r="A499" s="60"/>
      <c r="B499" s="61"/>
    </row>
    <row r="500" ht="15.75" customHeight="1">
      <c r="A500" s="60"/>
      <c r="B500" s="61"/>
    </row>
    <row r="501" ht="15.75" customHeight="1">
      <c r="A501" s="60"/>
      <c r="B501" s="61"/>
    </row>
    <row r="502" ht="15.75" customHeight="1">
      <c r="A502" s="60"/>
      <c r="B502" s="61"/>
    </row>
    <row r="503" ht="15.75" customHeight="1">
      <c r="A503" s="60"/>
      <c r="B503" s="61"/>
    </row>
    <row r="504" ht="15.75" customHeight="1">
      <c r="A504" s="60"/>
      <c r="B504" s="61"/>
    </row>
    <row r="505" ht="15.75" customHeight="1">
      <c r="A505" s="60"/>
      <c r="B505" s="61"/>
    </row>
    <row r="506" ht="15.75" customHeight="1">
      <c r="A506" s="60"/>
      <c r="B506" s="61"/>
    </row>
    <row r="507" ht="15.75" customHeight="1">
      <c r="A507" s="60"/>
      <c r="B507" s="61"/>
    </row>
    <row r="508" ht="15.75" customHeight="1">
      <c r="A508" s="60"/>
      <c r="B508" s="61"/>
    </row>
    <row r="509" ht="15.75" customHeight="1">
      <c r="A509" s="60"/>
      <c r="B509" s="61"/>
    </row>
    <row r="510" ht="15.75" customHeight="1">
      <c r="A510" s="60"/>
      <c r="B510" s="61"/>
    </row>
    <row r="511" ht="15.75" customHeight="1">
      <c r="A511" s="60"/>
      <c r="B511" s="61"/>
    </row>
    <row r="512" ht="15.75" customHeight="1">
      <c r="A512" s="60"/>
      <c r="B512" s="61"/>
    </row>
    <row r="513" ht="15.75" customHeight="1">
      <c r="A513" s="60"/>
      <c r="B513" s="61"/>
    </row>
    <row r="514" ht="15.75" customHeight="1">
      <c r="A514" s="60"/>
      <c r="B514" s="61"/>
    </row>
    <row r="515" ht="15.75" customHeight="1">
      <c r="A515" s="60"/>
      <c r="B515" s="61"/>
    </row>
    <row r="516" ht="15.75" customHeight="1">
      <c r="A516" s="60"/>
      <c r="B516" s="61"/>
    </row>
    <row r="517" ht="15.75" customHeight="1">
      <c r="A517" s="60"/>
      <c r="B517" s="61"/>
    </row>
    <row r="518" ht="15.75" customHeight="1">
      <c r="A518" s="60"/>
      <c r="B518" s="61"/>
    </row>
    <row r="519" ht="15.75" customHeight="1">
      <c r="A519" s="60"/>
      <c r="B519" s="61"/>
    </row>
    <row r="520" ht="15.75" customHeight="1">
      <c r="A520" s="60"/>
      <c r="B520" s="61"/>
    </row>
    <row r="521" ht="15.75" customHeight="1">
      <c r="A521" s="60"/>
      <c r="B521" s="61"/>
    </row>
    <row r="522" ht="15.75" customHeight="1">
      <c r="A522" s="60"/>
      <c r="B522" s="61"/>
    </row>
    <row r="523" ht="15.75" customHeight="1">
      <c r="A523" s="60"/>
      <c r="B523" s="61"/>
    </row>
    <row r="524" ht="15.75" customHeight="1">
      <c r="A524" s="60"/>
      <c r="B524" s="61"/>
    </row>
    <row r="525" ht="15.75" customHeight="1">
      <c r="A525" s="60"/>
      <c r="B525" s="61"/>
    </row>
    <row r="526" ht="15.75" customHeight="1">
      <c r="A526" s="60"/>
      <c r="B526" s="61"/>
    </row>
    <row r="527" ht="15.75" customHeight="1">
      <c r="A527" s="60"/>
      <c r="B527" s="61"/>
    </row>
    <row r="528" ht="15.75" customHeight="1">
      <c r="A528" s="60"/>
      <c r="B528" s="61"/>
    </row>
    <row r="529" ht="15.75" customHeight="1">
      <c r="A529" s="60"/>
      <c r="B529" s="61"/>
    </row>
    <row r="530" ht="15.75" customHeight="1">
      <c r="A530" s="60"/>
      <c r="B530" s="61"/>
    </row>
    <row r="531" ht="15.75" customHeight="1">
      <c r="A531" s="60"/>
      <c r="B531" s="61"/>
    </row>
    <row r="532" ht="15.75" customHeight="1">
      <c r="A532" s="60"/>
      <c r="B532" s="61"/>
    </row>
    <row r="533" ht="15.75" customHeight="1">
      <c r="A533" s="60"/>
      <c r="B533" s="61"/>
    </row>
    <row r="534" ht="15.75" customHeight="1">
      <c r="A534" s="60"/>
      <c r="B534" s="61"/>
    </row>
    <row r="535" ht="15.75" customHeight="1">
      <c r="A535" s="60"/>
      <c r="B535" s="61"/>
    </row>
    <row r="536" ht="15.75" customHeight="1">
      <c r="A536" s="60"/>
      <c r="B536" s="61"/>
    </row>
    <row r="537" ht="15.75" customHeight="1">
      <c r="A537" s="60"/>
      <c r="B537" s="61"/>
    </row>
    <row r="538" ht="15.75" customHeight="1">
      <c r="A538" s="60"/>
      <c r="B538" s="61"/>
    </row>
    <row r="539" ht="15.75" customHeight="1">
      <c r="A539" s="60"/>
      <c r="B539" s="61"/>
    </row>
    <row r="540" ht="15.75" customHeight="1">
      <c r="A540" s="60"/>
      <c r="B540" s="61"/>
    </row>
    <row r="541" ht="15.75" customHeight="1">
      <c r="A541" s="60"/>
      <c r="B541" s="61"/>
    </row>
    <row r="542" ht="15.75" customHeight="1">
      <c r="A542" s="60"/>
      <c r="B542" s="61"/>
    </row>
    <row r="543" ht="15.75" customHeight="1">
      <c r="A543" s="60"/>
      <c r="B543" s="61"/>
    </row>
    <row r="544" ht="15.75" customHeight="1">
      <c r="A544" s="60"/>
      <c r="B544" s="61"/>
    </row>
    <row r="545" ht="15.75" customHeight="1">
      <c r="A545" s="60"/>
      <c r="B545" s="61"/>
    </row>
    <row r="546" ht="15.75" customHeight="1">
      <c r="A546" s="60"/>
      <c r="B546" s="61"/>
    </row>
    <row r="547" ht="15.75" customHeight="1">
      <c r="A547" s="60"/>
      <c r="B547" s="61"/>
    </row>
    <row r="548" ht="15.75" customHeight="1">
      <c r="A548" s="60"/>
      <c r="B548" s="61"/>
    </row>
    <row r="549" ht="15.75" customHeight="1">
      <c r="A549" s="60"/>
      <c r="B549" s="61"/>
    </row>
    <row r="550" ht="15.75" customHeight="1">
      <c r="A550" s="60"/>
      <c r="B550" s="61"/>
    </row>
    <row r="551" ht="15.75" customHeight="1">
      <c r="A551" s="60"/>
      <c r="B551" s="61"/>
    </row>
    <row r="552" ht="15.75" customHeight="1">
      <c r="A552" s="60"/>
      <c r="B552" s="61"/>
    </row>
    <row r="553" ht="15.75" customHeight="1">
      <c r="A553" s="60"/>
      <c r="B553" s="61"/>
    </row>
    <row r="554" ht="15.75" customHeight="1">
      <c r="A554" s="60"/>
      <c r="B554" s="61"/>
    </row>
    <row r="555" ht="15.75" customHeight="1">
      <c r="A555" s="60"/>
      <c r="B555" s="61"/>
    </row>
    <row r="556" ht="15.75" customHeight="1">
      <c r="A556" s="60"/>
      <c r="B556" s="61"/>
    </row>
    <row r="557" ht="15.75" customHeight="1">
      <c r="A557" s="60"/>
      <c r="B557" s="61"/>
    </row>
    <row r="558" ht="15.75" customHeight="1">
      <c r="A558" s="60"/>
      <c r="B558" s="61"/>
    </row>
    <row r="559" ht="15.75" customHeight="1">
      <c r="A559" s="60"/>
      <c r="B559" s="61"/>
    </row>
    <row r="560" ht="15.75" customHeight="1">
      <c r="A560" s="60"/>
      <c r="B560" s="61"/>
    </row>
    <row r="561" ht="15.75" customHeight="1">
      <c r="A561" s="60"/>
      <c r="B561" s="61"/>
    </row>
    <row r="562" ht="15.75" customHeight="1">
      <c r="A562" s="60"/>
      <c r="B562" s="61"/>
    </row>
    <row r="563" ht="15.75" customHeight="1">
      <c r="A563" s="60"/>
      <c r="B563" s="61"/>
    </row>
    <row r="564" ht="15.75" customHeight="1">
      <c r="A564" s="60"/>
      <c r="B564" s="61"/>
    </row>
    <row r="565" ht="15.75" customHeight="1">
      <c r="A565" s="60"/>
      <c r="B565" s="61"/>
    </row>
    <row r="566" ht="15.75" customHeight="1">
      <c r="A566" s="60"/>
      <c r="B566" s="61"/>
    </row>
    <row r="567" ht="15.75" customHeight="1">
      <c r="A567" s="60"/>
      <c r="B567" s="61"/>
    </row>
    <row r="568" ht="15.75" customHeight="1">
      <c r="A568" s="60"/>
      <c r="B568" s="61"/>
    </row>
    <row r="569" ht="15.75" customHeight="1">
      <c r="A569" s="60"/>
      <c r="B569" s="61"/>
    </row>
    <row r="570" ht="15.75" customHeight="1">
      <c r="A570" s="60"/>
      <c r="B570" s="61"/>
    </row>
    <row r="571" ht="15.75" customHeight="1">
      <c r="A571" s="60"/>
      <c r="B571" s="61"/>
    </row>
    <row r="572" ht="15.75" customHeight="1">
      <c r="A572" s="60"/>
      <c r="B572" s="61"/>
    </row>
    <row r="573" ht="15.75" customHeight="1">
      <c r="A573" s="60"/>
      <c r="B573" s="61"/>
    </row>
    <row r="574" ht="15.75" customHeight="1">
      <c r="A574" s="60"/>
      <c r="B574" s="61"/>
    </row>
    <row r="575" ht="15.75" customHeight="1">
      <c r="A575" s="60"/>
      <c r="B575" s="61"/>
    </row>
    <row r="576" ht="15.75" customHeight="1">
      <c r="A576" s="60"/>
      <c r="B576" s="61"/>
    </row>
    <row r="577" ht="15.75" customHeight="1">
      <c r="A577" s="60"/>
      <c r="B577" s="61"/>
    </row>
    <row r="578" ht="15.75" customHeight="1">
      <c r="A578" s="60"/>
      <c r="B578" s="61"/>
    </row>
    <row r="579" ht="15.75" customHeight="1">
      <c r="A579" s="60"/>
      <c r="B579" s="61"/>
    </row>
    <row r="580" ht="15.75" customHeight="1">
      <c r="A580" s="60"/>
      <c r="B580" s="61"/>
    </row>
    <row r="581" ht="15.75" customHeight="1">
      <c r="A581" s="60"/>
      <c r="B581" s="61"/>
    </row>
    <row r="582" ht="15.75" customHeight="1">
      <c r="A582" s="60"/>
      <c r="B582" s="61"/>
    </row>
    <row r="583" ht="15.75" customHeight="1">
      <c r="A583" s="60"/>
      <c r="B583" s="61"/>
    </row>
    <row r="584" ht="15.75" customHeight="1">
      <c r="A584" s="60"/>
      <c r="B584" s="61"/>
    </row>
    <row r="585" ht="15.75" customHeight="1">
      <c r="A585" s="60"/>
      <c r="B585" s="61"/>
    </row>
    <row r="586" ht="15.75" customHeight="1">
      <c r="A586" s="60"/>
      <c r="B586" s="61"/>
    </row>
    <row r="587" ht="15.75" customHeight="1">
      <c r="A587" s="60"/>
      <c r="B587" s="61"/>
    </row>
    <row r="588" ht="15.75" customHeight="1">
      <c r="A588" s="60"/>
      <c r="B588" s="61"/>
    </row>
    <row r="589" ht="15.75" customHeight="1">
      <c r="A589" s="60"/>
      <c r="B589" s="61"/>
    </row>
    <row r="590" ht="15.75" customHeight="1">
      <c r="A590" s="60"/>
      <c r="B590" s="61"/>
    </row>
    <row r="591" ht="15.75" customHeight="1">
      <c r="A591" s="60"/>
      <c r="B591" s="61"/>
    </row>
    <row r="592" ht="15.75" customHeight="1">
      <c r="A592" s="60"/>
      <c r="B592" s="61"/>
    </row>
    <row r="593" ht="15.75" customHeight="1">
      <c r="A593" s="60"/>
      <c r="B593" s="61"/>
    </row>
    <row r="594" ht="15.75" customHeight="1">
      <c r="A594" s="60"/>
      <c r="B594" s="61"/>
    </row>
    <row r="595" ht="15.75" customHeight="1">
      <c r="A595" s="60"/>
      <c r="B595" s="61"/>
    </row>
    <row r="596" ht="15.75" customHeight="1">
      <c r="A596" s="60"/>
      <c r="B596" s="61"/>
    </row>
    <row r="597" ht="15.75" customHeight="1">
      <c r="A597" s="60"/>
      <c r="B597" s="61"/>
    </row>
    <row r="598" ht="15.75" customHeight="1">
      <c r="A598" s="60"/>
      <c r="B598" s="61"/>
    </row>
    <row r="599" ht="15.75" customHeight="1">
      <c r="A599" s="60"/>
      <c r="B599" s="61"/>
    </row>
    <row r="600" ht="15.75" customHeight="1">
      <c r="A600" s="60"/>
      <c r="B600" s="61"/>
    </row>
    <row r="601" ht="15.75" customHeight="1">
      <c r="A601" s="60"/>
      <c r="B601" s="61"/>
    </row>
    <row r="602" ht="15.75" customHeight="1">
      <c r="A602" s="60"/>
      <c r="B602" s="61"/>
    </row>
    <row r="603" ht="15.75" customHeight="1">
      <c r="A603" s="60"/>
      <c r="B603" s="61"/>
    </row>
    <row r="604" ht="15.75" customHeight="1">
      <c r="A604" s="60"/>
      <c r="B604" s="61"/>
    </row>
    <row r="605" ht="15.75" customHeight="1">
      <c r="A605" s="60"/>
      <c r="B605" s="61"/>
    </row>
    <row r="606" ht="15.75" customHeight="1">
      <c r="A606" s="60"/>
      <c r="B606" s="61"/>
    </row>
    <row r="607" ht="15.75" customHeight="1">
      <c r="A607" s="60"/>
      <c r="B607" s="61"/>
    </row>
    <row r="608" ht="15.75" customHeight="1">
      <c r="A608" s="60"/>
      <c r="B608" s="61"/>
    </row>
    <row r="609" ht="15.75" customHeight="1">
      <c r="A609" s="60"/>
      <c r="B609" s="61"/>
    </row>
    <row r="610" ht="15.75" customHeight="1">
      <c r="A610" s="60"/>
      <c r="B610" s="61"/>
    </row>
    <row r="611" ht="15.75" customHeight="1">
      <c r="A611" s="60"/>
      <c r="B611" s="61"/>
    </row>
    <row r="612" ht="15.75" customHeight="1">
      <c r="A612" s="60"/>
      <c r="B612" s="61"/>
    </row>
    <row r="613" ht="15.75" customHeight="1">
      <c r="A613" s="60"/>
      <c r="B613" s="61"/>
    </row>
    <row r="614" ht="15.75" customHeight="1">
      <c r="A614" s="60"/>
      <c r="B614" s="61"/>
    </row>
    <row r="615" ht="15.75" customHeight="1">
      <c r="A615" s="60"/>
      <c r="B615" s="61"/>
    </row>
    <row r="616" ht="15.75" customHeight="1">
      <c r="A616" s="60"/>
      <c r="B616" s="61"/>
    </row>
    <row r="617" ht="15.75" customHeight="1">
      <c r="A617" s="60"/>
      <c r="B617" s="61"/>
    </row>
    <row r="618" ht="15.75" customHeight="1">
      <c r="A618" s="60"/>
      <c r="B618" s="61"/>
    </row>
    <row r="619" ht="15.75" customHeight="1">
      <c r="A619" s="60"/>
      <c r="B619" s="61"/>
    </row>
    <row r="620" ht="15.75" customHeight="1">
      <c r="A620" s="60"/>
      <c r="B620" s="61"/>
    </row>
    <row r="621" ht="15.75" customHeight="1">
      <c r="A621" s="60"/>
      <c r="B621" s="61"/>
    </row>
    <row r="622" ht="15.75" customHeight="1">
      <c r="A622" s="60"/>
      <c r="B622" s="61"/>
    </row>
    <row r="623" ht="15.75" customHeight="1">
      <c r="A623" s="60"/>
      <c r="B623" s="61"/>
    </row>
    <row r="624" ht="15.75" customHeight="1">
      <c r="A624" s="60"/>
      <c r="B624" s="61"/>
    </row>
    <row r="625" ht="15.75" customHeight="1">
      <c r="A625" s="60"/>
      <c r="B625" s="61"/>
    </row>
    <row r="626" ht="15.75" customHeight="1">
      <c r="A626" s="60"/>
      <c r="B626" s="61"/>
    </row>
    <row r="627" ht="15.75" customHeight="1">
      <c r="A627" s="60"/>
      <c r="B627" s="61"/>
    </row>
    <row r="628" ht="15.75" customHeight="1">
      <c r="A628" s="60"/>
      <c r="B628" s="61"/>
    </row>
    <row r="629" ht="15.75" customHeight="1">
      <c r="A629" s="60"/>
      <c r="B629" s="61"/>
    </row>
    <row r="630" ht="15.75" customHeight="1">
      <c r="A630" s="60"/>
      <c r="B630" s="61"/>
    </row>
    <row r="631" ht="15.75" customHeight="1">
      <c r="A631" s="60"/>
      <c r="B631" s="61"/>
    </row>
    <row r="632" ht="15.75" customHeight="1">
      <c r="A632" s="60"/>
      <c r="B632" s="61"/>
    </row>
    <row r="633" ht="15.75" customHeight="1">
      <c r="A633" s="60"/>
      <c r="B633" s="61"/>
    </row>
    <row r="634" ht="15.75" customHeight="1">
      <c r="A634" s="60"/>
      <c r="B634" s="61"/>
    </row>
    <row r="635" ht="15.75" customHeight="1">
      <c r="A635" s="60"/>
      <c r="B635" s="61"/>
    </row>
    <row r="636" ht="15.75" customHeight="1">
      <c r="A636" s="60"/>
      <c r="B636" s="61"/>
    </row>
    <row r="637" ht="15.75" customHeight="1">
      <c r="A637" s="60"/>
      <c r="B637" s="61"/>
    </row>
    <row r="638" ht="15.75" customHeight="1">
      <c r="A638" s="60"/>
      <c r="B638" s="61"/>
    </row>
    <row r="639" ht="15.75" customHeight="1">
      <c r="A639" s="60"/>
      <c r="B639" s="61"/>
    </row>
    <row r="640" ht="15.75" customHeight="1">
      <c r="A640" s="60"/>
      <c r="B640" s="61"/>
    </row>
    <row r="641" ht="15.75" customHeight="1">
      <c r="A641" s="60"/>
      <c r="B641" s="61"/>
    </row>
    <row r="642" ht="15.75" customHeight="1">
      <c r="A642" s="60"/>
      <c r="B642" s="61"/>
    </row>
    <row r="643" ht="15.75" customHeight="1">
      <c r="A643" s="60"/>
      <c r="B643" s="61"/>
    </row>
    <row r="644" ht="15.75" customHeight="1">
      <c r="A644" s="60"/>
      <c r="B644" s="61"/>
    </row>
    <row r="645" ht="15.75" customHeight="1">
      <c r="A645" s="60"/>
      <c r="B645" s="61"/>
    </row>
    <row r="646" ht="15.75" customHeight="1">
      <c r="A646" s="60"/>
      <c r="B646" s="61"/>
    </row>
    <row r="647" ht="15.75" customHeight="1">
      <c r="A647" s="60"/>
      <c r="B647" s="61"/>
    </row>
    <row r="648" ht="15.75" customHeight="1">
      <c r="A648" s="60"/>
      <c r="B648" s="61"/>
    </row>
    <row r="649" ht="15.75" customHeight="1">
      <c r="A649" s="60"/>
      <c r="B649" s="61"/>
    </row>
    <row r="650" ht="15.75" customHeight="1">
      <c r="A650" s="60"/>
      <c r="B650" s="61"/>
    </row>
    <row r="651" ht="15.75" customHeight="1">
      <c r="A651" s="60"/>
      <c r="B651" s="61"/>
    </row>
    <row r="652" ht="15.75" customHeight="1">
      <c r="A652" s="60"/>
      <c r="B652" s="61"/>
    </row>
    <row r="653" ht="15.75" customHeight="1">
      <c r="A653" s="60"/>
      <c r="B653" s="61"/>
    </row>
    <row r="654" ht="15.75" customHeight="1">
      <c r="A654" s="60"/>
      <c r="B654" s="61"/>
    </row>
    <row r="655" ht="15.75" customHeight="1">
      <c r="A655" s="60"/>
      <c r="B655" s="61"/>
    </row>
    <row r="656" ht="15.75" customHeight="1">
      <c r="A656" s="60"/>
      <c r="B656" s="61"/>
    </row>
    <row r="657" ht="15.75" customHeight="1">
      <c r="A657" s="60"/>
      <c r="B657" s="61"/>
    </row>
    <row r="658" ht="15.75" customHeight="1">
      <c r="A658" s="60"/>
      <c r="B658" s="61"/>
    </row>
    <row r="659" ht="15.75" customHeight="1">
      <c r="A659" s="60"/>
      <c r="B659" s="61"/>
    </row>
    <row r="660" ht="15.75" customHeight="1">
      <c r="A660" s="60"/>
      <c r="B660" s="61"/>
    </row>
    <row r="661" ht="15.75" customHeight="1">
      <c r="A661" s="60"/>
      <c r="B661" s="61"/>
    </row>
    <row r="662" ht="15.75" customHeight="1">
      <c r="A662" s="60"/>
      <c r="B662" s="61"/>
    </row>
    <row r="663" ht="15.75" customHeight="1">
      <c r="A663" s="60"/>
      <c r="B663" s="61"/>
    </row>
    <row r="664" ht="15.75" customHeight="1">
      <c r="A664" s="60"/>
      <c r="B664" s="61"/>
    </row>
    <row r="665" ht="15.75" customHeight="1">
      <c r="A665" s="60"/>
      <c r="B665" s="61"/>
    </row>
    <row r="666" ht="15.75" customHeight="1">
      <c r="A666" s="60"/>
      <c r="B666" s="61"/>
    </row>
    <row r="667" ht="15.75" customHeight="1">
      <c r="A667" s="60"/>
      <c r="B667" s="61"/>
    </row>
    <row r="668" ht="15.75" customHeight="1">
      <c r="A668" s="60"/>
      <c r="B668" s="61"/>
    </row>
    <row r="669" ht="15.75" customHeight="1">
      <c r="A669" s="60"/>
      <c r="B669" s="61"/>
    </row>
    <row r="670" ht="15.75" customHeight="1">
      <c r="A670" s="60"/>
      <c r="B670" s="61"/>
    </row>
    <row r="671" ht="15.75" customHeight="1">
      <c r="A671" s="60"/>
      <c r="B671" s="61"/>
    </row>
    <row r="672" ht="15.75" customHeight="1">
      <c r="A672" s="60"/>
      <c r="B672" s="61"/>
    </row>
    <row r="673" ht="15.75" customHeight="1">
      <c r="A673" s="60"/>
      <c r="B673" s="61"/>
    </row>
    <row r="674" ht="15.75" customHeight="1">
      <c r="A674" s="60"/>
      <c r="B674" s="61"/>
    </row>
    <row r="675" ht="15.75" customHeight="1">
      <c r="A675" s="60"/>
      <c r="B675" s="61"/>
    </row>
    <row r="676" ht="15.75" customHeight="1">
      <c r="A676" s="60"/>
      <c r="B676" s="61"/>
    </row>
    <row r="677" ht="15.75" customHeight="1">
      <c r="A677" s="60"/>
      <c r="B677" s="61"/>
    </row>
    <row r="678" ht="15.75" customHeight="1">
      <c r="A678" s="60"/>
      <c r="B678" s="61"/>
    </row>
    <row r="679" ht="15.75" customHeight="1">
      <c r="A679" s="60"/>
      <c r="B679" s="61"/>
    </row>
    <row r="680" ht="15.75" customHeight="1">
      <c r="A680" s="60"/>
      <c r="B680" s="61"/>
    </row>
    <row r="681" ht="15.75" customHeight="1">
      <c r="A681" s="60"/>
      <c r="B681" s="61"/>
    </row>
    <row r="682" ht="15.75" customHeight="1">
      <c r="A682" s="60"/>
      <c r="B682" s="61"/>
    </row>
    <row r="683" ht="15.75" customHeight="1">
      <c r="A683" s="60"/>
      <c r="B683" s="61"/>
    </row>
    <row r="684" ht="15.75" customHeight="1">
      <c r="A684" s="60"/>
      <c r="B684" s="61"/>
    </row>
    <row r="685" ht="15.75" customHeight="1">
      <c r="A685" s="60"/>
      <c r="B685" s="61"/>
    </row>
    <row r="686" ht="15.75" customHeight="1">
      <c r="A686" s="60"/>
      <c r="B686" s="61"/>
    </row>
    <row r="687" ht="15.75" customHeight="1">
      <c r="A687" s="60"/>
      <c r="B687" s="61"/>
    </row>
    <row r="688" ht="15.75" customHeight="1">
      <c r="A688" s="60"/>
      <c r="B688" s="61"/>
    </row>
    <row r="689" ht="15.75" customHeight="1">
      <c r="A689" s="60"/>
      <c r="B689" s="61"/>
    </row>
    <row r="690" ht="15.75" customHeight="1">
      <c r="A690" s="60"/>
      <c r="B690" s="61"/>
    </row>
    <row r="691" ht="15.75" customHeight="1">
      <c r="A691" s="60"/>
      <c r="B691" s="61"/>
    </row>
    <row r="692" ht="15.75" customHeight="1">
      <c r="A692" s="60"/>
      <c r="B692" s="61"/>
    </row>
    <row r="693" ht="15.75" customHeight="1">
      <c r="A693" s="60"/>
      <c r="B693" s="61"/>
    </row>
    <row r="694" ht="15.75" customHeight="1">
      <c r="A694" s="60"/>
      <c r="B694" s="61"/>
    </row>
    <row r="695" ht="15.75" customHeight="1">
      <c r="A695" s="60"/>
      <c r="B695" s="61"/>
    </row>
    <row r="696" ht="15.75" customHeight="1">
      <c r="A696" s="60"/>
      <c r="B696" s="61"/>
    </row>
    <row r="697" ht="15.75" customHeight="1">
      <c r="A697" s="60"/>
      <c r="B697" s="61"/>
    </row>
    <row r="698" ht="15.75" customHeight="1">
      <c r="A698" s="60"/>
      <c r="B698" s="61"/>
    </row>
    <row r="699" ht="15.75" customHeight="1">
      <c r="A699" s="60"/>
      <c r="B699" s="61"/>
    </row>
    <row r="700" ht="15.75" customHeight="1">
      <c r="A700" s="60"/>
      <c r="B700" s="61"/>
    </row>
    <row r="701" ht="15.75" customHeight="1">
      <c r="A701" s="60"/>
      <c r="B701" s="61"/>
    </row>
    <row r="702" ht="15.75" customHeight="1">
      <c r="A702" s="60"/>
      <c r="B702" s="61"/>
    </row>
    <row r="703" ht="15.75" customHeight="1">
      <c r="A703" s="60"/>
      <c r="B703" s="61"/>
    </row>
    <row r="704" ht="15.75" customHeight="1">
      <c r="A704" s="60"/>
      <c r="B704" s="61"/>
    </row>
    <row r="705" ht="15.75" customHeight="1">
      <c r="A705" s="60"/>
      <c r="B705" s="61"/>
    </row>
    <row r="706" ht="15.75" customHeight="1">
      <c r="A706" s="60"/>
      <c r="B706" s="61"/>
    </row>
    <row r="707" ht="15.75" customHeight="1">
      <c r="A707" s="60"/>
      <c r="B707" s="61"/>
    </row>
    <row r="708" ht="15.75" customHeight="1">
      <c r="A708" s="60"/>
      <c r="B708" s="61"/>
    </row>
    <row r="709" ht="15.75" customHeight="1">
      <c r="A709" s="60"/>
      <c r="B709" s="61"/>
    </row>
    <row r="710" ht="15.75" customHeight="1">
      <c r="A710" s="60"/>
      <c r="B710" s="61"/>
    </row>
    <row r="711" ht="15.75" customHeight="1">
      <c r="A711" s="60"/>
      <c r="B711" s="61"/>
    </row>
    <row r="712" ht="15.75" customHeight="1">
      <c r="A712" s="60"/>
      <c r="B712" s="61"/>
    </row>
    <row r="713" ht="15.75" customHeight="1">
      <c r="A713" s="60"/>
      <c r="B713" s="61"/>
    </row>
    <row r="714" ht="15.75" customHeight="1">
      <c r="A714" s="60"/>
      <c r="B714" s="61"/>
    </row>
    <row r="715" ht="15.75" customHeight="1">
      <c r="A715" s="60"/>
      <c r="B715" s="61"/>
    </row>
    <row r="716" ht="15.75" customHeight="1">
      <c r="A716" s="60"/>
      <c r="B716" s="61"/>
    </row>
    <row r="717" ht="15.75" customHeight="1">
      <c r="A717" s="60"/>
      <c r="B717" s="61"/>
    </row>
    <row r="718" ht="15.75" customHeight="1">
      <c r="A718" s="60"/>
      <c r="B718" s="61"/>
    </row>
    <row r="719" ht="15.75" customHeight="1">
      <c r="A719" s="60"/>
      <c r="B719" s="61"/>
    </row>
    <row r="720" ht="15.75" customHeight="1">
      <c r="A720" s="60"/>
      <c r="B720" s="61"/>
    </row>
    <row r="721" ht="15.75" customHeight="1">
      <c r="A721" s="60"/>
      <c r="B721" s="61"/>
    </row>
    <row r="722" ht="15.75" customHeight="1">
      <c r="A722" s="60"/>
      <c r="B722" s="61"/>
    </row>
    <row r="723" ht="15.75" customHeight="1">
      <c r="A723" s="60"/>
      <c r="B723" s="61"/>
    </row>
    <row r="724" ht="15.75" customHeight="1">
      <c r="A724" s="60"/>
      <c r="B724" s="61"/>
    </row>
    <row r="725" ht="15.75" customHeight="1">
      <c r="A725" s="60"/>
      <c r="B725" s="61"/>
    </row>
    <row r="726" ht="15.75" customHeight="1">
      <c r="A726" s="60"/>
      <c r="B726" s="61"/>
    </row>
    <row r="727" ht="15.75" customHeight="1">
      <c r="A727" s="60"/>
      <c r="B727" s="61"/>
    </row>
    <row r="728" ht="15.75" customHeight="1">
      <c r="A728" s="60"/>
      <c r="B728" s="61"/>
    </row>
    <row r="729" ht="15.75" customHeight="1">
      <c r="A729" s="60"/>
      <c r="B729" s="61"/>
    </row>
    <row r="730" ht="15.75" customHeight="1">
      <c r="A730" s="60"/>
      <c r="B730" s="61"/>
    </row>
    <row r="731" ht="15.75" customHeight="1">
      <c r="A731" s="60"/>
      <c r="B731" s="61"/>
    </row>
    <row r="732" ht="15.75" customHeight="1">
      <c r="A732" s="60"/>
      <c r="B732" s="61"/>
    </row>
    <row r="733" ht="15.75" customHeight="1">
      <c r="A733" s="60"/>
      <c r="B733" s="61"/>
    </row>
    <row r="734" ht="15.75" customHeight="1">
      <c r="A734" s="60"/>
      <c r="B734" s="61"/>
    </row>
    <row r="735" ht="15.75" customHeight="1">
      <c r="A735" s="60"/>
      <c r="B735" s="61"/>
    </row>
    <row r="736" ht="15.75" customHeight="1">
      <c r="A736" s="60"/>
      <c r="B736" s="61"/>
    </row>
    <row r="737" ht="15.75" customHeight="1">
      <c r="A737" s="60"/>
      <c r="B737" s="61"/>
    </row>
    <row r="738" ht="15.75" customHeight="1">
      <c r="A738" s="60"/>
      <c r="B738" s="61"/>
    </row>
    <row r="739" ht="15.75" customHeight="1">
      <c r="A739" s="60"/>
      <c r="B739" s="61"/>
    </row>
    <row r="740" ht="15.75" customHeight="1">
      <c r="A740" s="60"/>
      <c r="B740" s="61"/>
    </row>
    <row r="741" ht="15.75" customHeight="1">
      <c r="A741" s="60"/>
      <c r="B741" s="61"/>
    </row>
    <row r="742" ht="15.75" customHeight="1">
      <c r="A742" s="60"/>
      <c r="B742" s="61"/>
    </row>
    <row r="743" ht="15.75" customHeight="1">
      <c r="A743" s="60"/>
      <c r="B743" s="61"/>
    </row>
    <row r="744" ht="15.75" customHeight="1">
      <c r="A744" s="60"/>
      <c r="B744" s="61"/>
    </row>
    <row r="745" ht="15.75" customHeight="1">
      <c r="A745" s="60"/>
      <c r="B745" s="61"/>
    </row>
    <row r="746" ht="15.75" customHeight="1">
      <c r="A746" s="60"/>
      <c r="B746" s="61"/>
    </row>
    <row r="747" ht="15.75" customHeight="1">
      <c r="A747" s="60"/>
      <c r="B747" s="61"/>
    </row>
    <row r="748" ht="15.75" customHeight="1">
      <c r="A748" s="60"/>
      <c r="B748" s="61"/>
    </row>
    <row r="749" ht="15.75" customHeight="1">
      <c r="A749" s="60"/>
      <c r="B749" s="61"/>
    </row>
    <row r="750" ht="15.75" customHeight="1">
      <c r="A750" s="60"/>
      <c r="B750" s="61"/>
    </row>
    <row r="751" ht="15.75" customHeight="1">
      <c r="A751" s="60"/>
      <c r="B751" s="61"/>
    </row>
    <row r="752" ht="15.75" customHeight="1">
      <c r="A752" s="60"/>
      <c r="B752" s="61"/>
    </row>
    <row r="753" ht="15.75" customHeight="1">
      <c r="A753" s="60"/>
      <c r="B753" s="61"/>
    </row>
    <row r="754" ht="15.75" customHeight="1">
      <c r="A754" s="60"/>
      <c r="B754" s="61"/>
    </row>
    <row r="755" ht="15.75" customHeight="1">
      <c r="A755" s="60"/>
      <c r="B755" s="61"/>
    </row>
    <row r="756" ht="15.75" customHeight="1">
      <c r="A756" s="60"/>
      <c r="B756" s="61"/>
    </row>
    <row r="757" ht="15.75" customHeight="1">
      <c r="A757" s="60"/>
      <c r="B757" s="61"/>
    </row>
    <row r="758" ht="15.75" customHeight="1">
      <c r="A758" s="60"/>
      <c r="B758" s="61"/>
    </row>
    <row r="759" ht="15.75" customHeight="1">
      <c r="A759" s="60"/>
      <c r="B759" s="61"/>
    </row>
    <row r="760" ht="15.75" customHeight="1">
      <c r="A760" s="60"/>
      <c r="B760" s="61"/>
    </row>
    <row r="761" ht="15.75" customHeight="1">
      <c r="A761" s="60"/>
      <c r="B761" s="61"/>
    </row>
    <row r="762" ht="15.75" customHeight="1">
      <c r="A762" s="60"/>
      <c r="B762" s="61"/>
    </row>
    <row r="763" ht="15.75" customHeight="1">
      <c r="A763" s="60"/>
      <c r="B763" s="61"/>
    </row>
    <row r="764" ht="15.75" customHeight="1">
      <c r="A764" s="60"/>
      <c r="B764" s="61"/>
    </row>
    <row r="765" ht="15.75" customHeight="1">
      <c r="A765" s="60"/>
      <c r="B765" s="61"/>
    </row>
    <row r="766" ht="15.75" customHeight="1">
      <c r="A766" s="60"/>
      <c r="B766" s="61"/>
    </row>
    <row r="767" ht="15.75" customHeight="1">
      <c r="A767" s="60"/>
      <c r="B767" s="61"/>
    </row>
    <row r="768" ht="15.75" customHeight="1">
      <c r="A768" s="60"/>
      <c r="B768" s="61"/>
    </row>
    <row r="769" ht="15.75" customHeight="1">
      <c r="A769" s="60"/>
      <c r="B769" s="61"/>
    </row>
    <row r="770" ht="15.75" customHeight="1">
      <c r="A770" s="60"/>
      <c r="B770" s="61"/>
    </row>
    <row r="771" ht="15.75" customHeight="1">
      <c r="A771" s="60"/>
      <c r="B771" s="61"/>
    </row>
    <row r="772" ht="15.75" customHeight="1">
      <c r="A772" s="60"/>
      <c r="B772" s="61"/>
    </row>
    <row r="773" ht="15.75" customHeight="1">
      <c r="A773" s="60"/>
      <c r="B773" s="61"/>
    </row>
    <row r="774" ht="15.75" customHeight="1">
      <c r="A774" s="60"/>
      <c r="B774" s="61"/>
    </row>
    <row r="775" ht="15.75" customHeight="1">
      <c r="A775" s="60"/>
      <c r="B775" s="61"/>
    </row>
    <row r="776" ht="15.75" customHeight="1">
      <c r="A776" s="60"/>
      <c r="B776" s="61"/>
    </row>
    <row r="777" ht="15.75" customHeight="1">
      <c r="A777" s="60"/>
      <c r="B777" s="61"/>
    </row>
    <row r="778" ht="15.75" customHeight="1">
      <c r="A778" s="60"/>
      <c r="B778" s="61"/>
    </row>
    <row r="779" ht="15.75" customHeight="1">
      <c r="A779" s="60"/>
      <c r="B779" s="61"/>
    </row>
    <row r="780" ht="15.75" customHeight="1">
      <c r="A780" s="60"/>
      <c r="B780" s="61"/>
    </row>
    <row r="781" ht="15.75" customHeight="1">
      <c r="A781" s="60"/>
      <c r="B781" s="61"/>
    </row>
    <row r="782" ht="15.75" customHeight="1">
      <c r="A782" s="60"/>
      <c r="B782" s="61"/>
    </row>
    <row r="783" ht="15.75" customHeight="1">
      <c r="A783" s="60"/>
      <c r="B783" s="61"/>
    </row>
    <row r="784" ht="15.75" customHeight="1">
      <c r="A784" s="60"/>
      <c r="B784" s="61"/>
    </row>
    <row r="785" ht="15.75" customHeight="1">
      <c r="A785" s="60"/>
      <c r="B785" s="61"/>
    </row>
    <row r="786" ht="15.75" customHeight="1">
      <c r="A786" s="60"/>
      <c r="B786" s="61"/>
    </row>
    <row r="787" ht="15.75" customHeight="1">
      <c r="A787" s="60"/>
      <c r="B787" s="61"/>
    </row>
    <row r="788" ht="15.75" customHeight="1">
      <c r="A788" s="60"/>
      <c r="B788" s="61"/>
    </row>
    <row r="789" ht="15.75" customHeight="1">
      <c r="A789" s="60"/>
      <c r="B789" s="61"/>
    </row>
    <row r="790" ht="15.75" customHeight="1">
      <c r="A790" s="60"/>
      <c r="B790" s="61"/>
    </row>
    <row r="791" ht="15.75" customHeight="1">
      <c r="A791" s="60"/>
      <c r="B791" s="61"/>
    </row>
    <row r="792" ht="15.75" customHeight="1">
      <c r="A792" s="60"/>
      <c r="B792" s="61"/>
    </row>
    <row r="793" ht="15.75" customHeight="1">
      <c r="A793" s="60"/>
      <c r="B793" s="61"/>
    </row>
    <row r="794" ht="15.75" customHeight="1">
      <c r="A794" s="60"/>
      <c r="B794" s="61"/>
    </row>
    <row r="795" ht="15.75" customHeight="1">
      <c r="A795" s="60"/>
      <c r="B795" s="61"/>
    </row>
    <row r="796" ht="15.75" customHeight="1">
      <c r="A796" s="60"/>
      <c r="B796" s="61"/>
    </row>
    <row r="797" ht="15.75" customHeight="1">
      <c r="A797" s="60"/>
      <c r="B797" s="61"/>
    </row>
    <row r="798" ht="15.75" customHeight="1">
      <c r="A798" s="60"/>
      <c r="B798" s="61"/>
    </row>
    <row r="799" ht="15.75" customHeight="1">
      <c r="A799" s="60"/>
      <c r="B799" s="61"/>
    </row>
    <row r="800" ht="15.75" customHeight="1">
      <c r="A800" s="60"/>
      <c r="B800" s="61"/>
    </row>
    <row r="801" ht="15.75" customHeight="1">
      <c r="A801" s="60"/>
      <c r="B801" s="61"/>
    </row>
    <row r="802" ht="15.75" customHeight="1">
      <c r="A802" s="60"/>
      <c r="B802" s="61"/>
    </row>
    <row r="803" ht="15.75" customHeight="1">
      <c r="A803" s="60"/>
      <c r="B803" s="61"/>
    </row>
    <row r="804" ht="15.75" customHeight="1">
      <c r="A804" s="60"/>
      <c r="B804" s="61"/>
    </row>
    <row r="805" ht="15.75" customHeight="1">
      <c r="A805" s="60"/>
      <c r="B805" s="61"/>
    </row>
    <row r="806" ht="15.75" customHeight="1">
      <c r="A806" s="60"/>
      <c r="B806" s="61"/>
    </row>
    <row r="807" ht="15.75" customHeight="1">
      <c r="A807" s="60"/>
      <c r="B807" s="61"/>
    </row>
    <row r="808" ht="15.75" customHeight="1">
      <c r="A808" s="60"/>
      <c r="B808" s="61"/>
    </row>
    <row r="809" ht="15.75" customHeight="1">
      <c r="A809" s="60"/>
      <c r="B809" s="61"/>
    </row>
    <row r="810" ht="15.75" customHeight="1">
      <c r="A810" s="60"/>
      <c r="B810" s="61"/>
    </row>
    <row r="811" ht="15.75" customHeight="1">
      <c r="A811" s="60"/>
      <c r="B811" s="61"/>
    </row>
    <row r="812" ht="15.75" customHeight="1">
      <c r="A812" s="60"/>
      <c r="B812" s="61"/>
    </row>
    <row r="813" ht="15.75" customHeight="1">
      <c r="A813" s="60"/>
      <c r="B813" s="61"/>
    </row>
    <row r="814" ht="15.75" customHeight="1">
      <c r="A814" s="60"/>
      <c r="B814" s="61"/>
    </row>
    <row r="815" ht="15.75" customHeight="1">
      <c r="A815" s="60"/>
      <c r="B815" s="61"/>
    </row>
    <row r="816" ht="15.75" customHeight="1">
      <c r="A816" s="60"/>
      <c r="B816" s="61"/>
    </row>
    <row r="817" ht="15.75" customHeight="1">
      <c r="A817" s="60"/>
      <c r="B817" s="61"/>
    </row>
    <row r="818" ht="15.75" customHeight="1">
      <c r="A818" s="60"/>
      <c r="B818" s="61"/>
    </row>
    <row r="819" ht="15.75" customHeight="1">
      <c r="A819" s="60"/>
      <c r="B819" s="61"/>
    </row>
    <row r="820" ht="15.75" customHeight="1">
      <c r="A820" s="60"/>
      <c r="B820" s="61"/>
    </row>
    <row r="821" ht="15.75" customHeight="1">
      <c r="A821" s="60"/>
      <c r="B821" s="61"/>
    </row>
    <row r="822" ht="15.75" customHeight="1">
      <c r="A822" s="60"/>
      <c r="B822" s="61"/>
    </row>
    <row r="823" ht="15.75" customHeight="1">
      <c r="A823" s="60"/>
      <c r="B823" s="61"/>
    </row>
    <row r="824" ht="15.75" customHeight="1">
      <c r="A824" s="60"/>
      <c r="B824" s="61"/>
    </row>
    <row r="825" ht="15.75" customHeight="1">
      <c r="A825" s="60"/>
      <c r="B825" s="61"/>
    </row>
    <row r="826" ht="15.75" customHeight="1">
      <c r="A826" s="60"/>
      <c r="B826" s="61"/>
    </row>
    <row r="827" ht="15.75" customHeight="1">
      <c r="A827" s="60"/>
      <c r="B827" s="61"/>
    </row>
    <row r="828" ht="15.75" customHeight="1">
      <c r="A828" s="60"/>
      <c r="B828" s="61"/>
    </row>
    <row r="829" ht="15.75" customHeight="1">
      <c r="A829" s="60"/>
      <c r="B829" s="61"/>
    </row>
    <row r="830" ht="15.75" customHeight="1">
      <c r="A830" s="60"/>
      <c r="B830" s="61"/>
    </row>
    <row r="831" ht="15.75" customHeight="1">
      <c r="A831" s="60"/>
      <c r="B831" s="61"/>
    </row>
    <row r="832" ht="15.75" customHeight="1">
      <c r="A832" s="60"/>
      <c r="B832" s="61"/>
    </row>
    <row r="833" ht="15.75" customHeight="1">
      <c r="A833" s="60"/>
      <c r="B833" s="61"/>
    </row>
    <row r="834" ht="15.75" customHeight="1">
      <c r="A834" s="60"/>
      <c r="B834" s="61"/>
    </row>
    <row r="835" ht="15.75" customHeight="1">
      <c r="A835" s="60"/>
      <c r="B835" s="61"/>
    </row>
    <row r="836" ht="15.75" customHeight="1">
      <c r="A836" s="60"/>
      <c r="B836" s="61"/>
    </row>
    <row r="837" ht="15.75" customHeight="1">
      <c r="A837" s="60"/>
      <c r="B837" s="61"/>
    </row>
    <row r="838" ht="15.75" customHeight="1">
      <c r="A838" s="60"/>
      <c r="B838" s="61"/>
    </row>
    <row r="839" ht="15.75" customHeight="1">
      <c r="A839" s="60"/>
      <c r="B839" s="61"/>
    </row>
    <row r="840" ht="15.75" customHeight="1">
      <c r="A840" s="60"/>
      <c r="B840" s="61"/>
    </row>
    <row r="841" ht="15.75" customHeight="1">
      <c r="A841" s="60"/>
      <c r="B841" s="61"/>
    </row>
    <row r="842" ht="15.75" customHeight="1">
      <c r="A842" s="60"/>
      <c r="B842" s="61"/>
    </row>
    <row r="843" ht="15.75" customHeight="1">
      <c r="A843" s="60"/>
      <c r="B843" s="61"/>
    </row>
    <row r="844" ht="15.75" customHeight="1">
      <c r="A844" s="60"/>
      <c r="B844" s="61"/>
    </row>
    <row r="845" ht="15.75" customHeight="1">
      <c r="A845" s="60"/>
      <c r="B845" s="61"/>
    </row>
    <row r="846" ht="15.75" customHeight="1">
      <c r="A846" s="60"/>
      <c r="B846" s="61"/>
    </row>
    <row r="847" ht="15.75" customHeight="1">
      <c r="A847" s="60"/>
      <c r="B847" s="61"/>
    </row>
    <row r="848" ht="15.75" customHeight="1">
      <c r="A848" s="60"/>
      <c r="B848" s="61"/>
    </row>
    <row r="849" ht="15.75" customHeight="1">
      <c r="A849" s="60"/>
      <c r="B849" s="61"/>
    </row>
    <row r="850" ht="15.75" customHeight="1">
      <c r="A850" s="60"/>
      <c r="B850" s="61"/>
    </row>
    <row r="851" ht="15.75" customHeight="1">
      <c r="A851" s="60"/>
      <c r="B851" s="61"/>
    </row>
    <row r="852" ht="15.75" customHeight="1">
      <c r="A852" s="60"/>
      <c r="B852" s="61"/>
    </row>
    <row r="853" ht="15.75" customHeight="1">
      <c r="A853" s="60"/>
      <c r="B853" s="61"/>
    </row>
    <row r="854" ht="15.75" customHeight="1">
      <c r="A854" s="60"/>
      <c r="B854" s="61"/>
    </row>
    <row r="855" ht="15.75" customHeight="1">
      <c r="A855" s="60"/>
      <c r="B855" s="61"/>
    </row>
    <row r="856" ht="15.75" customHeight="1">
      <c r="A856" s="60"/>
      <c r="B856" s="61"/>
    </row>
    <row r="857" ht="15.75" customHeight="1">
      <c r="A857" s="60"/>
      <c r="B857" s="61"/>
    </row>
    <row r="858" ht="15.75" customHeight="1">
      <c r="A858" s="60"/>
      <c r="B858" s="61"/>
    </row>
    <row r="859" ht="15.75" customHeight="1">
      <c r="A859" s="60"/>
      <c r="B859" s="61"/>
    </row>
    <row r="860" ht="15.75" customHeight="1">
      <c r="A860" s="60"/>
      <c r="B860" s="61"/>
    </row>
    <row r="861" ht="15.75" customHeight="1">
      <c r="A861" s="60"/>
      <c r="B861" s="61"/>
    </row>
    <row r="862" ht="15.75" customHeight="1">
      <c r="A862" s="60"/>
      <c r="B862" s="61"/>
    </row>
    <row r="863" ht="15.75" customHeight="1">
      <c r="A863" s="60"/>
      <c r="B863" s="61"/>
    </row>
    <row r="864" ht="15.75" customHeight="1">
      <c r="A864" s="60"/>
      <c r="B864" s="61"/>
    </row>
    <row r="865" ht="15.75" customHeight="1">
      <c r="A865" s="60"/>
      <c r="B865" s="61"/>
    </row>
    <row r="866" ht="15.75" customHeight="1">
      <c r="A866" s="60"/>
      <c r="B866" s="61"/>
    </row>
    <row r="867" ht="15.75" customHeight="1">
      <c r="A867" s="60"/>
      <c r="B867" s="61"/>
    </row>
    <row r="868" ht="15.75" customHeight="1">
      <c r="A868" s="60"/>
      <c r="B868" s="61"/>
    </row>
    <row r="869" ht="15.75" customHeight="1">
      <c r="A869" s="60"/>
      <c r="B869" s="61"/>
    </row>
    <row r="870" ht="15.75" customHeight="1">
      <c r="A870" s="60"/>
      <c r="B870" s="61"/>
    </row>
    <row r="871" ht="15.75" customHeight="1">
      <c r="A871" s="60"/>
      <c r="B871" s="61"/>
    </row>
    <row r="872" ht="15.75" customHeight="1">
      <c r="A872" s="60"/>
      <c r="B872" s="61"/>
    </row>
    <row r="873" ht="15.75" customHeight="1">
      <c r="A873" s="60"/>
      <c r="B873" s="61"/>
    </row>
    <row r="874" ht="15.75" customHeight="1">
      <c r="A874" s="60"/>
      <c r="B874" s="61"/>
    </row>
    <row r="875" ht="15.75" customHeight="1">
      <c r="A875" s="60"/>
      <c r="B875" s="61"/>
    </row>
    <row r="876" ht="15.75" customHeight="1">
      <c r="A876" s="60"/>
      <c r="B876" s="61"/>
    </row>
    <row r="877" ht="15.75" customHeight="1">
      <c r="A877" s="60"/>
      <c r="B877" s="61"/>
    </row>
    <row r="878" ht="15.75" customHeight="1">
      <c r="A878" s="60"/>
      <c r="B878" s="61"/>
    </row>
    <row r="879" ht="15.75" customHeight="1">
      <c r="A879" s="60"/>
      <c r="B879" s="61"/>
    </row>
    <row r="880" ht="15.75" customHeight="1">
      <c r="A880" s="60"/>
      <c r="B880" s="61"/>
    </row>
    <row r="881" ht="15.75" customHeight="1">
      <c r="A881" s="60"/>
      <c r="B881" s="61"/>
    </row>
    <row r="882" ht="15.75" customHeight="1">
      <c r="A882" s="60"/>
      <c r="B882" s="61"/>
    </row>
    <row r="883" ht="15.75" customHeight="1">
      <c r="A883" s="60"/>
      <c r="B883" s="61"/>
    </row>
    <row r="884" ht="15.75" customHeight="1">
      <c r="A884" s="60"/>
      <c r="B884" s="61"/>
    </row>
    <row r="885" ht="15.75" customHeight="1">
      <c r="A885" s="60"/>
      <c r="B885" s="61"/>
    </row>
    <row r="886" ht="15.75" customHeight="1">
      <c r="A886" s="60"/>
      <c r="B886" s="61"/>
    </row>
    <row r="887" ht="15.75" customHeight="1">
      <c r="A887" s="60"/>
      <c r="B887" s="61"/>
    </row>
    <row r="888" ht="15.75" customHeight="1">
      <c r="A888" s="60"/>
      <c r="B888" s="61"/>
    </row>
    <row r="889" ht="15.75" customHeight="1">
      <c r="A889" s="60"/>
      <c r="B889" s="61"/>
    </row>
    <row r="890" ht="15.75" customHeight="1">
      <c r="A890" s="60"/>
      <c r="B890" s="61"/>
    </row>
    <row r="891" ht="15.75" customHeight="1">
      <c r="A891" s="60"/>
      <c r="B891" s="61"/>
    </row>
    <row r="892" ht="15.75" customHeight="1">
      <c r="A892" s="60"/>
      <c r="B892" s="61"/>
    </row>
    <row r="893" ht="15.75" customHeight="1">
      <c r="A893" s="60"/>
      <c r="B893" s="61"/>
    </row>
    <row r="894" ht="15.75" customHeight="1">
      <c r="A894" s="60"/>
      <c r="B894" s="61"/>
    </row>
    <row r="895" ht="15.75" customHeight="1">
      <c r="A895" s="60"/>
      <c r="B895" s="61"/>
    </row>
    <row r="896" ht="15.75" customHeight="1">
      <c r="A896" s="60"/>
      <c r="B896" s="61"/>
    </row>
    <row r="897" ht="15.75" customHeight="1">
      <c r="A897" s="60"/>
      <c r="B897" s="61"/>
    </row>
    <row r="898" ht="15.75" customHeight="1">
      <c r="A898" s="60"/>
      <c r="B898" s="61"/>
    </row>
    <row r="899" ht="15.75" customHeight="1">
      <c r="A899" s="60"/>
      <c r="B899" s="61"/>
    </row>
    <row r="900" ht="15.75" customHeight="1">
      <c r="A900" s="60"/>
      <c r="B900" s="61"/>
    </row>
    <row r="901" ht="15.75" customHeight="1">
      <c r="A901" s="60"/>
      <c r="B901" s="61"/>
    </row>
    <row r="902" ht="15.75" customHeight="1">
      <c r="A902" s="60"/>
      <c r="B902" s="61"/>
    </row>
    <row r="903" ht="15.75" customHeight="1">
      <c r="A903" s="60"/>
      <c r="B903" s="61"/>
    </row>
    <row r="904" ht="15.75" customHeight="1">
      <c r="A904" s="60"/>
      <c r="B904" s="61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75"/>
    <col customWidth="1" min="2" max="2" width="15.88"/>
  </cols>
  <sheetData>
    <row r="1">
      <c r="A1" s="62" t="s">
        <v>4</v>
      </c>
      <c r="B1" s="63" t="s">
        <v>58</v>
      </c>
    </row>
    <row r="2">
      <c r="A2" s="64" t="str">
        <f>IFERROR(__xludf.DUMMYFUNCTION("FILTER('Master Codes'!A1:B879,'Master Codes'!C:C=""Raw Material"")"),"DD 0.80 mm")</f>
        <v>DD 0.80 mm</v>
      </c>
      <c r="B2" s="57" t="str">
        <f>IFERROR(__xludf.DUMMYFUNCTION("""COMPUTED_VALUE"""),"JSL202-08")</f>
        <v>JSL202-08</v>
      </c>
    </row>
    <row r="3">
      <c r="A3" s="64" t="str">
        <f>IFERROR(__xludf.DUMMYFUNCTION("""COMPUTED_VALUE"""),"DD 0.70 mm")</f>
        <v>DD 0.70 mm</v>
      </c>
      <c r="B3" s="57" t="str">
        <f>IFERROR(__xludf.DUMMYFUNCTION("""COMPUTED_VALUE"""),"JSL202-07")</f>
        <v>JSL202-07</v>
      </c>
    </row>
    <row r="4">
      <c r="A4" s="64" t="str">
        <f>IFERROR(__xludf.DUMMYFUNCTION("""COMPUTED_VALUE"""),"DD 0.60 mm")</f>
        <v>DD 0.60 mm</v>
      </c>
      <c r="B4" s="57" t="str">
        <f>IFERROR(__xludf.DUMMYFUNCTION("""COMPUTED_VALUE"""),"JSL202-06")</f>
        <v>JSL202-06</v>
      </c>
    </row>
    <row r="5">
      <c r="A5" s="64" t="str">
        <f>IFERROR(__xludf.DUMMYFUNCTION("""COMPUTED_VALUE"""),"Cu 0.80 mm")</f>
        <v>Cu 0.80 mm</v>
      </c>
      <c r="B5" s="57" t="str">
        <f>IFERROR(__xludf.DUMMYFUNCTION("""COMPUTED_VALUE"""),"JSL204-08")</f>
        <v>JSL204-08</v>
      </c>
    </row>
    <row r="6">
      <c r="A6" s="64" t="str">
        <f>IFERROR(__xludf.DUMMYFUNCTION("""COMPUTED_VALUE"""),"Cu 0.70 mm")</f>
        <v>Cu 0.70 mm</v>
      </c>
      <c r="B6" s="57" t="str">
        <f>IFERROR(__xludf.DUMMYFUNCTION("""COMPUTED_VALUE"""),"JSL204-07")</f>
        <v>JSL204-07</v>
      </c>
    </row>
    <row r="7" ht="15.75" customHeight="1">
      <c r="A7" s="64" t="str">
        <f>IFERROR(__xludf.DUMMYFUNCTION("""COMPUTED_VALUE"""),"Cu 0.60 mm")</f>
        <v>Cu 0.60 mm</v>
      </c>
      <c r="B7" s="57" t="str">
        <f>IFERROR(__xludf.DUMMYFUNCTION("""COMPUTED_VALUE"""),"JSL204-06")</f>
        <v>JSL204-06</v>
      </c>
    </row>
    <row r="8" ht="15.75" customHeight="1">
      <c r="A8" s="64" t="str">
        <f>IFERROR(__xludf.DUMMYFUNCTION("""COMPUTED_VALUE"""),"Cu 1.00 mm")</f>
        <v>Cu 1.00 mm</v>
      </c>
      <c r="B8" s="57" t="str">
        <f>IFERROR(__xludf.DUMMYFUNCTION("""COMPUTED_VALUE"""),"JSL204-10")</f>
        <v>JSL204-10</v>
      </c>
    </row>
    <row r="9" ht="15.75" customHeight="1">
      <c r="A9" s="64"/>
      <c r="B9" s="57"/>
    </row>
    <row r="10" ht="15.75" customHeight="1">
      <c r="A10" s="64"/>
      <c r="B10" s="57"/>
    </row>
    <row r="11" ht="15.75" customHeight="1">
      <c r="A11" s="64"/>
      <c r="B11" s="57"/>
    </row>
    <row r="12" ht="15.75" customHeight="1">
      <c r="A12" s="64"/>
      <c r="B12" s="57"/>
    </row>
    <row r="13" ht="15.75" customHeight="1">
      <c r="A13" s="64"/>
      <c r="B13" s="57"/>
    </row>
    <row r="14" ht="15.75" customHeight="1">
      <c r="A14" s="64"/>
      <c r="B14" s="57"/>
    </row>
    <row r="15" ht="15.75" customHeight="1">
      <c r="A15" s="64"/>
      <c r="B15" s="57"/>
    </row>
    <row r="16" ht="15.75" customHeight="1">
      <c r="A16" s="64"/>
      <c r="B16" s="57"/>
    </row>
    <row r="17" ht="15.75" customHeight="1">
      <c r="A17" s="64"/>
      <c r="B17" s="57"/>
    </row>
    <row r="18" ht="15.75" customHeight="1">
      <c r="A18" s="64"/>
      <c r="B18" s="57"/>
    </row>
    <row r="19" ht="15.75" customHeight="1">
      <c r="A19" s="64"/>
      <c r="B19" s="57"/>
    </row>
    <row r="20" ht="15.75" customHeight="1">
      <c r="A20" s="64"/>
      <c r="B20" s="57"/>
    </row>
    <row r="21" ht="15.75" customHeight="1">
      <c r="A21" s="64"/>
      <c r="B21" s="57"/>
    </row>
    <row r="22" ht="15.75" customHeight="1">
      <c r="A22" s="64"/>
      <c r="B22" s="57"/>
    </row>
    <row r="23" ht="15.75" customHeight="1">
      <c r="A23" s="64"/>
      <c r="B23" s="57"/>
    </row>
    <row r="24" ht="15.75" customHeight="1">
      <c r="A24" s="64"/>
      <c r="B24" s="57"/>
    </row>
    <row r="25" ht="15.75" customHeight="1">
      <c r="A25" s="64"/>
      <c r="B25" s="57"/>
    </row>
    <row r="26" ht="15.75" customHeight="1">
      <c r="A26" s="64"/>
      <c r="B26" s="57"/>
    </row>
    <row r="27" ht="15.75" customHeight="1">
      <c r="A27" s="64"/>
      <c r="B27" s="57"/>
    </row>
    <row r="28" ht="15.75" customHeight="1">
      <c r="A28" s="64"/>
      <c r="B28" s="57"/>
    </row>
    <row r="29" ht="15.75" customHeight="1">
      <c r="A29" s="64"/>
      <c r="B29" s="57"/>
    </row>
    <row r="30" ht="15.75" customHeight="1">
      <c r="A30" s="64"/>
      <c r="B30" s="57"/>
    </row>
    <row r="31" ht="15.75" customHeight="1">
      <c r="A31" s="44"/>
      <c r="B31" s="61"/>
    </row>
    <row r="32" ht="15.75" customHeight="1">
      <c r="A32" s="44"/>
      <c r="B32" s="61"/>
    </row>
    <row r="33" ht="15.75" customHeight="1">
      <c r="A33" s="44"/>
      <c r="B33" s="61"/>
    </row>
    <row r="34" ht="15.75" customHeight="1">
      <c r="A34" s="44"/>
      <c r="B34" s="61"/>
    </row>
    <row r="35" ht="15.75" customHeight="1">
      <c r="A35" s="44"/>
      <c r="B35" s="61"/>
    </row>
    <row r="36" ht="15.75" customHeight="1">
      <c r="A36" s="44"/>
      <c r="B36" s="61"/>
    </row>
    <row r="37" ht="15.75" customHeight="1">
      <c r="A37" s="44"/>
      <c r="B37" s="61"/>
    </row>
    <row r="38" ht="15.75" customHeight="1">
      <c r="A38" s="44"/>
      <c r="B38" s="61"/>
    </row>
    <row r="39" ht="15.75" customHeight="1">
      <c r="A39" s="44"/>
      <c r="B39" s="61"/>
    </row>
    <row r="40" ht="15.75" customHeight="1">
      <c r="A40" s="44"/>
      <c r="B40" s="61"/>
    </row>
    <row r="41" ht="15.75" customHeight="1">
      <c r="A41" s="44"/>
      <c r="B41" s="61"/>
    </row>
    <row r="42" ht="15.75" customHeight="1">
      <c r="A42" s="44"/>
      <c r="B42" s="61"/>
    </row>
    <row r="43" ht="15.75" customHeight="1">
      <c r="A43" s="44"/>
      <c r="B43" s="61"/>
    </row>
    <row r="44" ht="15.75" customHeight="1">
      <c r="A44" s="44"/>
      <c r="B44" s="61"/>
    </row>
    <row r="45" ht="15.75" customHeight="1">
      <c r="A45" s="44"/>
      <c r="B45" s="61"/>
    </row>
    <row r="46" ht="15.75" customHeight="1">
      <c r="A46" s="44"/>
      <c r="B46" s="61"/>
    </row>
    <row r="47" ht="15.75" customHeight="1">
      <c r="A47" s="44"/>
      <c r="B47" s="61"/>
    </row>
    <row r="48" ht="15.75" customHeight="1">
      <c r="A48" s="44"/>
      <c r="B48" s="61"/>
    </row>
    <row r="49" ht="15.75" customHeight="1">
      <c r="A49" s="44"/>
      <c r="B49" s="61"/>
    </row>
    <row r="50" ht="15.75" customHeight="1">
      <c r="A50" s="44"/>
      <c r="B50" s="61"/>
    </row>
    <row r="51" ht="15.75" customHeight="1">
      <c r="A51" s="44"/>
      <c r="B51" s="61"/>
    </row>
    <row r="52" ht="15.75" customHeight="1">
      <c r="A52" s="44"/>
      <c r="B52" s="61"/>
    </row>
    <row r="53" ht="15.75" customHeight="1">
      <c r="A53" s="44"/>
      <c r="B53" s="61"/>
    </row>
    <row r="54" ht="15.75" customHeight="1">
      <c r="A54" s="44"/>
      <c r="B54" s="61"/>
    </row>
    <row r="55" ht="15.75" customHeight="1">
      <c r="A55" s="44"/>
      <c r="B55" s="61"/>
    </row>
    <row r="56" ht="15.75" customHeight="1">
      <c r="A56" s="44"/>
      <c r="B56" s="61"/>
    </row>
    <row r="57" ht="15.75" customHeight="1">
      <c r="A57" s="44"/>
      <c r="B57" s="61"/>
    </row>
    <row r="58" ht="15.75" customHeight="1">
      <c r="A58" s="44"/>
      <c r="B58" s="61"/>
    </row>
    <row r="59" ht="15.75" customHeight="1">
      <c r="A59" s="44"/>
      <c r="B59" s="61"/>
    </row>
    <row r="60" ht="15.75" customHeight="1">
      <c r="A60" s="44"/>
      <c r="B60" s="61"/>
    </row>
    <row r="61" ht="15.75" customHeight="1">
      <c r="A61" s="44"/>
      <c r="B61" s="61"/>
    </row>
    <row r="62" ht="15.75" customHeight="1">
      <c r="A62" s="44"/>
      <c r="B62" s="61"/>
    </row>
    <row r="63" ht="15.75" customHeight="1">
      <c r="A63" s="44"/>
      <c r="B63" s="61"/>
    </row>
    <row r="64" ht="15.75" customHeight="1">
      <c r="A64" s="44"/>
      <c r="B64" s="61"/>
    </row>
    <row r="65" ht="15.75" customHeight="1">
      <c r="A65" s="44"/>
      <c r="B65" s="61"/>
    </row>
    <row r="66" ht="15.75" customHeight="1">
      <c r="A66" s="44"/>
      <c r="B66" s="61"/>
    </row>
    <row r="67" ht="15.75" customHeight="1">
      <c r="A67" s="44"/>
      <c r="B67" s="61"/>
    </row>
    <row r="68" ht="15.75" customHeight="1">
      <c r="A68" s="44"/>
      <c r="B68" s="61"/>
    </row>
    <row r="69" ht="15.75" customHeight="1">
      <c r="A69" s="44"/>
      <c r="B69" s="61"/>
    </row>
    <row r="70" ht="15.75" customHeight="1">
      <c r="A70" s="44"/>
      <c r="B70" s="61"/>
    </row>
    <row r="71" ht="15.75" customHeight="1">
      <c r="A71" s="44"/>
      <c r="B71" s="61"/>
    </row>
    <row r="72" ht="15.75" customHeight="1">
      <c r="A72" s="44"/>
      <c r="B72" s="61"/>
    </row>
    <row r="73" ht="15.75" customHeight="1">
      <c r="A73" s="44"/>
      <c r="B73" s="61"/>
    </row>
    <row r="74" ht="15.75" customHeight="1">
      <c r="A74" s="44"/>
      <c r="B74" s="61"/>
    </row>
    <row r="75" ht="15.75" customHeight="1">
      <c r="A75" s="44"/>
      <c r="B75" s="61"/>
    </row>
    <row r="76" ht="15.75" customHeight="1">
      <c r="A76" s="44"/>
      <c r="B76" s="61"/>
    </row>
    <row r="77" ht="15.75" customHeight="1">
      <c r="A77" s="44"/>
      <c r="B77" s="61"/>
    </row>
    <row r="78" ht="15.75" customHeight="1">
      <c r="A78" s="44"/>
      <c r="B78" s="61"/>
    </row>
    <row r="79" ht="15.75" customHeight="1">
      <c r="A79" s="44"/>
      <c r="B79" s="61"/>
    </row>
    <row r="80" ht="15.75" customHeight="1">
      <c r="A80" s="44"/>
      <c r="B80" s="61"/>
    </row>
    <row r="81" ht="15.75" customHeight="1">
      <c r="A81" s="44"/>
      <c r="B81" s="61"/>
    </row>
    <row r="82" ht="15.75" customHeight="1">
      <c r="A82" s="44"/>
      <c r="B82" s="61"/>
    </row>
    <row r="83" ht="15.75" customHeight="1">
      <c r="A83" s="44"/>
      <c r="B83" s="61"/>
    </row>
    <row r="84" ht="15.75" customHeight="1">
      <c r="A84" s="44"/>
      <c r="B84" s="61"/>
    </row>
    <row r="85" ht="15.75" customHeight="1">
      <c r="A85" s="44"/>
      <c r="B85" s="61"/>
    </row>
    <row r="86" ht="15.75" customHeight="1">
      <c r="A86" s="44"/>
      <c r="B86" s="61"/>
    </row>
    <row r="87" ht="15.75" customHeight="1">
      <c r="A87" s="44"/>
      <c r="B87" s="61"/>
    </row>
    <row r="88" ht="15.75" customHeight="1">
      <c r="A88" s="44"/>
      <c r="B88" s="61"/>
    </row>
    <row r="89" ht="15.75" customHeight="1">
      <c r="A89" s="44"/>
      <c r="B89" s="61"/>
    </row>
    <row r="90" ht="15.75" customHeight="1">
      <c r="A90" s="44"/>
      <c r="B90" s="61"/>
    </row>
    <row r="91" ht="15.75" customHeight="1">
      <c r="A91" s="44"/>
      <c r="B91" s="61"/>
    </row>
    <row r="92" ht="15.75" customHeight="1">
      <c r="A92" s="44"/>
      <c r="B92" s="61"/>
    </row>
    <row r="93" ht="15.75" customHeight="1">
      <c r="A93" s="44"/>
      <c r="B93" s="61"/>
    </row>
    <row r="94" ht="15.75" customHeight="1">
      <c r="A94" s="44"/>
      <c r="B94" s="61"/>
    </row>
    <row r="95" ht="15.75" customHeight="1">
      <c r="A95" s="44"/>
      <c r="B95" s="61"/>
    </row>
    <row r="96" ht="15.75" customHeight="1">
      <c r="A96" s="44"/>
      <c r="B96" s="61"/>
    </row>
    <row r="97" ht="15.75" customHeight="1">
      <c r="A97" s="44"/>
      <c r="B97" s="61"/>
    </row>
    <row r="98" ht="15.75" customHeight="1">
      <c r="A98" s="44"/>
      <c r="B98" s="61"/>
    </row>
    <row r="99" ht="15.75" customHeight="1">
      <c r="A99" s="44"/>
      <c r="B99" s="61"/>
    </row>
    <row r="100" ht="15.75" customHeight="1">
      <c r="A100" s="44"/>
      <c r="B100" s="61"/>
    </row>
    <row r="101" ht="15.75" customHeight="1">
      <c r="A101" s="44"/>
      <c r="B101" s="61"/>
    </row>
    <row r="102" ht="15.75" customHeight="1">
      <c r="A102" s="44"/>
      <c r="B102" s="61"/>
    </row>
    <row r="103" ht="15.75" customHeight="1">
      <c r="A103" s="44"/>
      <c r="B103" s="61"/>
    </row>
    <row r="104" ht="15.75" customHeight="1">
      <c r="A104" s="44"/>
      <c r="B104" s="61"/>
    </row>
    <row r="105" ht="15.75" customHeight="1">
      <c r="A105" s="44"/>
      <c r="B105" s="61"/>
    </row>
    <row r="106" ht="15.75" customHeight="1">
      <c r="A106" s="44"/>
      <c r="B106" s="61"/>
    </row>
    <row r="107" ht="15.75" customHeight="1">
      <c r="A107" s="44"/>
      <c r="B107" s="61"/>
    </row>
    <row r="108" ht="15.75" customHeight="1">
      <c r="A108" s="44"/>
      <c r="B108" s="61"/>
    </row>
    <row r="109" ht="15.75" customHeight="1">
      <c r="A109" s="44"/>
      <c r="B109" s="61"/>
    </row>
    <row r="110" ht="15.75" customHeight="1">
      <c r="A110" s="44"/>
      <c r="B110" s="61"/>
    </row>
    <row r="111" ht="15.75" customHeight="1">
      <c r="A111" s="44"/>
      <c r="B111" s="61"/>
    </row>
    <row r="112" ht="15.75" customHeight="1">
      <c r="A112" s="44"/>
      <c r="B112" s="61"/>
    </row>
    <row r="113" ht="15.75" customHeight="1">
      <c r="A113" s="44"/>
      <c r="B113" s="61"/>
    </row>
    <row r="114" ht="15.75" customHeight="1">
      <c r="A114" s="44"/>
      <c r="B114" s="61"/>
    </row>
    <row r="115" ht="15.75" customHeight="1">
      <c r="A115" s="44"/>
      <c r="B115" s="61"/>
    </row>
    <row r="116" ht="15.75" customHeight="1">
      <c r="A116" s="44"/>
      <c r="B116" s="61"/>
    </row>
    <row r="117" ht="15.75" customHeight="1">
      <c r="A117" s="44"/>
      <c r="B117" s="61"/>
    </row>
    <row r="118" ht="15.75" customHeight="1">
      <c r="A118" s="44"/>
      <c r="B118" s="61"/>
    </row>
    <row r="119" ht="15.75" customHeight="1">
      <c r="A119" s="44"/>
      <c r="B119" s="61"/>
    </row>
    <row r="120" ht="15.75" customHeight="1">
      <c r="A120" s="44"/>
      <c r="B120" s="61"/>
    </row>
    <row r="121" ht="15.75" customHeight="1">
      <c r="A121" s="44"/>
      <c r="B121" s="61"/>
    </row>
    <row r="122" ht="15.75" customHeight="1">
      <c r="A122" s="44"/>
      <c r="B122" s="61"/>
    </row>
    <row r="123" ht="15.75" customHeight="1">
      <c r="A123" s="44"/>
      <c r="B123" s="61"/>
    </row>
    <row r="124" ht="15.75" customHeight="1">
      <c r="A124" s="44"/>
      <c r="B124" s="61"/>
    </row>
    <row r="125" ht="15.75" customHeight="1">
      <c r="A125" s="44"/>
      <c r="B125" s="61"/>
    </row>
    <row r="126" ht="15.75" customHeight="1">
      <c r="A126" s="44"/>
      <c r="B126" s="61"/>
    </row>
    <row r="127" ht="15.75" customHeight="1">
      <c r="A127" s="44"/>
      <c r="B127" s="61"/>
    </row>
    <row r="128" ht="15.75" customHeight="1">
      <c r="A128" s="44"/>
      <c r="B128" s="61"/>
    </row>
    <row r="129" ht="15.75" customHeight="1">
      <c r="A129" s="44"/>
      <c r="B129" s="61"/>
    </row>
    <row r="130" ht="15.75" customHeight="1">
      <c r="A130" s="44"/>
      <c r="B130" s="61"/>
    </row>
    <row r="131" ht="15.75" customHeight="1">
      <c r="A131" s="44"/>
      <c r="B131" s="61"/>
    </row>
    <row r="132" ht="15.75" customHeight="1">
      <c r="A132" s="44"/>
      <c r="B132" s="61"/>
    </row>
    <row r="133" ht="15.75" customHeight="1">
      <c r="A133" s="44"/>
      <c r="B133" s="61"/>
    </row>
    <row r="134" ht="15.75" customHeight="1">
      <c r="A134" s="44"/>
      <c r="B134" s="61"/>
    </row>
    <row r="135" ht="15.75" customHeight="1">
      <c r="A135" s="44"/>
      <c r="B135" s="61"/>
    </row>
    <row r="136" ht="15.75" customHeight="1">
      <c r="A136" s="44"/>
      <c r="B136" s="61"/>
    </row>
    <row r="137" ht="15.75" customHeight="1">
      <c r="A137" s="44"/>
      <c r="B137" s="61"/>
    </row>
    <row r="138" ht="15.75" customHeight="1">
      <c r="A138" s="44"/>
      <c r="B138" s="61"/>
    </row>
    <row r="139" ht="15.75" customHeight="1">
      <c r="A139" s="44"/>
      <c r="B139" s="61"/>
    </row>
    <row r="140" ht="15.75" customHeight="1">
      <c r="A140" s="44"/>
      <c r="B140" s="61"/>
    </row>
    <row r="141" ht="15.75" customHeight="1">
      <c r="A141" s="44"/>
      <c r="B141" s="61"/>
    </row>
    <row r="142" ht="15.75" customHeight="1">
      <c r="A142" s="44"/>
      <c r="B142" s="61"/>
    </row>
    <row r="143" ht="15.75" customHeight="1">
      <c r="A143" s="44"/>
      <c r="B143" s="61"/>
    </row>
    <row r="144" ht="15.75" customHeight="1">
      <c r="A144" s="44"/>
      <c r="B144" s="61"/>
    </row>
    <row r="145" ht="15.75" customHeight="1">
      <c r="A145" s="44"/>
      <c r="B145" s="61"/>
    </row>
    <row r="146" ht="15.75" customHeight="1">
      <c r="A146" s="44"/>
      <c r="B146" s="61"/>
    </row>
    <row r="147" ht="15.75" customHeight="1">
      <c r="A147" s="44"/>
      <c r="B147" s="61"/>
    </row>
    <row r="148" ht="15.75" customHeight="1">
      <c r="A148" s="44"/>
      <c r="B148" s="61"/>
    </row>
    <row r="149" ht="15.75" customHeight="1">
      <c r="A149" s="44"/>
      <c r="B149" s="61"/>
    </row>
    <row r="150" ht="15.75" customHeight="1">
      <c r="A150" s="44"/>
      <c r="B150" s="61"/>
    </row>
    <row r="151" ht="15.75" customHeight="1">
      <c r="A151" s="44"/>
      <c r="B151" s="61"/>
    </row>
    <row r="152" ht="15.75" customHeight="1">
      <c r="A152" s="44"/>
      <c r="B152" s="61"/>
    </row>
    <row r="153" ht="15.75" customHeight="1">
      <c r="A153" s="44"/>
      <c r="B153" s="61"/>
    </row>
    <row r="154" ht="15.75" customHeight="1">
      <c r="A154" s="44"/>
      <c r="B154" s="61"/>
    </row>
    <row r="155" ht="15.75" customHeight="1">
      <c r="A155" s="44"/>
      <c r="B155" s="61"/>
    </row>
    <row r="156" ht="15.75" customHeight="1">
      <c r="A156" s="44"/>
      <c r="B156" s="61"/>
    </row>
    <row r="157" ht="15.75" customHeight="1">
      <c r="A157" s="44"/>
      <c r="B157" s="61"/>
    </row>
    <row r="158" ht="15.75" customHeight="1">
      <c r="A158" s="44"/>
      <c r="B158" s="61"/>
    </row>
    <row r="159" ht="15.75" customHeight="1">
      <c r="A159" s="44"/>
      <c r="B159" s="61"/>
    </row>
    <row r="160" ht="15.75" customHeight="1">
      <c r="A160" s="44"/>
      <c r="B160" s="61"/>
    </row>
    <row r="161" ht="15.75" customHeight="1">
      <c r="A161" s="44"/>
      <c r="B161" s="61"/>
    </row>
    <row r="162" ht="15.75" customHeight="1">
      <c r="A162" s="44"/>
      <c r="B162" s="61"/>
    </row>
    <row r="163" ht="15.75" customHeight="1">
      <c r="A163" s="44"/>
      <c r="B163" s="61"/>
    </row>
    <row r="164" ht="15.75" customHeight="1">
      <c r="A164" s="44"/>
      <c r="B164" s="61"/>
    </row>
    <row r="165" ht="15.75" customHeight="1">
      <c r="A165" s="44"/>
      <c r="B165" s="61"/>
    </row>
    <row r="166" ht="15.75" customHeight="1">
      <c r="A166" s="44"/>
      <c r="B166" s="61"/>
    </row>
    <row r="167" ht="15.75" customHeight="1">
      <c r="A167" s="44"/>
      <c r="B167" s="61"/>
    </row>
    <row r="168" ht="15.75" customHeight="1">
      <c r="A168" s="44"/>
      <c r="B168" s="61"/>
    </row>
    <row r="169" ht="15.75" customHeight="1">
      <c r="A169" s="44"/>
      <c r="B169" s="61"/>
    </row>
    <row r="170" ht="15.75" customHeight="1">
      <c r="A170" s="44"/>
      <c r="B170" s="61"/>
    </row>
    <row r="171" ht="15.75" customHeight="1">
      <c r="A171" s="44"/>
      <c r="B171" s="61"/>
    </row>
    <row r="172" ht="15.75" customHeight="1">
      <c r="A172" s="44"/>
      <c r="B172" s="61"/>
    </row>
    <row r="173" ht="15.75" customHeight="1">
      <c r="A173" s="44"/>
      <c r="B173" s="61"/>
    </row>
    <row r="174" ht="15.75" customHeight="1">
      <c r="A174" s="44"/>
      <c r="B174" s="61"/>
    </row>
    <row r="175" ht="15.75" customHeight="1">
      <c r="A175" s="44"/>
      <c r="B175" s="61"/>
    </row>
    <row r="176" ht="15.75" customHeight="1">
      <c r="A176" s="44"/>
      <c r="B176" s="61"/>
    </row>
    <row r="177" ht="15.75" customHeight="1">
      <c r="A177" s="44"/>
      <c r="B177" s="61"/>
    </row>
    <row r="178" ht="15.75" customHeight="1">
      <c r="A178" s="44"/>
      <c r="B178" s="61"/>
    </row>
    <row r="179" ht="15.75" customHeight="1">
      <c r="A179" s="44"/>
      <c r="B179" s="61"/>
    </row>
    <row r="180" ht="15.75" customHeight="1">
      <c r="A180" s="44"/>
      <c r="B180" s="61"/>
    </row>
    <row r="181" ht="15.75" customHeight="1">
      <c r="A181" s="44"/>
      <c r="B181" s="61"/>
    </row>
    <row r="182" ht="15.75" customHeight="1">
      <c r="A182" s="44"/>
      <c r="B182" s="61"/>
    </row>
    <row r="183" ht="15.75" customHeight="1">
      <c r="A183" s="44"/>
      <c r="B183" s="61"/>
    </row>
    <row r="184" ht="15.75" customHeight="1">
      <c r="A184" s="44"/>
      <c r="B184" s="61"/>
    </row>
    <row r="185" ht="15.75" customHeight="1">
      <c r="A185" s="44"/>
      <c r="B185" s="61"/>
    </row>
    <row r="186" ht="15.75" customHeight="1">
      <c r="A186" s="44"/>
      <c r="B186" s="61"/>
    </row>
    <row r="187" ht="15.75" customHeight="1">
      <c r="A187" s="44"/>
      <c r="B187" s="61"/>
    </row>
    <row r="188" ht="15.75" customHeight="1">
      <c r="A188" s="44"/>
      <c r="B188" s="61"/>
    </row>
    <row r="189" ht="15.75" customHeight="1">
      <c r="A189" s="44"/>
      <c r="B189" s="61"/>
    </row>
    <row r="190" ht="15.75" customHeight="1">
      <c r="A190" s="44"/>
      <c r="B190" s="61"/>
    </row>
    <row r="191" ht="15.75" customHeight="1">
      <c r="A191" s="44"/>
      <c r="B191" s="61"/>
    </row>
    <row r="192" ht="15.75" customHeight="1">
      <c r="A192" s="44"/>
      <c r="B192" s="61"/>
    </row>
    <row r="193" ht="15.75" customHeight="1">
      <c r="A193" s="44"/>
      <c r="B193" s="61"/>
    </row>
    <row r="194" ht="15.75" customHeight="1">
      <c r="A194" s="44"/>
      <c r="B194" s="61"/>
    </row>
    <row r="195" ht="15.75" customHeight="1">
      <c r="A195" s="44"/>
      <c r="B195" s="61"/>
    </row>
    <row r="196" ht="15.75" customHeight="1">
      <c r="A196" s="44"/>
      <c r="B196" s="61"/>
    </row>
    <row r="197" ht="15.75" customHeight="1">
      <c r="A197" s="44"/>
      <c r="B197" s="61"/>
    </row>
    <row r="198" ht="15.75" customHeight="1">
      <c r="A198" s="44"/>
      <c r="B198" s="61"/>
    </row>
    <row r="199" ht="15.75" customHeight="1">
      <c r="A199" s="44"/>
      <c r="B199" s="61"/>
    </row>
    <row r="200" ht="15.75" customHeight="1">
      <c r="A200" s="44"/>
      <c r="B200" s="61"/>
    </row>
    <row r="201" ht="15.75" customHeight="1">
      <c r="A201" s="44"/>
      <c r="B201" s="61"/>
    </row>
    <row r="202" ht="15.75" customHeight="1">
      <c r="A202" s="44"/>
      <c r="B202" s="61"/>
    </row>
    <row r="203" ht="15.75" customHeight="1">
      <c r="A203" s="44"/>
      <c r="B203" s="61"/>
    </row>
    <row r="204" ht="15.75" customHeight="1">
      <c r="A204" s="44"/>
      <c r="B204" s="61"/>
    </row>
    <row r="205" ht="15.75" customHeight="1">
      <c r="A205" s="44"/>
      <c r="B205" s="61"/>
    </row>
    <row r="206" ht="15.75" customHeight="1">
      <c r="A206" s="44"/>
      <c r="B206" s="61"/>
    </row>
    <row r="207" ht="15.75" customHeight="1">
      <c r="A207" s="44"/>
      <c r="B207" s="61"/>
    </row>
    <row r="208" ht="15.75" customHeight="1">
      <c r="A208" s="44"/>
      <c r="B208" s="61"/>
    </row>
    <row r="209" ht="15.75" customHeight="1">
      <c r="A209" s="44"/>
      <c r="B209" s="61"/>
    </row>
    <row r="210" ht="15.75" customHeight="1">
      <c r="A210" s="44"/>
      <c r="B210" s="61"/>
    </row>
    <row r="211" ht="15.75" customHeight="1">
      <c r="A211" s="44"/>
      <c r="B211" s="61"/>
    </row>
    <row r="212" ht="15.75" customHeight="1">
      <c r="A212" s="44"/>
      <c r="B212" s="61"/>
    </row>
    <row r="213" ht="15.75" customHeight="1">
      <c r="A213" s="44"/>
      <c r="B213" s="61"/>
    </row>
    <row r="214" ht="15.75" customHeight="1">
      <c r="A214" s="44"/>
      <c r="B214" s="61"/>
    </row>
    <row r="215" ht="15.75" customHeight="1">
      <c r="A215" s="44"/>
      <c r="B215" s="61"/>
    </row>
    <row r="216" ht="15.75" customHeight="1">
      <c r="A216" s="44"/>
      <c r="B216" s="61"/>
    </row>
    <row r="217" ht="15.75" customHeight="1">
      <c r="A217" s="44"/>
      <c r="B217" s="61"/>
    </row>
    <row r="218" ht="15.75" customHeight="1">
      <c r="A218" s="44"/>
      <c r="B218" s="61"/>
    </row>
    <row r="219" ht="15.75" customHeight="1">
      <c r="A219" s="44"/>
      <c r="B219" s="61"/>
    </row>
    <row r="220" ht="15.75" customHeight="1">
      <c r="A220" s="44"/>
      <c r="B220" s="61"/>
    </row>
    <row r="221" ht="15.75" customHeight="1">
      <c r="A221" s="44"/>
      <c r="B221" s="61"/>
    </row>
    <row r="222" ht="15.75" customHeight="1">
      <c r="A222" s="44"/>
      <c r="B222" s="61"/>
    </row>
    <row r="223" ht="15.75" customHeight="1">
      <c r="A223" s="44"/>
      <c r="B223" s="61"/>
    </row>
    <row r="224" ht="15.75" customHeight="1">
      <c r="A224" s="44"/>
      <c r="B224" s="61"/>
    </row>
    <row r="225" ht="15.75" customHeight="1">
      <c r="A225" s="44"/>
      <c r="B225" s="61"/>
    </row>
    <row r="226" ht="15.75" customHeight="1">
      <c r="A226" s="44"/>
      <c r="B226" s="61"/>
    </row>
    <row r="227" ht="15.75" customHeight="1">
      <c r="A227" s="44"/>
      <c r="B227" s="61"/>
    </row>
    <row r="228" ht="15.75" customHeight="1">
      <c r="A228" s="44"/>
      <c r="B228" s="61"/>
    </row>
    <row r="229" ht="15.75" customHeight="1">
      <c r="A229" s="44"/>
      <c r="B229" s="61"/>
    </row>
    <row r="230" ht="15.75" customHeight="1">
      <c r="A230" s="44"/>
      <c r="B230" s="61"/>
    </row>
    <row r="231" ht="15.75" customHeight="1">
      <c r="A231" s="44"/>
      <c r="B231" s="61"/>
    </row>
    <row r="232" ht="15.75" customHeight="1">
      <c r="A232" s="44"/>
      <c r="B232" s="61"/>
    </row>
    <row r="233" ht="15.75" customHeight="1">
      <c r="A233" s="44"/>
      <c r="B233" s="61"/>
    </row>
    <row r="234" ht="15.75" customHeight="1">
      <c r="A234" s="44"/>
      <c r="B234" s="61"/>
    </row>
    <row r="235" ht="15.75" customHeight="1">
      <c r="A235" s="44"/>
      <c r="B235" s="61"/>
    </row>
    <row r="236" ht="15.75" customHeight="1">
      <c r="A236" s="44"/>
      <c r="B236" s="61"/>
    </row>
    <row r="237" ht="15.75" customHeight="1">
      <c r="A237" s="44"/>
      <c r="B237" s="61"/>
    </row>
    <row r="238" ht="15.75" customHeight="1">
      <c r="A238" s="44"/>
      <c r="B238" s="61"/>
    </row>
    <row r="239" ht="15.75" customHeight="1">
      <c r="A239" s="44"/>
      <c r="B239" s="61"/>
    </row>
    <row r="240" ht="15.75" customHeight="1">
      <c r="A240" s="44"/>
      <c r="B240" s="61"/>
    </row>
    <row r="241" ht="15.75" customHeight="1">
      <c r="A241" s="44"/>
      <c r="B241" s="61"/>
    </row>
    <row r="242" ht="15.75" customHeight="1">
      <c r="A242" s="44"/>
      <c r="B242" s="61"/>
    </row>
    <row r="243" ht="15.75" customHeight="1">
      <c r="A243" s="44"/>
      <c r="B243" s="61"/>
    </row>
    <row r="244" ht="15.75" customHeight="1">
      <c r="A244" s="44"/>
      <c r="B244" s="61"/>
    </row>
    <row r="245" ht="15.75" customHeight="1">
      <c r="A245" s="44"/>
      <c r="B245" s="61"/>
    </row>
    <row r="246" ht="15.75" customHeight="1">
      <c r="A246" s="44"/>
      <c r="B246" s="61"/>
    </row>
    <row r="247" ht="15.75" customHeight="1">
      <c r="A247" s="44"/>
      <c r="B247" s="61"/>
    </row>
    <row r="248" ht="15.75" customHeight="1">
      <c r="A248" s="44"/>
      <c r="B248" s="61"/>
    </row>
    <row r="249" ht="15.75" customHeight="1">
      <c r="A249" s="44"/>
      <c r="B249" s="61"/>
    </row>
    <row r="250" ht="15.75" customHeight="1">
      <c r="A250" s="44"/>
      <c r="B250" s="61"/>
    </row>
    <row r="251" ht="15.75" customHeight="1">
      <c r="A251" s="44"/>
      <c r="B251" s="61"/>
    </row>
    <row r="252" ht="15.75" customHeight="1">
      <c r="A252" s="44"/>
      <c r="B252" s="61"/>
    </row>
    <row r="253" ht="15.75" customHeight="1">
      <c r="A253" s="44"/>
      <c r="B253" s="61"/>
    </row>
    <row r="254" ht="15.75" customHeight="1">
      <c r="A254" s="44"/>
      <c r="B254" s="61"/>
    </row>
    <row r="255" ht="15.75" customHeight="1">
      <c r="A255" s="44"/>
      <c r="B255" s="61"/>
    </row>
    <row r="256" ht="15.75" customHeight="1">
      <c r="A256" s="44"/>
      <c r="B256" s="61"/>
    </row>
    <row r="257" ht="15.75" customHeight="1">
      <c r="A257" s="44"/>
      <c r="B257" s="61"/>
    </row>
    <row r="258" ht="15.75" customHeight="1">
      <c r="A258" s="44"/>
      <c r="B258" s="61"/>
    </row>
    <row r="259" ht="15.75" customHeight="1">
      <c r="A259" s="44"/>
      <c r="B259" s="61"/>
    </row>
    <row r="260" ht="15.75" customHeight="1">
      <c r="A260" s="44"/>
      <c r="B260" s="61"/>
    </row>
    <row r="261" ht="15.75" customHeight="1">
      <c r="A261" s="44"/>
      <c r="B261" s="61"/>
    </row>
    <row r="262" ht="15.75" customHeight="1">
      <c r="A262" s="44"/>
      <c r="B262" s="61"/>
    </row>
    <row r="263" ht="15.75" customHeight="1">
      <c r="A263" s="44"/>
      <c r="B263" s="61"/>
    </row>
    <row r="264" ht="15.75" customHeight="1">
      <c r="A264" s="44"/>
      <c r="B264" s="61"/>
    </row>
    <row r="265" ht="15.75" customHeight="1">
      <c r="A265" s="44"/>
      <c r="B265" s="61"/>
    </row>
    <row r="266" ht="15.75" customHeight="1">
      <c r="A266" s="44"/>
      <c r="B266" s="61"/>
    </row>
    <row r="267" ht="15.75" customHeight="1">
      <c r="A267" s="44"/>
      <c r="B267" s="61"/>
    </row>
    <row r="268" ht="15.75" customHeight="1">
      <c r="A268" s="44"/>
      <c r="B268" s="61"/>
    </row>
    <row r="269" ht="15.75" customHeight="1">
      <c r="A269" s="44"/>
      <c r="B269" s="61"/>
    </row>
    <row r="270" ht="15.75" customHeight="1">
      <c r="A270" s="44"/>
      <c r="B270" s="61"/>
    </row>
    <row r="271" ht="15.75" customHeight="1">
      <c r="A271" s="44"/>
      <c r="B271" s="61"/>
    </row>
    <row r="272" ht="15.75" customHeight="1">
      <c r="A272" s="44"/>
      <c r="B272" s="61"/>
    </row>
    <row r="273" ht="15.75" customHeight="1">
      <c r="A273" s="44"/>
      <c r="B273" s="61"/>
    </row>
    <row r="274" ht="15.75" customHeight="1">
      <c r="A274" s="44"/>
      <c r="B274" s="61"/>
    </row>
    <row r="275" ht="15.75" customHeight="1">
      <c r="A275" s="44"/>
      <c r="B275" s="61"/>
    </row>
    <row r="276" ht="15.75" customHeight="1">
      <c r="A276" s="44"/>
      <c r="B276" s="61"/>
    </row>
    <row r="277" ht="15.75" customHeight="1">
      <c r="A277" s="44"/>
      <c r="B277" s="61"/>
    </row>
    <row r="278" ht="15.75" customHeight="1">
      <c r="A278" s="44"/>
      <c r="B278" s="61"/>
    </row>
    <row r="279" ht="15.75" customHeight="1">
      <c r="A279" s="44"/>
      <c r="B279" s="61"/>
    </row>
    <row r="280" ht="15.75" customHeight="1">
      <c r="A280" s="44"/>
      <c r="B280" s="61"/>
    </row>
    <row r="281" ht="15.75" customHeight="1">
      <c r="A281" s="44"/>
      <c r="B281" s="61"/>
    </row>
    <row r="282" ht="15.75" customHeight="1">
      <c r="A282" s="44"/>
      <c r="B282" s="61"/>
    </row>
    <row r="283" ht="15.75" customHeight="1">
      <c r="A283" s="44"/>
      <c r="B283" s="61"/>
    </row>
    <row r="284" ht="15.75" customHeight="1">
      <c r="A284" s="44"/>
      <c r="B284" s="61"/>
    </row>
    <row r="285" ht="15.75" customHeight="1">
      <c r="A285" s="44"/>
      <c r="B285" s="61"/>
    </row>
    <row r="286" ht="15.75" customHeight="1">
      <c r="A286" s="44"/>
      <c r="B286" s="61"/>
    </row>
    <row r="287" ht="15.75" customHeight="1">
      <c r="A287" s="44"/>
      <c r="B287" s="61"/>
    </row>
    <row r="288" ht="15.75" customHeight="1">
      <c r="A288" s="44"/>
      <c r="B288" s="61"/>
    </row>
    <row r="289" ht="15.75" customHeight="1">
      <c r="A289" s="44"/>
      <c r="B289" s="61"/>
    </row>
    <row r="290" ht="15.75" customHeight="1">
      <c r="A290" s="44"/>
      <c r="B290" s="61"/>
    </row>
    <row r="291" ht="15.75" customHeight="1">
      <c r="A291" s="44"/>
      <c r="B291" s="61"/>
    </row>
    <row r="292" ht="15.75" customHeight="1">
      <c r="A292" s="44"/>
      <c r="B292" s="61"/>
    </row>
    <row r="293" ht="15.75" customHeight="1">
      <c r="A293" s="44"/>
      <c r="B293" s="61"/>
    </row>
    <row r="294" ht="15.75" customHeight="1">
      <c r="A294" s="44"/>
      <c r="B294" s="61"/>
    </row>
    <row r="295" ht="15.75" customHeight="1">
      <c r="A295" s="44"/>
      <c r="B295" s="61"/>
    </row>
    <row r="296" ht="15.75" customHeight="1">
      <c r="A296" s="44"/>
      <c r="B296" s="61"/>
    </row>
    <row r="297" ht="15.75" customHeight="1">
      <c r="A297" s="44"/>
      <c r="B297" s="61"/>
    </row>
    <row r="298" ht="15.75" customHeight="1">
      <c r="A298" s="44"/>
      <c r="B298" s="61"/>
    </row>
    <row r="299" ht="15.75" customHeight="1">
      <c r="A299" s="44"/>
      <c r="B299" s="61"/>
    </row>
    <row r="300" ht="15.75" customHeight="1">
      <c r="A300" s="44"/>
      <c r="B300" s="61"/>
    </row>
    <row r="301" ht="15.75" customHeight="1">
      <c r="A301" s="44"/>
      <c r="B301" s="61"/>
    </row>
    <row r="302" ht="15.75" customHeight="1">
      <c r="A302" s="44"/>
      <c r="B302" s="61"/>
    </row>
    <row r="303" ht="15.75" customHeight="1">
      <c r="A303" s="44"/>
      <c r="B303" s="61"/>
    </row>
    <row r="304" ht="15.75" customHeight="1">
      <c r="A304" s="44"/>
      <c r="B304" s="61"/>
    </row>
    <row r="305" ht="15.75" customHeight="1">
      <c r="A305" s="44"/>
      <c r="B305" s="61"/>
    </row>
    <row r="306" ht="15.75" customHeight="1">
      <c r="A306" s="44"/>
      <c r="B306" s="61"/>
    </row>
    <row r="307" ht="15.75" customHeight="1">
      <c r="A307" s="44"/>
      <c r="B307" s="61"/>
    </row>
    <row r="308" ht="15.75" customHeight="1">
      <c r="A308" s="44"/>
      <c r="B308" s="61"/>
    </row>
    <row r="309" ht="15.75" customHeight="1">
      <c r="A309" s="44"/>
      <c r="B309" s="61"/>
    </row>
    <row r="310" ht="15.75" customHeight="1">
      <c r="A310" s="44"/>
      <c r="B310" s="61"/>
    </row>
    <row r="311" ht="15.75" customHeight="1">
      <c r="A311" s="44"/>
      <c r="B311" s="61"/>
    </row>
    <row r="312" ht="15.75" customHeight="1">
      <c r="A312" s="44"/>
      <c r="B312" s="61"/>
    </row>
    <row r="313" ht="15.75" customHeight="1">
      <c r="A313" s="44"/>
      <c r="B313" s="61"/>
    </row>
    <row r="314" ht="15.75" customHeight="1">
      <c r="A314" s="44"/>
      <c r="B314" s="61"/>
    </row>
    <row r="315" ht="15.75" customHeight="1">
      <c r="A315" s="44"/>
      <c r="B315" s="61"/>
    </row>
    <row r="316" ht="15.75" customHeight="1">
      <c r="A316" s="44"/>
      <c r="B316" s="61"/>
    </row>
    <row r="317" ht="15.75" customHeight="1">
      <c r="A317" s="44"/>
      <c r="B317" s="61"/>
    </row>
    <row r="318" ht="15.75" customHeight="1">
      <c r="A318" s="44"/>
      <c r="B318" s="61"/>
    </row>
    <row r="319" ht="15.75" customHeight="1">
      <c r="A319" s="44"/>
      <c r="B319" s="61"/>
    </row>
    <row r="320" ht="15.75" customHeight="1">
      <c r="A320" s="44"/>
      <c r="B320" s="61"/>
    </row>
    <row r="321" ht="15.75" customHeight="1">
      <c r="A321" s="44"/>
      <c r="B321" s="61"/>
    </row>
    <row r="322" ht="15.75" customHeight="1">
      <c r="A322" s="44"/>
      <c r="B322" s="61"/>
    </row>
    <row r="323" ht="15.75" customHeight="1">
      <c r="A323" s="44"/>
      <c r="B323" s="61"/>
    </row>
    <row r="324" ht="15.75" customHeight="1">
      <c r="A324" s="44"/>
      <c r="B324" s="61"/>
    </row>
    <row r="325" ht="15.75" customHeight="1">
      <c r="A325" s="44"/>
      <c r="B325" s="61"/>
    </row>
    <row r="326" ht="15.75" customHeight="1">
      <c r="A326" s="44"/>
      <c r="B326" s="61"/>
    </row>
    <row r="327" ht="15.75" customHeight="1">
      <c r="A327" s="44"/>
      <c r="B327" s="61"/>
    </row>
    <row r="328" ht="15.75" customHeight="1">
      <c r="A328" s="44"/>
      <c r="B328" s="61"/>
    </row>
    <row r="329" ht="15.75" customHeight="1">
      <c r="A329" s="44"/>
      <c r="B329" s="61"/>
    </row>
    <row r="330" ht="15.75" customHeight="1">
      <c r="A330" s="44"/>
      <c r="B330" s="61"/>
    </row>
    <row r="331" ht="15.75" customHeight="1">
      <c r="A331" s="44"/>
      <c r="B331" s="61"/>
    </row>
    <row r="332" ht="15.75" customHeight="1">
      <c r="A332" s="44"/>
      <c r="B332" s="61"/>
    </row>
    <row r="333" ht="15.75" customHeight="1">
      <c r="A333" s="44"/>
      <c r="B333" s="61"/>
    </row>
    <row r="334" ht="15.75" customHeight="1">
      <c r="A334" s="44"/>
      <c r="B334" s="61"/>
    </row>
    <row r="335" ht="15.75" customHeight="1">
      <c r="A335" s="44"/>
      <c r="B335" s="61"/>
    </row>
    <row r="336" ht="15.75" customHeight="1">
      <c r="A336" s="44"/>
      <c r="B336" s="61"/>
    </row>
    <row r="337" ht="15.75" customHeight="1">
      <c r="A337" s="44"/>
      <c r="B337" s="61"/>
    </row>
    <row r="338" ht="15.75" customHeight="1">
      <c r="A338" s="44"/>
      <c r="B338" s="61"/>
    </row>
    <row r="339" ht="15.75" customHeight="1">
      <c r="A339" s="44"/>
      <c r="B339" s="61"/>
    </row>
    <row r="340" ht="15.75" customHeight="1">
      <c r="A340" s="44"/>
      <c r="B340" s="61"/>
    </row>
    <row r="341" ht="15.75" customHeight="1">
      <c r="A341" s="44"/>
      <c r="B341" s="61"/>
    </row>
    <row r="342" ht="15.75" customHeight="1">
      <c r="A342" s="44"/>
      <c r="B342" s="61"/>
    </row>
    <row r="343" ht="15.75" customHeight="1">
      <c r="A343" s="44"/>
      <c r="B343" s="61"/>
    </row>
    <row r="344" ht="15.75" customHeight="1">
      <c r="A344" s="44"/>
      <c r="B344" s="61"/>
    </row>
    <row r="345" ht="15.75" customHeight="1">
      <c r="A345" s="44"/>
      <c r="B345" s="61"/>
    </row>
    <row r="346" ht="15.75" customHeight="1">
      <c r="A346" s="44"/>
      <c r="B346" s="61"/>
    </row>
    <row r="347" ht="15.75" customHeight="1">
      <c r="A347" s="44"/>
      <c r="B347" s="61"/>
    </row>
    <row r="348" ht="15.75" customHeight="1">
      <c r="A348" s="44"/>
      <c r="B348" s="61"/>
    </row>
    <row r="349" ht="15.75" customHeight="1">
      <c r="A349" s="44"/>
      <c r="B349" s="61"/>
    </row>
    <row r="350" ht="15.75" customHeight="1">
      <c r="A350" s="44"/>
      <c r="B350" s="61"/>
    </row>
    <row r="351" ht="15.75" customHeight="1">
      <c r="A351" s="44"/>
      <c r="B351" s="61"/>
    </row>
    <row r="352" ht="15.75" customHeight="1">
      <c r="A352" s="44"/>
      <c r="B352" s="61"/>
    </row>
    <row r="353" ht="15.75" customHeight="1">
      <c r="A353" s="44"/>
      <c r="B353" s="61"/>
    </row>
    <row r="354" ht="15.75" customHeight="1">
      <c r="A354" s="44"/>
      <c r="B354" s="61"/>
    </row>
    <row r="355" ht="15.75" customHeight="1">
      <c r="A355" s="44"/>
      <c r="B355" s="61"/>
    </row>
    <row r="356" ht="15.75" customHeight="1">
      <c r="A356" s="44"/>
      <c r="B356" s="61"/>
    </row>
    <row r="357" ht="15.75" customHeight="1">
      <c r="A357" s="44"/>
      <c r="B357" s="61"/>
    </row>
    <row r="358" ht="15.75" customHeight="1">
      <c r="A358" s="44"/>
      <c r="B358" s="61"/>
    </row>
    <row r="359" ht="15.75" customHeight="1">
      <c r="A359" s="44"/>
      <c r="B359" s="61"/>
    </row>
    <row r="360" ht="15.75" customHeight="1">
      <c r="A360" s="44"/>
      <c r="B360" s="61"/>
    </row>
    <row r="361" ht="15.75" customHeight="1">
      <c r="A361" s="44"/>
      <c r="B361" s="61"/>
    </row>
    <row r="362" ht="15.75" customHeight="1">
      <c r="A362" s="44"/>
      <c r="B362" s="61"/>
    </row>
    <row r="363" ht="15.75" customHeight="1">
      <c r="A363" s="44"/>
      <c r="B363" s="61"/>
    </row>
    <row r="364" ht="15.75" customHeight="1">
      <c r="A364" s="44"/>
      <c r="B364" s="61"/>
    </row>
    <row r="365" ht="15.75" customHeight="1">
      <c r="A365" s="44"/>
      <c r="B365" s="61"/>
    </row>
    <row r="366" ht="15.75" customHeight="1">
      <c r="A366" s="44"/>
      <c r="B366" s="61"/>
    </row>
    <row r="367" ht="15.75" customHeight="1">
      <c r="A367" s="44"/>
      <c r="B367" s="61"/>
    </row>
    <row r="368" ht="15.75" customHeight="1">
      <c r="A368" s="44"/>
      <c r="B368" s="61"/>
    </row>
    <row r="369" ht="15.75" customHeight="1">
      <c r="A369" s="44"/>
      <c r="B369" s="61"/>
    </row>
    <row r="370" ht="15.75" customHeight="1">
      <c r="A370" s="44"/>
      <c r="B370" s="61"/>
    </row>
    <row r="371" ht="15.75" customHeight="1">
      <c r="A371" s="44"/>
      <c r="B371" s="61"/>
    </row>
    <row r="372" ht="15.75" customHeight="1">
      <c r="A372" s="44"/>
      <c r="B372" s="61"/>
    </row>
    <row r="373" ht="15.75" customHeight="1">
      <c r="A373" s="44"/>
      <c r="B373" s="61"/>
    </row>
    <row r="374" ht="15.75" customHeight="1">
      <c r="A374" s="44"/>
      <c r="B374" s="61"/>
    </row>
    <row r="375" ht="15.75" customHeight="1">
      <c r="A375" s="44"/>
      <c r="B375" s="61"/>
    </row>
    <row r="376" ht="15.75" customHeight="1">
      <c r="A376" s="44"/>
      <c r="B376" s="61"/>
    </row>
    <row r="377" ht="15.75" customHeight="1">
      <c r="A377" s="44"/>
      <c r="B377" s="61"/>
    </row>
    <row r="378" ht="15.75" customHeight="1">
      <c r="A378" s="44"/>
      <c r="B378" s="61"/>
    </row>
    <row r="379" ht="15.75" customHeight="1">
      <c r="A379" s="44"/>
      <c r="B379" s="61"/>
    </row>
    <row r="380" ht="15.75" customHeight="1">
      <c r="A380" s="44"/>
      <c r="B380" s="61"/>
    </row>
    <row r="381" ht="15.75" customHeight="1">
      <c r="A381" s="44"/>
      <c r="B381" s="61"/>
    </row>
    <row r="382" ht="15.75" customHeight="1">
      <c r="A382" s="44"/>
      <c r="B382" s="61"/>
    </row>
    <row r="383" ht="15.75" customHeight="1">
      <c r="A383" s="44"/>
      <c r="B383" s="61"/>
    </row>
    <row r="384" ht="15.75" customHeight="1">
      <c r="A384" s="44"/>
      <c r="B384" s="61"/>
    </row>
    <row r="385" ht="15.75" customHeight="1">
      <c r="A385" s="44"/>
      <c r="B385" s="61"/>
    </row>
    <row r="386" ht="15.75" customHeight="1">
      <c r="A386" s="44"/>
      <c r="B386" s="61"/>
    </row>
    <row r="387" ht="15.75" customHeight="1">
      <c r="A387" s="44"/>
      <c r="B387" s="61"/>
    </row>
    <row r="388" ht="15.75" customHeight="1">
      <c r="A388" s="44"/>
      <c r="B388" s="61"/>
    </row>
    <row r="389" ht="15.75" customHeight="1">
      <c r="A389" s="44"/>
      <c r="B389" s="61"/>
    </row>
    <row r="390" ht="15.75" customHeight="1">
      <c r="A390" s="44"/>
      <c r="B390" s="61"/>
    </row>
    <row r="391" ht="15.75" customHeight="1">
      <c r="A391" s="44"/>
      <c r="B391" s="61"/>
    </row>
    <row r="392" ht="15.75" customHeight="1">
      <c r="A392" s="44"/>
      <c r="B392" s="61"/>
    </row>
    <row r="393" ht="15.75" customHeight="1">
      <c r="A393" s="44"/>
      <c r="B393" s="61"/>
    </row>
    <row r="394" ht="15.75" customHeight="1">
      <c r="A394" s="44"/>
      <c r="B394" s="61"/>
    </row>
    <row r="395" ht="15.75" customHeight="1">
      <c r="A395" s="44"/>
      <c r="B395" s="61"/>
    </row>
    <row r="396" ht="15.75" customHeight="1">
      <c r="A396" s="44"/>
      <c r="B396" s="61"/>
    </row>
    <row r="397" ht="15.75" customHeight="1">
      <c r="A397" s="44"/>
      <c r="B397" s="61"/>
    </row>
    <row r="398" ht="15.75" customHeight="1">
      <c r="A398" s="44"/>
      <c r="B398" s="61"/>
    </row>
    <row r="399" ht="15.75" customHeight="1">
      <c r="A399" s="44"/>
      <c r="B399" s="61"/>
    </row>
    <row r="400" ht="15.75" customHeight="1">
      <c r="A400" s="44"/>
      <c r="B400" s="61"/>
    </row>
    <row r="401" ht="15.75" customHeight="1">
      <c r="A401" s="44"/>
      <c r="B401" s="61"/>
    </row>
    <row r="402" ht="15.75" customHeight="1">
      <c r="A402" s="44"/>
      <c r="B402" s="61"/>
    </row>
    <row r="403" ht="15.75" customHeight="1">
      <c r="A403" s="44"/>
      <c r="B403" s="61"/>
    </row>
    <row r="404" ht="15.75" customHeight="1">
      <c r="A404" s="44"/>
      <c r="B404" s="61"/>
    </row>
    <row r="405" ht="15.75" customHeight="1">
      <c r="A405" s="44"/>
      <c r="B405" s="61"/>
    </row>
    <row r="406" ht="15.75" customHeight="1">
      <c r="A406" s="44"/>
      <c r="B406" s="61"/>
    </row>
    <row r="407" ht="15.75" customHeight="1">
      <c r="A407" s="44"/>
      <c r="B407" s="61"/>
    </row>
    <row r="408" ht="15.75" customHeight="1">
      <c r="A408" s="44"/>
      <c r="B408" s="61"/>
    </row>
    <row r="409" ht="15.75" customHeight="1">
      <c r="A409" s="44"/>
      <c r="B409" s="61"/>
    </row>
    <row r="410" ht="15.75" customHeight="1">
      <c r="A410" s="44"/>
      <c r="B410" s="61"/>
    </row>
    <row r="411" ht="15.75" customHeight="1">
      <c r="A411" s="44"/>
      <c r="B411" s="61"/>
    </row>
    <row r="412" ht="15.75" customHeight="1">
      <c r="A412" s="44"/>
      <c r="B412" s="61"/>
    </row>
    <row r="413" ht="15.75" customHeight="1">
      <c r="A413" s="44"/>
      <c r="B413" s="61"/>
    </row>
    <row r="414" ht="15.75" customHeight="1">
      <c r="A414" s="44"/>
      <c r="B414" s="61"/>
    </row>
    <row r="415" ht="15.75" customHeight="1">
      <c r="A415" s="44"/>
      <c r="B415" s="61"/>
    </row>
    <row r="416" ht="15.75" customHeight="1">
      <c r="A416" s="44"/>
      <c r="B416" s="61"/>
    </row>
    <row r="417" ht="15.75" customHeight="1">
      <c r="A417" s="44"/>
      <c r="B417" s="61"/>
    </row>
    <row r="418" ht="15.75" customHeight="1">
      <c r="A418" s="44"/>
      <c r="B418" s="61"/>
    </row>
    <row r="419" ht="15.75" customHeight="1">
      <c r="A419" s="44"/>
      <c r="B419" s="61"/>
    </row>
    <row r="420" ht="15.75" customHeight="1">
      <c r="A420" s="44"/>
      <c r="B420" s="61"/>
    </row>
    <row r="421" ht="15.75" customHeight="1">
      <c r="A421" s="44"/>
      <c r="B421" s="61"/>
    </row>
    <row r="422" ht="15.75" customHeight="1">
      <c r="A422" s="44"/>
      <c r="B422" s="61"/>
    </row>
    <row r="423" ht="15.75" customHeight="1">
      <c r="A423" s="44"/>
      <c r="B423" s="61"/>
    </row>
    <row r="424" ht="15.75" customHeight="1">
      <c r="A424" s="44"/>
      <c r="B424" s="61"/>
    </row>
    <row r="425" ht="15.75" customHeight="1">
      <c r="A425" s="44"/>
      <c r="B425" s="61"/>
    </row>
    <row r="426" ht="15.75" customHeight="1">
      <c r="A426" s="44"/>
      <c r="B426" s="61"/>
    </row>
    <row r="427" ht="15.75" customHeight="1">
      <c r="A427" s="44"/>
      <c r="B427" s="61"/>
    </row>
    <row r="428" ht="15.75" customHeight="1">
      <c r="A428" s="44"/>
      <c r="B428" s="61"/>
    </row>
    <row r="429" ht="15.75" customHeight="1">
      <c r="A429" s="44"/>
      <c r="B429" s="61"/>
    </row>
    <row r="430" ht="15.75" customHeight="1">
      <c r="A430" s="44"/>
      <c r="B430" s="61"/>
    </row>
    <row r="431" ht="15.75" customHeight="1">
      <c r="A431" s="44"/>
      <c r="B431" s="61"/>
    </row>
    <row r="432" ht="15.75" customHeight="1">
      <c r="A432" s="44"/>
      <c r="B432" s="61"/>
    </row>
    <row r="433" ht="15.75" customHeight="1">
      <c r="A433" s="44"/>
      <c r="B433" s="61"/>
    </row>
    <row r="434" ht="15.75" customHeight="1">
      <c r="A434" s="44"/>
      <c r="B434" s="61"/>
    </row>
    <row r="435" ht="15.75" customHeight="1">
      <c r="A435" s="44"/>
      <c r="B435" s="61"/>
    </row>
    <row r="436" ht="15.75" customHeight="1">
      <c r="A436" s="44"/>
      <c r="B436" s="61"/>
    </row>
    <row r="437" ht="15.75" customHeight="1">
      <c r="A437" s="44"/>
      <c r="B437" s="61"/>
    </row>
    <row r="438" ht="15.75" customHeight="1">
      <c r="A438" s="44"/>
      <c r="B438" s="61"/>
    </row>
    <row r="439" ht="15.75" customHeight="1">
      <c r="A439" s="44"/>
      <c r="B439" s="61"/>
    </row>
    <row r="440" ht="15.75" customHeight="1">
      <c r="A440" s="44"/>
      <c r="B440" s="61"/>
    </row>
    <row r="441" ht="15.75" customHeight="1">
      <c r="A441" s="44"/>
      <c r="B441" s="61"/>
    </row>
    <row r="442" ht="15.75" customHeight="1">
      <c r="A442" s="44"/>
      <c r="B442" s="61"/>
    </row>
    <row r="443" ht="15.75" customHeight="1">
      <c r="A443" s="44"/>
      <c r="B443" s="61"/>
    </row>
    <row r="444" ht="15.75" customHeight="1">
      <c r="A444" s="44"/>
      <c r="B444" s="61"/>
    </row>
    <row r="445" ht="15.75" customHeight="1">
      <c r="A445" s="44"/>
      <c r="B445" s="61"/>
    </row>
    <row r="446" ht="15.75" customHeight="1">
      <c r="A446" s="44"/>
      <c r="B446" s="61"/>
    </row>
    <row r="447" ht="15.75" customHeight="1">
      <c r="A447" s="44"/>
      <c r="B447" s="61"/>
    </row>
    <row r="448" ht="15.75" customHeight="1">
      <c r="A448" s="44"/>
      <c r="B448" s="61"/>
    </row>
    <row r="449" ht="15.75" customHeight="1">
      <c r="A449" s="44"/>
      <c r="B449" s="61"/>
    </row>
    <row r="450" ht="15.75" customHeight="1">
      <c r="A450" s="44"/>
      <c r="B450" s="61"/>
    </row>
    <row r="451" ht="15.75" customHeight="1">
      <c r="A451" s="44"/>
      <c r="B451" s="61"/>
    </row>
    <row r="452" ht="15.75" customHeight="1">
      <c r="A452" s="44"/>
      <c r="B452" s="61"/>
    </row>
    <row r="453" ht="15.75" customHeight="1">
      <c r="A453" s="44"/>
      <c r="B453" s="61"/>
    </row>
    <row r="454" ht="15.75" customHeight="1">
      <c r="A454" s="44"/>
      <c r="B454" s="61"/>
    </row>
    <row r="455" ht="15.75" customHeight="1">
      <c r="A455" s="44"/>
      <c r="B455" s="61"/>
    </row>
    <row r="456" ht="15.75" customHeight="1">
      <c r="A456" s="44"/>
      <c r="B456" s="61"/>
    </row>
    <row r="457" ht="15.75" customHeight="1">
      <c r="A457" s="44"/>
      <c r="B457" s="61"/>
    </row>
    <row r="458" ht="15.75" customHeight="1">
      <c r="A458" s="44"/>
      <c r="B458" s="61"/>
    </row>
    <row r="459" ht="15.75" customHeight="1">
      <c r="A459" s="44"/>
      <c r="B459" s="61"/>
    </row>
    <row r="460" ht="15.75" customHeight="1">
      <c r="A460" s="44"/>
      <c r="B460" s="61"/>
    </row>
    <row r="461" ht="15.75" customHeight="1">
      <c r="A461" s="44"/>
      <c r="B461" s="61"/>
    </row>
    <row r="462" ht="15.75" customHeight="1">
      <c r="A462" s="44"/>
      <c r="B462" s="61"/>
    </row>
    <row r="463" ht="15.75" customHeight="1">
      <c r="A463" s="44"/>
      <c r="B463" s="61"/>
    </row>
    <row r="464" ht="15.75" customHeight="1">
      <c r="A464" s="44"/>
      <c r="B464" s="61"/>
    </row>
    <row r="465" ht="15.75" customHeight="1">
      <c r="A465" s="44"/>
      <c r="B465" s="61"/>
    </row>
    <row r="466" ht="15.75" customHeight="1">
      <c r="A466" s="44"/>
      <c r="B466" s="61"/>
    </row>
    <row r="467" ht="15.75" customHeight="1">
      <c r="A467" s="44"/>
      <c r="B467" s="61"/>
    </row>
    <row r="468" ht="15.75" customHeight="1">
      <c r="A468" s="44"/>
      <c r="B468" s="61"/>
    </row>
    <row r="469" ht="15.75" customHeight="1">
      <c r="A469" s="44"/>
      <c r="B469" s="61"/>
    </row>
    <row r="470" ht="15.75" customHeight="1">
      <c r="A470" s="44"/>
      <c r="B470" s="61"/>
    </row>
    <row r="471" ht="15.75" customHeight="1">
      <c r="A471" s="44"/>
      <c r="B471" s="61"/>
    </row>
    <row r="472" ht="15.75" customHeight="1">
      <c r="A472" s="44"/>
      <c r="B472" s="61"/>
    </row>
    <row r="473" ht="15.75" customHeight="1">
      <c r="A473" s="44"/>
      <c r="B473" s="61"/>
    </row>
    <row r="474" ht="15.75" customHeight="1">
      <c r="A474" s="44"/>
      <c r="B474" s="61"/>
    </row>
    <row r="475" ht="15.75" customHeight="1">
      <c r="A475" s="44"/>
      <c r="B475" s="61"/>
    </row>
    <row r="476" ht="15.75" customHeight="1">
      <c r="A476" s="44"/>
      <c r="B476" s="61"/>
    </row>
    <row r="477" ht="15.75" customHeight="1">
      <c r="A477" s="44"/>
      <c r="B477" s="61"/>
    </row>
    <row r="478" ht="15.75" customHeight="1">
      <c r="A478" s="44"/>
      <c r="B478" s="61"/>
    </row>
    <row r="479" ht="15.75" customHeight="1">
      <c r="A479" s="44"/>
      <c r="B479" s="61"/>
    </row>
    <row r="480" ht="15.75" customHeight="1">
      <c r="A480" s="44"/>
      <c r="B480" s="61"/>
    </row>
    <row r="481" ht="15.75" customHeight="1">
      <c r="A481" s="44"/>
      <c r="B481" s="61"/>
    </row>
    <row r="482" ht="15.75" customHeight="1">
      <c r="A482" s="44"/>
      <c r="B482" s="61"/>
    </row>
    <row r="483" ht="15.75" customHeight="1">
      <c r="A483" s="44"/>
      <c r="B483" s="61"/>
    </row>
    <row r="484" ht="15.75" customHeight="1">
      <c r="A484" s="44"/>
      <c r="B484" s="61"/>
    </row>
    <row r="485" ht="15.75" customHeight="1">
      <c r="A485" s="44"/>
      <c r="B485" s="61"/>
    </row>
    <row r="486" ht="15.75" customHeight="1">
      <c r="A486" s="44"/>
      <c r="B486" s="61"/>
    </row>
    <row r="487" ht="15.75" customHeight="1">
      <c r="A487" s="44"/>
      <c r="B487" s="61"/>
    </row>
    <row r="488" ht="15.75" customHeight="1">
      <c r="A488" s="44"/>
      <c r="B488" s="61"/>
    </row>
    <row r="489" ht="15.75" customHeight="1">
      <c r="A489" s="44"/>
      <c r="B489" s="61"/>
    </row>
    <row r="490" ht="15.75" customHeight="1">
      <c r="A490" s="44"/>
      <c r="B490" s="61"/>
    </row>
    <row r="491" ht="15.75" customHeight="1">
      <c r="A491" s="44"/>
      <c r="B491" s="61"/>
    </row>
    <row r="492" ht="15.75" customHeight="1">
      <c r="A492" s="44"/>
      <c r="B492" s="61"/>
    </row>
    <row r="493" ht="15.75" customHeight="1">
      <c r="A493" s="44"/>
      <c r="B493" s="61"/>
    </row>
    <row r="494" ht="15.75" customHeight="1">
      <c r="A494" s="44"/>
      <c r="B494" s="61"/>
    </row>
    <row r="495" ht="15.75" customHeight="1">
      <c r="A495" s="44"/>
      <c r="B495" s="61"/>
    </row>
    <row r="496" ht="15.75" customHeight="1">
      <c r="A496" s="44"/>
      <c r="B496" s="61"/>
    </row>
    <row r="497" ht="15.75" customHeight="1">
      <c r="A497" s="44"/>
      <c r="B497" s="61"/>
    </row>
    <row r="498" ht="15.75" customHeight="1">
      <c r="A498" s="44"/>
      <c r="B498" s="61"/>
    </row>
    <row r="499" ht="15.75" customHeight="1">
      <c r="A499" s="44"/>
      <c r="B499" s="61"/>
    </row>
    <row r="500" ht="15.75" customHeight="1">
      <c r="A500" s="44"/>
      <c r="B500" s="61"/>
    </row>
    <row r="501" ht="15.75" customHeight="1">
      <c r="A501" s="44"/>
      <c r="B501" s="61"/>
    </row>
    <row r="502" ht="15.75" customHeight="1">
      <c r="A502" s="44"/>
      <c r="B502" s="61"/>
    </row>
    <row r="503" ht="15.75" customHeight="1">
      <c r="A503" s="44"/>
      <c r="B503" s="61"/>
    </row>
    <row r="504" ht="15.75" customHeight="1">
      <c r="A504" s="44"/>
      <c r="B504" s="61"/>
    </row>
    <row r="505" ht="15.75" customHeight="1">
      <c r="A505" s="44"/>
      <c r="B505" s="61"/>
    </row>
    <row r="506" ht="15.75" customHeight="1">
      <c r="A506" s="44"/>
      <c r="B506" s="61"/>
    </row>
    <row r="507" ht="15.75" customHeight="1">
      <c r="A507" s="44"/>
      <c r="B507" s="61"/>
    </row>
    <row r="508" ht="15.75" customHeight="1">
      <c r="A508" s="44"/>
      <c r="B508" s="61"/>
    </row>
    <row r="509" ht="15.75" customHeight="1">
      <c r="A509" s="44"/>
      <c r="B509" s="61"/>
    </row>
    <row r="510" ht="15.75" customHeight="1">
      <c r="A510" s="44"/>
      <c r="B510" s="61"/>
    </row>
    <row r="511" ht="15.75" customHeight="1">
      <c r="A511" s="44"/>
      <c r="B511" s="61"/>
    </row>
    <row r="512" ht="15.75" customHeight="1">
      <c r="A512" s="44"/>
      <c r="B512" s="61"/>
    </row>
    <row r="513" ht="15.75" customHeight="1">
      <c r="A513" s="44"/>
      <c r="B513" s="61"/>
    </row>
    <row r="514" ht="15.75" customHeight="1">
      <c r="A514" s="44"/>
      <c r="B514" s="61"/>
    </row>
    <row r="515" ht="15.75" customHeight="1">
      <c r="A515" s="44"/>
      <c r="B515" s="61"/>
    </row>
    <row r="516" ht="15.75" customHeight="1">
      <c r="A516" s="44"/>
      <c r="B516" s="61"/>
    </row>
    <row r="517" ht="15.75" customHeight="1">
      <c r="A517" s="44"/>
      <c r="B517" s="61"/>
    </row>
    <row r="518" ht="15.75" customHeight="1">
      <c r="A518" s="44"/>
      <c r="B518" s="61"/>
    </row>
    <row r="519" ht="15.75" customHeight="1">
      <c r="A519" s="44"/>
      <c r="B519" s="61"/>
    </row>
    <row r="520" ht="15.75" customHeight="1">
      <c r="A520" s="44"/>
      <c r="B520" s="61"/>
    </row>
    <row r="521" ht="15.75" customHeight="1">
      <c r="A521" s="44"/>
      <c r="B521" s="61"/>
    </row>
    <row r="522" ht="15.75" customHeight="1">
      <c r="A522" s="44"/>
      <c r="B522" s="61"/>
    </row>
    <row r="523" ht="15.75" customHeight="1">
      <c r="A523" s="44"/>
      <c r="B523" s="61"/>
    </row>
    <row r="524" ht="15.75" customHeight="1">
      <c r="A524" s="44"/>
      <c r="B524" s="61"/>
    </row>
    <row r="525" ht="15.75" customHeight="1">
      <c r="A525" s="44"/>
      <c r="B525" s="61"/>
    </row>
    <row r="526" ht="15.75" customHeight="1">
      <c r="A526" s="44"/>
      <c r="B526" s="61"/>
    </row>
    <row r="527" ht="15.75" customHeight="1">
      <c r="A527" s="44"/>
      <c r="B527" s="61"/>
    </row>
    <row r="528" ht="15.75" customHeight="1">
      <c r="A528" s="44"/>
      <c r="B528" s="61"/>
    </row>
    <row r="529" ht="15.75" customHeight="1">
      <c r="A529" s="44"/>
      <c r="B529" s="61"/>
    </row>
    <row r="530" ht="15.75" customHeight="1">
      <c r="A530" s="44"/>
      <c r="B530" s="61"/>
    </row>
    <row r="531" ht="15.75" customHeight="1">
      <c r="A531" s="44"/>
      <c r="B531" s="61"/>
    </row>
    <row r="532" ht="15.75" customHeight="1">
      <c r="A532" s="44"/>
      <c r="B532" s="61"/>
    </row>
    <row r="533" ht="15.75" customHeight="1">
      <c r="A533" s="44"/>
      <c r="B533" s="61"/>
    </row>
    <row r="534" ht="15.75" customHeight="1">
      <c r="A534" s="44"/>
      <c r="B534" s="61"/>
    </row>
    <row r="535" ht="15.75" customHeight="1">
      <c r="A535" s="44"/>
      <c r="B535" s="61"/>
    </row>
    <row r="536" ht="15.75" customHeight="1">
      <c r="A536" s="44"/>
      <c r="B536" s="61"/>
    </row>
    <row r="537" ht="15.75" customHeight="1">
      <c r="A537" s="44"/>
      <c r="B537" s="61"/>
    </row>
    <row r="538" ht="15.75" customHeight="1">
      <c r="A538" s="44"/>
      <c r="B538" s="61"/>
    </row>
    <row r="539" ht="15.75" customHeight="1">
      <c r="A539" s="44"/>
      <c r="B539" s="61"/>
    </row>
    <row r="540" ht="15.75" customHeight="1">
      <c r="A540" s="44"/>
      <c r="B540" s="61"/>
    </row>
    <row r="541" ht="15.75" customHeight="1">
      <c r="A541" s="44"/>
      <c r="B541" s="61"/>
    </row>
    <row r="542" ht="15.75" customHeight="1">
      <c r="A542" s="44"/>
      <c r="B542" s="61"/>
    </row>
    <row r="543" ht="15.75" customHeight="1">
      <c r="A543" s="44"/>
      <c r="B543" s="61"/>
    </row>
    <row r="544" ht="15.75" customHeight="1">
      <c r="A544" s="44"/>
      <c r="B544" s="61"/>
    </row>
    <row r="545" ht="15.75" customHeight="1">
      <c r="A545" s="44"/>
      <c r="B545" s="61"/>
    </row>
    <row r="546" ht="15.75" customHeight="1">
      <c r="A546" s="44"/>
      <c r="B546" s="61"/>
    </row>
    <row r="547" ht="15.75" customHeight="1">
      <c r="A547" s="44"/>
      <c r="B547" s="61"/>
    </row>
    <row r="548" ht="15.75" customHeight="1">
      <c r="A548" s="44"/>
      <c r="B548" s="61"/>
    </row>
    <row r="549" ht="15.75" customHeight="1">
      <c r="A549" s="44"/>
      <c r="B549" s="61"/>
    </row>
    <row r="550" ht="15.75" customHeight="1">
      <c r="A550" s="44"/>
      <c r="B550" s="61"/>
    </row>
    <row r="551" ht="15.75" customHeight="1">
      <c r="A551" s="44"/>
      <c r="B551" s="61"/>
    </row>
    <row r="552" ht="15.75" customHeight="1">
      <c r="A552" s="44"/>
      <c r="B552" s="61"/>
    </row>
    <row r="553" ht="15.75" customHeight="1">
      <c r="A553" s="44"/>
      <c r="B553" s="61"/>
    </row>
    <row r="554" ht="15.75" customHeight="1">
      <c r="A554" s="44"/>
      <c r="B554" s="61"/>
    </row>
    <row r="555" ht="15.75" customHeight="1">
      <c r="A555" s="44"/>
      <c r="B555" s="61"/>
    </row>
    <row r="556" ht="15.75" customHeight="1">
      <c r="A556" s="44"/>
      <c r="B556" s="61"/>
    </row>
    <row r="557" ht="15.75" customHeight="1">
      <c r="A557" s="44"/>
      <c r="B557" s="61"/>
    </row>
    <row r="558" ht="15.75" customHeight="1">
      <c r="A558" s="44"/>
      <c r="B558" s="61"/>
    </row>
    <row r="559" ht="15.75" customHeight="1">
      <c r="A559" s="44"/>
      <c r="B559" s="61"/>
    </row>
    <row r="560" ht="15.75" customHeight="1">
      <c r="A560" s="44"/>
      <c r="B560" s="61"/>
    </row>
    <row r="561" ht="15.75" customHeight="1">
      <c r="A561" s="44"/>
      <c r="B561" s="61"/>
    </row>
    <row r="562" ht="15.75" customHeight="1">
      <c r="A562" s="44"/>
      <c r="B562" s="61"/>
    </row>
    <row r="563" ht="15.75" customHeight="1">
      <c r="A563" s="44"/>
      <c r="B563" s="61"/>
    </row>
    <row r="564" ht="15.75" customHeight="1">
      <c r="A564" s="44"/>
      <c r="B564" s="61"/>
    </row>
    <row r="565" ht="15.75" customHeight="1">
      <c r="A565" s="44"/>
      <c r="B565" s="61"/>
    </row>
    <row r="566" ht="15.75" customHeight="1">
      <c r="A566" s="44"/>
      <c r="B566" s="61"/>
    </row>
    <row r="567" ht="15.75" customHeight="1">
      <c r="A567" s="44"/>
      <c r="B567" s="61"/>
    </row>
    <row r="568" ht="15.75" customHeight="1">
      <c r="A568" s="44"/>
      <c r="B568" s="61"/>
    </row>
    <row r="569" ht="15.75" customHeight="1">
      <c r="A569" s="44"/>
      <c r="B569" s="61"/>
    </row>
    <row r="570" ht="15.75" customHeight="1">
      <c r="A570" s="44"/>
      <c r="B570" s="61"/>
    </row>
    <row r="571" ht="15.75" customHeight="1">
      <c r="A571" s="44"/>
      <c r="B571" s="61"/>
    </row>
    <row r="572" ht="15.75" customHeight="1">
      <c r="A572" s="44"/>
      <c r="B572" s="61"/>
    </row>
    <row r="573" ht="15.75" customHeight="1">
      <c r="A573" s="44"/>
      <c r="B573" s="61"/>
    </row>
    <row r="574" ht="15.75" customHeight="1">
      <c r="A574" s="44"/>
      <c r="B574" s="61"/>
    </row>
    <row r="575" ht="15.75" customHeight="1">
      <c r="A575" s="44"/>
      <c r="B575" s="61"/>
    </row>
    <row r="576" ht="15.75" customHeight="1">
      <c r="A576" s="44"/>
      <c r="B576" s="61"/>
    </row>
    <row r="577" ht="15.75" customHeight="1">
      <c r="A577" s="44"/>
      <c r="B577" s="61"/>
    </row>
    <row r="578" ht="15.75" customHeight="1">
      <c r="A578" s="44"/>
      <c r="B578" s="61"/>
    </row>
    <row r="579" ht="15.75" customHeight="1">
      <c r="A579" s="44"/>
      <c r="B579" s="61"/>
    </row>
    <row r="580" ht="15.75" customHeight="1">
      <c r="A580" s="44"/>
      <c r="B580" s="61"/>
    </row>
    <row r="581" ht="15.75" customHeight="1">
      <c r="A581" s="44"/>
      <c r="B581" s="61"/>
    </row>
    <row r="582" ht="15.75" customHeight="1">
      <c r="A582" s="44"/>
      <c r="B582" s="61"/>
    </row>
    <row r="583" ht="15.75" customHeight="1">
      <c r="A583" s="44"/>
      <c r="B583" s="61"/>
    </row>
    <row r="584" ht="15.75" customHeight="1">
      <c r="A584" s="44"/>
      <c r="B584" s="61"/>
    </row>
    <row r="585" ht="15.75" customHeight="1">
      <c r="A585" s="44"/>
      <c r="B585" s="61"/>
    </row>
    <row r="586" ht="15.75" customHeight="1">
      <c r="A586" s="44"/>
      <c r="B586" s="61"/>
    </row>
    <row r="587" ht="15.75" customHeight="1">
      <c r="A587" s="44"/>
      <c r="B587" s="61"/>
    </row>
    <row r="588" ht="15.75" customHeight="1">
      <c r="A588" s="44"/>
      <c r="B588" s="61"/>
    </row>
    <row r="589" ht="15.75" customHeight="1">
      <c r="A589" s="44"/>
      <c r="B589" s="61"/>
    </row>
    <row r="590" ht="15.75" customHeight="1">
      <c r="A590" s="44"/>
      <c r="B590" s="61"/>
    </row>
    <row r="591" ht="15.75" customHeight="1">
      <c r="A591" s="44"/>
      <c r="B591" s="61"/>
    </row>
    <row r="592" ht="15.75" customHeight="1">
      <c r="A592" s="44"/>
      <c r="B592" s="61"/>
    </row>
    <row r="593" ht="15.75" customHeight="1">
      <c r="A593" s="44"/>
      <c r="B593" s="61"/>
    </row>
    <row r="594" ht="15.75" customHeight="1">
      <c r="A594" s="44"/>
      <c r="B594" s="61"/>
    </row>
    <row r="595" ht="15.75" customHeight="1">
      <c r="A595" s="44"/>
      <c r="B595" s="61"/>
    </row>
    <row r="596" ht="15.75" customHeight="1">
      <c r="A596" s="44"/>
      <c r="B596" s="61"/>
    </row>
    <row r="597" ht="15.75" customHeight="1">
      <c r="A597" s="44"/>
      <c r="B597" s="61"/>
    </row>
    <row r="598" ht="15.75" customHeight="1">
      <c r="A598" s="44"/>
      <c r="B598" s="61"/>
    </row>
    <row r="599" ht="15.75" customHeight="1">
      <c r="A599" s="44"/>
      <c r="B599" s="61"/>
    </row>
    <row r="600" ht="15.75" customHeight="1">
      <c r="A600" s="44"/>
      <c r="B600" s="61"/>
    </row>
    <row r="601" ht="15.75" customHeight="1">
      <c r="A601" s="44"/>
      <c r="B601" s="61"/>
    </row>
    <row r="602" ht="15.75" customHeight="1">
      <c r="A602" s="44"/>
      <c r="B602" s="61"/>
    </row>
    <row r="603" ht="15.75" customHeight="1">
      <c r="A603" s="44"/>
      <c r="B603" s="61"/>
    </row>
    <row r="604" ht="15.75" customHeight="1">
      <c r="A604" s="44"/>
      <c r="B604" s="61"/>
    </row>
    <row r="605" ht="15.75" customHeight="1">
      <c r="A605" s="44"/>
      <c r="B605" s="61"/>
    </row>
    <row r="606" ht="15.75" customHeight="1">
      <c r="A606" s="44"/>
      <c r="B606" s="61"/>
    </row>
    <row r="607" ht="15.75" customHeight="1">
      <c r="A607" s="44"/>
      <c r="B607" s="61"/>
    </row>
    <row r="608" ht="15.75" customHeight="1">
      <c r="A608" s="44"/>
      <c r="B608" s="61"/>
    </row>
    <row r="609" ht="15.75" customHeight="1">
      <c r="A609" s="44"/>
      <c r="B609" s="61"/>
    </row>
    <row r="610" ht="15.75" customHeight="1">
      <c r="A610" s="44"/>
      <c r="B610" s="61"/>
    </row>
    <row r="611" ht="15.75" customHeight="1">
      <c r="A611" s="44"/>
      <c r="B611" s="61"/>
    </row>
    <row r="612" ht="15.75" customHeight="1">
      <c r="A612" s="44"/>
      <c r="B612" s="61"/>
    </row>
    <row r="613" ht="15.75" customHeight="1">
      <c r="A613" s="44"/>
      <c r="B613" s="61"/>
    </row>
    <row r="614" ht="15.75" customHeight="1">
      <c r="A614" s="44"/>
      <c r="B614" s="61"/>
    </row>
    <row r="615" ht="15.75" customHeight="1">
      <c r="A615" s="44"/>
      <c r="B615" s="61"/>
    </row>
    <row r="616" ht="15.75" customHeight="1">
      <c r="A616" s="44"/>
      <c r="B616" s="61"/>
    </row>
    <row r="617" ht="15.75" customHeight="1">
      <c r="A617" s="44"/>
      <c r="B617" s="61"/>
    </row>
    <row r="618" ht="15.75" customHeight="1">
      <c r="A618" s="44"/>
      <c r="B618" s="61"/>
    </row>
    <row r="619" ht="15.75" customHeight="1">
      <c r="A619" s="44"/>
      <c r="B619" s="61"/>
    </row>
    <row r="620" ht="15.75" customHeight="1">
      <c r="A620" s="44"/>
      <c r="B620" s="61"/>
    </row>
    <row r="621" ht="15.75" customHeight="1">
      <c r="A621" s="44"/>
      <c r="B621" s="61"/>
    </row>
    <row r="622" ht="15.75" customHeight="1">
      <c r="A622" s="44"/>
      <c r="B622" s="61"/>
    </row>
    <row r="623" ht="15.75" customHeight="1">
      <c r="A623" s="44"/>
      <c r="B623" s="61"/>
    </row>
    <row r="624" ht="15.75" customHeight="1">
      <c r="A624" s="44"/>
      <c r="B624" s="61"/>
    </row>
    <row r="625" ht="15.75" customHeight="1">
      <c r="A625" s="44"/>
      <c r="B625" s="61"/>
    </row>
    <row r="626" ht="15.75" customHeight="1">
      <c r="A626" s="44"/>
      <c r="B626" s="61"/>
    </row>
    <row r="627" ht="15.75" customHeight="1">
      <c r="A627" s="44"/>
      <c r="B627" s="61"/>
    </row>
    <row r="628" ht="15.75" customHeight="1">
      <c r="A628" s="44"/>
      <c r="B628" s="61"/>
    </row>
    <row r="629" ht="15.75" customHeight="1">
      <c r="A629" s="44"/>
      <c r="B629" s="61"/>
    </row>
    <row r="630" ht="15.75" customHeight="1">
      <c r="A630" s="44"/>
      <c r="B630" s="61"/>
    </row>
    <row r="631" ht="15.75" customHeight="1">
      <c r="A631" s="44"/>
      <c r="B631" s="61"/>
    </row>
    <row r="632" ht="15.75" customHeight="1">
      <c r="A632" s="44"/>
      <c r="B632" s="61"/>
    </row>
    <row r="633" ht="15.75" customHeight="1">
      <c r="A633" s="44"/>
      <c r="B633" s="61"/>
    </row>
    <row r="634" ht="15.75" customHeight="1">
      <c r="A634" s="44"/>
      <c r="B634" s="61"/>
    </row>
    <row r="635" ht="15.75" customHeight="1">
      <c r="A635" s="44"/>
      <c r="B635" s="61"/>
    </row>
    <row r="636" ht="15.75" customHeight="1">
      <c r="A636" s="44"/>
      <c r="B636" s="61"/>
    </row>
    <row r="637" ht="15.75" customHeight="1">
      <c r="A637" s="44"/>
      <c r="B637" s="61"/>
    </row>
    <row r="638" ht="15.75" customHeight="1">
      <c r="A638" s="44"/>
      <c r="B638" s="61"/>
    </row>
    <row r="639" ht="15.75" customHeight="1">
      <c r="A639" s="44"/>
      <c r="B639" s="61"/>
    </row>
    <row r="640" ht="15.75" customHeight="1">
      <c r="A640" s="44"/>
      <c r="B640" s="61"/>
    </row>
    <row r="641" ht="15.75" customHeight="1">
      <c r="A641" s="44"/>
      <c r="B641" s="61"/>
    </row>
    <row r="642" ht="15.75" customHeight="1">
      <c r="A642" s="44"/>
      <c r="B642" s="61"/>
    </row>
    <row r="643" ht="15.75" customHeight="1">
      <c r="A643" s="44"/>
      <c r="B643" s="61"/>
    </row>
    <row r="644" ht="15.75" customHeight="1">
      <c r="A644" s="44"/>
      <c r="B644" s="61"/>
    </row>
    <row r="645" ht="15.75" customHeight="1">
      <c r="A645" s="44"/>
      <c r="B645" s="61"/>
    </row>
    <row r="646" ht="15.75" customHeight="1">
      <c r="A646" s="44"/>
      <c r="B646" s="61"/>
    </row>
    <row r="647" ht="15.75" customHeight="1">
      <c r="A647" s="44"/>
      <c r="B647" s="61"/>
    </row>
    <row r="648" ht="15.75" customHeight="1">
      <c r="A648" s="44"/>
      <c r="B648" s="61"/>
    </row>
    <row r="649" ht="15.75" customHeight="1">
      <c r="A649" s="44"/>
      <c r="B649" s="61"/>
    </row>
    <row r="650" ht="15.75" customHeight="1">
      <c r="A650" s="44"/>
      <c r="B650" s="61"/>
    </row>
    <row r="651" ht="15.75" customHeight="1">
      <c r="A651" s="44"/>
      <c r="B651" s="61"/>
    </row>
    <row r="652" ht="15.75" customHeight="1">
      <c r="A652" s="44"/>
      <c r="B652" s="61"/>
    </row>
    <row r="653" ht="15.75" customHeight="1">
      <c r="A653" s="44"/>
      <c r="B653" s="61"/>
    </row>
    <row r="654" ht="15.75" customHeight="1">
      <c r="A654" s="44"/>
      <c r="B654" s="61"/>
    </row>
    <row r="655" ht="15.75" customHeight="1">
      <c r="A655" s="44"/>
      <c r="B655" s="61"/>
    </row>
    <row r="656" ht="15.75" customHeight="1">
      <c r="A656" s="44"/>
      <c r="B656" s="61"/>
    </row>
    <row r="657" ht="15.75" customHeight="1">
      <c r="A657" s="44"/>
      <c r="B657" s="61"/>
    </row>
    <row r="658" ht="15.75" customHeight="1">
      <c r="A658" s="44"/>
      <c r="B658" s="61"/>
    </row>
    <row r="659" ht="15.75" customHeight="1">
      <c r="A659" s="44"/>
      <c r="B659" s="61"/>
    </row>
    <row r="660" ht="15.75" customHeight="1">
      <c r="A660" s="44"/>
      <c r="B660" s="61"/>
    </row>
    <row r="661" ht="15.75" customHeight="1">
      <c r="A661" s="44"/>
      <c r="B661" s="61"/>
    </row>
    <row r="662" ht="15.75" customHeight="1">
      <c r="A662" s="44"/>
      <c r="B662" s="61"/>
    </row>
    <row r="663" ht="15.75" customHeight="1">
      <c r="A663" s="44"/>
      <c r="B663" s="61"/>
    </row>
    <row r="664" ht="15.75" customHeight="1">
      <c r="A664" s="44"/>
      <c r="B664" s="61"/>
    </row>
    <row r="665" ht="15.75" customHeight="1">
      <c r="A665" s="44"/>
      <c r="B665" s="61"/>
    </row>
    <row r="666" ht="15.75" customHeight="1">
      <c r="A666" s="44"/>
      <c r="B666" s="61"/>
    </row>
    <row r="667" ht="15.75" customHeight="1">
      <c r="A667" s="44"/>
      <c r="B667" s="61"/>
    </row>
    <row r="668" ht="15.75" customHeight="1">
      <c r="A668" s="44"/>
      <c r="B668" s="61"/>
    </row>
    <row r="669" ht="15.75" customHeight="1">
      <c r="A669" s="44"/>
      <c r="B669" s="61"/>
    </row>
    <row r="670" ht="15.75" customHeight="1">
      <c r="A670" s="44"/>
      <c r="B670" s="61"/>
    </row>
    <row r="671" ht="15.75" customHeight="1">
      <c r="A671" s="44"/>
      <c r="B671" s="61"/>
    </row>
    <row r="672" ht="15.75" customHeight="1">
      <c r="A672" s="44"/>
      <c r="B672" s="61"/>
    </row>
    <row r="673" ht="15.75" customHeight="1">
      <c r="A673" s="44"/>
      <c r="B673" s="61"/>
    </row>
    <row r="674" ht="15.75" customHeight="1">
      <c r="A674" s="44"/>
      <c r="B674" s="61"/>
    </row>
    <row r="675" ht="15.75" customHeight="1">
      <c r="A675" s="44"/>
      <c r="B675" s="61"/>
    </row>
    <row r="676" ht="15.75" customHeight="1">
      <c r="A676" s="44"/>
      <c r="B676" s="61"/>
    </row>
    <row r="677" ht="15.75" customHeight="1">
      <c r="A677" s="44"/>
      <c r="B677" s="61"/>
    </row>
    <row r="678" ht="15.75" customHeight="1">
      <c r="A678" s="44"/>
      <c r="B678" s="61"/>
    </row>
    <row r="679" ht="15.75" customHeight="1">
      <c r="A679" s="44"/>
      <c r="B679" s="61"/>
    </row>
    <row r="680" ht="15.75" customHeight="1">
      <c r="A680" s="44"/>
      <c r="B680" s="61"/>
    </row>
    <row r="681" ht="15.75" customHeight="1">
      <c r="A681" s="44"/>
      <c r="B681" s="61"/>
    </row>
    <row r="682" ht="15.75" customHeight="1">
      <c r="A682" s="44"/>
      <c r="B682" s="61"/>
    </row>
    <row r="683" ht="15.75" customHeight="1">
      <c r="A683" s="44"/>
      <c r="B683" s="61"/>
    </row>
    <row r="684" ht="15.75" customHeight="1">
      <c r="A684" s="44"/>
      <c r="B684" s="61"/>
    </row>
    <row r="685" ht="15.75" customHeight="1">
      <c r="A685" s="44"/>
      <c r="B685" s="61"/>
    </row>
    <row r="686" ht="15.75" customHeight="1">
      <c r="A686" s="44"/>
      <c r="B686" s="61"/>
    </row>
    <row r="687" ht="15.75" customHeight="1">
      <c r="A687" s="44"/>
      <c r="B687" s="61"/>
    </row>
    <row r="688" ht="15.75" customHeight="1">
      <c r="A688" s="44"/>
      <c r="B688" s="61"/>
    </row>
    <row r="689" ht="15.75" customHeight="1">
      <c r="A689" s="44"/>
      <c r="B689" s="61"/>
    </row>
    <row r="690" ht="15.75" customHeight="1">
      <c r="A690" s="44"/>
      <c r="B690" s="61"/>
    </row>
    <row r="691" ht="15.75" customHeight="1">
      <c r="A691" s="44"/>
      <c r="B691" s="61"/>
    </row>
    <row r="692" ht="15.75" customHeight="1">
      <c r="A692" s="44"/>
      <c r="B692" s="61"/>
    </row>
    <row r="693" ht="15.75" customHeight="1">
      <c r="A693" s="44"/>
      <c r="B693" s="61"/>
    </row>
    <row r="694" ht="15.75" customHeight="1">
      <c r="A694" s="44"/>
      <c r="B694" s="61"/>
    </row>
    <row r="695" ht="15.75" customHeight="1">
      <c r="A695" s="44"/>
      <c r="B695" s="61"/>
    </row>
    <row r="696" ht="15.75" customHeight="1">
      <c r="A696" s="44"/>
      <c r="B696" s="61"/>
    </row>
    <row r="697" ht="15.75" customHeight="1">
      <c r="A697" s="44"/>
      <c r="B697" s="61"/>
    </row>
    <row r="698" ht="15.75" customHeight="1">
      <c r="A698" s="44"/>
      <c r="B698" s="61"/>
    </row>
    <row r="699" ht="15.75" customHeight="1">
      <c r="A699" s="44"/>
      <c r="B699" s="61"/>
    </row>
    <row r="700" ht="15.75" customHeight="1">
      <c r="A700" s="44"/>
      <c r="B700" s="61"/>
    </row>
    <row r="701" ht="15.75" customHeight="1">
      <c r="A701" s="44"/>
      <c r="B701" s="61"/>
    </row>
    <row r="702" ht="15.75" customHeight="1">
      <c r="A702" s="44"/>
      <c r="B702" s="61"/>
    </row>
    <row r="703" ht="15.75" customHeight="1">
      <c r="A703" s="44"/>
      <c r="B703" s="61"/>
    </row>
    <row r="704" ht="15.75" customHeight="1">
      <c r="A704" s="44"/>
      <c r="B704" s="61"/>
    </row>
    <row r="705" ht="15.75" customHeight="1">
      <c r="A705" s="44"/>
      <c r="B705" s="61"/>
    </row>
    <row r="706" ht="15.75" customHeight="1">
      <c r="A706" s="44"/>
      <c r="B706" s="61"/>
    </row>
    <row r="707" ht="15.75" customHeight="1">
      <c r="A707" s="44"/>
      <c r="B707" s="61"/>
    </row>
    <row r="708" ht="15.75" customHeight="1">
      <c r="A708" s="44"/>
      <c r="B708" s="61"/>
    </row>
    <row r="709" ht="15.75" customHeight="1">
      <c r="A709" s="44"/>
      <c r="B709" s="61"/>
    </row>
    <row r="710" ht="15.75" customHeight="1">
      <c r="A710" s="44"/>
      <c r="B710" s="61"/>
    </row>
    <row r="711" ht="15.75" customHeight="1">
      <c r="A711" s="44"/>
      <c r="B711" s="61"/>
    </row>
    <row r="712" ht="15.75" customHeight="1">
      <c r="A712" s="44"/>
      <c r="B712" s="61"/>
    </row>
    <row r="713" ht="15.75" customHeight="1">
      <c r="A713" s="44"/>
      <c r="B713" s="61"/>
    </row>
    <row r="714" ht="15.75" customHeight="1">
      <c r="A714" s="44"/>
      <c r="B714" s="61"/>
    </row>
    <row r="715" ht="15.75" customHeight="1">
      <c r="A715" s="44"/>
      <c r="B715" s="61"/>
    </row>
    <row r="716" ht="15.75" customHeight="1">
      <c r="A716" s="44"/>
      <c r="B716" s="61"/>
    </row>
    <row r="717" ht="15.75" customHeight="1">
      <c r="A717" s="44"/>
      <c r="B717" s="61"/>
    </row>
    <row r="718" ht="15.75" customHeight="1">
      <c r="A718" s="44"/>
      <c r="B718" s="61"/>
    </row>
    <row r="719" ht="15.75" customHeight="1">
      <c r="A719" s="44"/>
      <c r="B719" s="61"/>
    </row>
    <row r="720" ht="15.75" customHeight="1">
      <c r="A720" s="44"/>
      <c r="B720" s="61"/>
    </row>
    <row r="721" ht="15.75" customHeight="1">
      <c r="A721" s="44"/>
      <c r="B721" s="61"/>
    </row>
    <row r="722" ht="15.75" customHeight="1">
      <c r="A722" s="44"/>
      <c r="B722" s="61"/>
    </row>
    <row r="723" ht="15.75" customHeight="1">
      <c r="A723" s="44"/>
      <c r="B723" s="61"/>
    </row>
    <row r="724" ht="15.75" customHeight="1">
      <c r="A724" s="44"/>
      <c r="B724" s="61"/>
    </row>
    <row r="725" ht="15.75" customHeight="1">
      <c r="A725" s="44"/>
      <c r="B725" s="61"/>
    </row>
    <row r="726" ht="15.75" customHeight="1">
      <c r="A726" s="44"/>
      <c r="B726" s="61"/>
    </row>
    <row r="727" ht="15.75" customHeight="1">
      <c r="A727" s="44"/>
      <c r="B727" s="61"/>
    </row>
    <row r="728" ht="15.75" customHeight="1">
      <c r="A728" s="44"/>
      <c r="B728" s="61"/>
    </row>
    <row r="729" ht="15.75" customHeight="1">
      <c r="A729" s="44"/>
      <c r="B729" s="61"/>
    </row>
    <row r="730" ht="15.75" customHeight="1">
      <c r="A730" s="44"/>
      <c r="B730" s="61"/>
    </row>
    <row r="731" ht="15.75" customHeight="1">
      <c r="A731" s="44"/>
      <c r="B731" s="61"/>
    </row>
    <row r="732" ht="15.75" customHeight="1">
      <c r="A732" s="44"/>
      <c r="B732" s="61"/>
    </row>
    <row r="733" ht="15.75" customHeight="1">
      <c r="A733" s="44"/>
      <c r="B733" s="61"/>
    </row>
    <row r="734" ht="15.75" customHeight="1">
      <c r="A734" s="44"/>
      <c r="B734" s="61"/>
    </row>
    <row r="735" ht="15.75" customHeight="1">
      <c r="A735" s="44"/>
      <c r="B735" s="61"/>
    </row>
    <row r="736" ht="15.75" customHeight="1">
      <c r="A736" s="44"/>
      <c r="B736" s="61"/>
    </row>
    <row r="737" ht="15.75" customHeight="1">
      <c r="A737" s="44"/>
      <c r="B737" s="61"/>
    </row>
    <row r="738" ht="15.75" customHeight="1">
      <c r="A738" s="44"/>
      <c r="B738" s="61"/>
    </row>
    <row r="739" ht="15.75" customHeight="1">
      <c r="A739" s="44"/>
      <c r="B739" s="61"/>
    </row>
    <row r="740" ht="15.75" customHeight="1">
      <c r="A740" s="44"/>
      <c r="B740" s="61"/>
    </row>
    <row r="741" ht="15.75" customHeight="1">
      <c r="A741" s="44"/>
      <c r="B741" s="61"/>
    </row>
    <row r="742" ht="15.75" customHeight="1">
      <c r="A742" s="44"/>
      <c r="B742" s="61"/>
    </row>
    <row r="743" ht="15.75" customHeight="1">
      <c r="A743" s="44"/>
      <c r="B743" s="61"/>
    </row>
    <row r="744" ht="15.75" customHeight="1">
      <c r="A744" s="44"/>
      <c r="B744" s="61"/>
    </row>
    <row r="745" ht="15.75" customHeight="1">
      <c r="A745" s="44"/>
      <c r="B745" s="61"/>
    </row>
    <row r="746" ht="15.75" customHeight="1">
      <c r="A746" s="44"/>
      <c r="B746" s="61"/>
    </row>
    <row r="747" ht="15.75" customHeight="1">
      <c r="A747" s="44"/>
      <c r="B747" s="61"/>
    </row>
    <row r="748" ht="15.75" customHeight="1">
      <c r="A748" s="44"/>
      <c r="B748" s="61"/>
    </row>
    <row r="749" ht="15.75" customHeight="1">
      <c r="A749" s="44"/>
      <c r="B749" s="61"/>
    </row>
    <row r="750" ht="15.75" customHeight="1">
      <c r="A750" s="44"/>
      <c r="B750" s="61"/>
    </row>
    <row r="751" ht="15.75" customHeight="1">
      <c r="A751" s="44"/>
      <c r="B751" s="61"/>
    </row>
    <row r="752" ht="15.75" customHeight="1">
      <c r="A752" s="44"/>
      <c r="B752" s="61"/>
    </row>
    <row r="753" ht="15.75" customHeight="1">
      <c r="A753" s="44"/>
      <c r="B753" s="61"/>
    </row>
    <row r="754" ht="15.75" customHeight="1">
      <c r="A754" s="44"/>
      <c r="B754" s="61"/>
    </row>
    <row r="755" ht="15.75" customHeight="1">
      <c r="A755" s="44"/>
      <c r="B755" s="61"/>
    </row>
    <row r="756" ht="15.75" customHeight="1">
      <c r="A756" s="44"/>
      <c r="B756" s="61"/>
    </row>
    <row r="757" ht="15.75" customHeight="1">
      <c r="A757" s="44"/>
      <c r="B757" s="61"/>
    </row>
    <row r="758" ht="15.75" customHeight="1">
      <c r="A758" s="44"/>
      <c r="B758" s="61"/>
    </row>
    <row r="759" ht="15.75" customHeight="1">
      <c r="A759" s="44"/>
      <c r="B759" s="61"/>
    </row>
    <row r="760" ht="15.75" customHeight="1">
      <c r="A760" s="44"/>
      <c r="B760" s="61"/>
    </row>
    <row r="761" ht="15.75" customHeight="1">
      <c r="A761" s="44"/>
      <c r="B761" s="61"/>
    </row>
    <row r="762" ht="15.75" customHeight="1">
      <c r="A762" s="44"/>
      <c r="B762" s="61"/>
    </row>
    <row r="763" ht="15.75" customHeight="1">
      <c r="A763" s="44"/>
      <c r="B763" s="61"/>
    </row>
    <row r="764" ht="15.75" customHeight="1">
      <c r="A764" s="44"/>
      <c r="B764" s="61"/>
    </row>
    <row r="765" ht="15.75" customHeight="1">
      <c r="A765" s="44"/>
      <c r="B765" s="61"/>
    </row>
    <row r="766" ht="15.75" customHeight="1">
      <c r="A766" s="44"/>
      <c r="B766" s="61"/>
    </row>
    <row r="767" ht="15.75" customHeight="1">
      <c r="A767" s="44"/>
      <c r="B767" s="61"/>
    </row>
    <row r="768" ht="15.75" customHeight="1">
      <c r="A768" s="44"/>
      <c r="B768" s="61"/>
    </row>
    <row r="769" ht="15.75" customHeight="1">
      <c r="A769" s="44"/>
      <c r="B769" s="61"/>
    </row>
    <row r="770" ht="15.75" customHeight="1">
      <c r="A770" s="44"/>
      <c r="B770" s="61"/>
    </row>
    <row r="771" ht="15.75" customHeight="1">
      <c r="A771" s="44"/>
      <c r="B771" s="61"/>
    </row>
    <row r="772" ht="15.75" customHeight="1">
      <c r="A772" s="44"/>
      <c r="B772" s="61"/>
    </row>
    <row r="773" ht="15.75" customHeight="1">
      <c r="A773" s="44"/>
      <c r="B773" s="61"/>
    </row>
    <row r="774" ht="15.75" customHeight="1">
      <c r="A774" s="44"/>
      <c r="B774" s="61"/>
    </row>
    <row r="775" ht="15.75" customHeight="1">
      <c r="A775" s="44"/>
      <c r="B775" s="61"/>
    </row>
    <row r="776" ht="15.75" customHeight="1">
      <c r="A776" s="44"/>
      <c r="B776" s="61"/>
    </row>
    <row r="777" ht="15.75" customHeight="1">
      <c r="A777" s="44"/>
      <c r="B777" s="61"/>
    </row>
    <row r="778" ht="15.75" customHeight="1">
      <c r="A778" s="44"/>
      <c r="B778" s="61"/>
    </row>
    <row r="779" ht="15.75" customHeight="1">
      <c r="A779" s="44"/>
      <c r="B779" s="61"/>
    </row>
    <row r="780" ht="15.75" customHeight="1">
      <c r="A780" s="44"/>
      <c r="B780" s="61"/>
    </row>
    <row r="781" ht="15.75" customHeight="1">
      <c r="A781" s="44"/>
      <c r="B781" s="61"/>
    </row>
    <row r="782" ht="15.75" customHeight="1">
      <c r="A782" s="44"/>
      <c r="B782" s="61"/>
    </row>
    <row r="783" ht="15.75" customHeight="1">
      <c r="A783" s="44"/>
      <c r="B783" s="61"/>
    </row>
    <row r="784" ht="15.75" customHeight="1">
      <c r="A784" s="44"/>
      <c r="B784" s="61"/>
    </row>
    <row r="785" ht="15.75" customHeight="1">
      <c r="A785" s="44"/>
      <c r="B785" s="61"/>
    </row>
    <row r="786" ht="15.75" customHeight="1">
      <c r="A786" s="44"/>
      <c r="B786" s="61"/>
    </row>
    <row r="787" ht="15.75" customHeight="1">
      <c r="A787" s="44"/>
      <c r="B787" s="61"/>
    </row>
    <row r="788" ht="15.75" customHeight="1">
      <c r="A788" s="44"/>
      <c r="B788" s="61"/>
    </row>
    <row r="789" ht="15.75" customHeight="1">
      <c r="A789" s="44"/>
      <c r="B789" s="61"/>
    </row>
    <row r="790" ht="15.75" customHeight="1">
      <c r="A790" s="44"/>
      <c r="B790" s="61"/>
    </row>
    <row r="791" ht="15.75" customHeight="1">
      <c r="A791" s="44"/>
      <c r="B791" s="61"/>
    </row>
    <row r="792" ht="15.75" customHeight="1">
      <c r="A792" s="44"/>
      <c r="B792" s="61"/>
    </row>
    <row r="793" ht="15.75" customHeight="1">
      <c r="A793" s="44"/>
      <c r="B793" s="61"/>
    </row>
    <row r="794" ht="15.75" customHeight="1">
      <c r="A794" s="44"/>
      <c r="B794" s="61"/>
    </row>
    <row r="795" ht="15.75" customHeight="1">
      <c r="A795" s="44"/>
      <c r="B795" s="61"/>
    </row>
    <row r="796" ht="15.75" customHeight="1">
      <c r="A796" s="44"/>
      <c r="B796" s="61"/>
    </row>
    <row r="797" ht="15.75" customHeight="1">
      <c r="A797" s="44"/>
      <c r="B797" s="61"/>
    </row>
    <row r="798" ht="15.75" customHeight="1">
      <c r="A798" s="44"/>
      <c r="B798" s="61"/>
    </row>
    <row r="799" ht="15.75" customHeight="1">
      <c r="A799" s="44"/>
      <c r="B799" s="61"/>
    </row>
    <row r="800" ht="15.75" customHeight="1">
      <c r="A800" s="44"/>
      <c r="B800" s="61"/>
    </row>
    <row r="801" ht="15.75" customHeight="1">
      <c r="A801" s="44"/>
      <c r="B801" s="61"/>
    </row>
    <row r="802" ht="15.75" customHeight="1">
      <c r="A802" s="44"/>
      <c r="B802" s="61"/>
    </row>
    <row r="803" ht="15.75" customHeight="1">
      <c r="A803" s="44"/>
      <c r="B803" s="61"/>
    </row>
    <row r="804" ht="15.75" customHeight="1">
      <c r="A804" s="44"/>
      <c r="B804" s="61"/>
    </row>
    <row r="805" ht="15.75" customHeight="1">
      <c r="A805" s="44"/>
      <c r="B805" s="61"/>
    </row>
    <row r="806" ht="15.75" customHeight="1">
      <c r="A806" s="44"/>
      <c r="B806" s="61"/>
    </row>
    <row r="807" ht="15.75" customHeight="1">
      <c r="A807" s="44"/>
      <c r="B807" s="61"/>
    </row>
    <row r="808" ht="15.75" customHeight="1">
      <c r="A808" s="44"/>
      <c r="B808" s="61"/>
    </row>
    <row r="809" ht="15.75" customHeight="1">
      <c r="A809" s="44"/>
      <c r="B809" s="61"/>
    </row>
    <row r="810" ht="15.75" customHeight="1">
      <c r="A810" s="44"/>
      <c r="B810" s="61"/>
    </row>
    <row r="811" ht="15.75" customHeight="1">
      <c r="A811" s="44"/>
      <c r="B811" s="61"/>
    </row>
    <row r="812" ht="15.75" customHeight="1">
      <c r="A812" s="44"/>
      <c r="B812" s="61"/>
    </row>
    <row r="813" ht="15.75" customHeight="1">
      <c r="A813" s="44"/>
      <c r="B813" s="61"/>
    </row>
    <row r="814" ht="15.75" customHeight="1">
      <c r="A814" s="44"/>
      <c r="B814" s="61"/>
    </row>
    <row r="815" ht="15.75" customHeight="1">
      <c r="A815" s="44"/>
      <c r="B815" s="61"/>
    </row>
    <row r="816" ht="15.75" customHeight="1">
      <c r="A816" s="44"/>
      <c r="B816" s="61"/>
    </row>
    <row r="817" ht="15.75" customHeight="1">
      <c r="A817" s="44"/>
      <c r="B817" s="61"/>
    </row>
    <row r="818" ht="15.75" customHeight="1">
      <c r="A818" s="44"/>
      <c r="B818" s="61"/>
    </row>
    <row r="819" ht="15.75" customHeight="1">
      <c r="A819" s="44"/>
      <c r="B819" s="61"/>
    </row>
    <row r="820" ht="15.75" customHeight="1">
      <c r="A820" s="44"/>
      <c r="B820" s="61"/>
    </row>
    <row r="821" ht="15.75" customHeight="1">
      <c r="A821" s="44"/>
      <c r="B821" s="61"/>
    </row>
    <row r="822" ht="15.75" customHeight="1">
      <c r="A822" s="44"/>
      <c r="B822" s="61"/>
    </row>
    <row r="823" ht="15.75" customHeight="1">
      <c r="A823" s="44"/>
      <c r="B823" s="61"/>
    </row>
    <row r="824" ht="15.75" customHeight="1">
      <c r="A824" s="44"/>
      <c r="B824" s="61"/>
    </row>
    <row r="825" ht="15.75" customHeight="1">
      <c r="A825" s="44"/>
      <c r="B825" s="61"/>
    </row>
    <row r="826" ht="15.75" customHeight="1">
      <c r="A826" s="44"/>
      <c r="B826" s="61"/>
    </row>
    <row r="827" ht="15.75" customHeight="1">
      <c r="A827" s="44"/>
      <c r="B827" s="61"/>
    </row>
    <row r="828" ht="15.75" customHeight="1">
      <c r="A828" s="44"/>
      <c r="B828" s="61"/>
    </row>
    <row r="829" ht="15.75" customHeight="1">
      <c r="A829" s="44"/>
      <c r="B829" s="61"/>
    </row>
    <row r="830" ht="15.75" customHeight="1">
      <c r="A830" s="44"/>
      <c r="B830" s="61"/>
    </row>
    <row r="831" ht="15.75" customHeight="1">
      <c r="A831" s="44"/>
      <c r="B831" s="61"/>
    </row>
    <row r="832" ht="15.75" customHeight="1">
      <c r="A832" s="44"/>
      <c r="B832" s="61"/>
    </row>
    <row r="833" ht="15.75" customHeight="1">
      <c r="A833" s="44"/>
      <c r="B833" s="61"/>
    </row>
    <row r="834" ht="15.75" customHeight="1">
      <c r="A834" s="44"/>
      <c r="B834" s="61"/>
    </row>
    <row r="835" ht="15.75" customHeight="1">
      <c r="A835" s="44"/>
      <c r="B835" s="61"/>
    </row>
    <row r="836" ht="15.75" customHeight="1">
      <c r="A836" s="44"/>
      <c r="B836" s="61"/>
    </row>
    <row r="837" ht="15.75" customHeight="1">
      <c r="A837" s="44"/>
      <c r="B837" s="61"/>
    </row>
    <row r="838" ht="15.75" customHeight="1">
      <c r="A838" s="44"/>
      <c r="B838" s="61"/>
    </row>
    <row r="839" ht="15.75" customHeight="1">
      <c r="A839" s="44"/>
      <c r="B839" s="61"/>
    </row>
    <row r="840" ht="15.75" customHeight="1">
      <c r="A840" s="44"/>
      <c r="B840" s="61"/>
    </row>
    <row r="841" ht="15.75" customHeight="1">
      <c r="A841" s="44"/>
      <c r="B841" s="61"/>
    </row>
    <row r="842" ht="15.75" customHeight="1">
      <c r="A842" s="44"/>
      <c r="B842" s="61"/>
    </row>
    <row r="843" ht="15.75" customHeight="1">
      <c r="A843" s="44"/>
      <c r="B843" s="61"/>
    </row>
    <row r="844" ht="15.75" customHeight="1">
      <c r="A844" s="44"/>
      <c r="B844" s="61"/>
    </row>
    <row r="845" ht="15.75" customHeight="1">
      <c r="A845" s="44"/>
      <c r="B845" s="61"/>
    </row>
    <row r="846" ht="15.75" customHeight="1">
      <c r="A846" s="44"/>
      <c r="B846" s="61"/>
    </row>
    <row r="847" ht="15.75" customHeight="1">
      <c r="A847" s="44"/>
      <c r="B847" s="61"/>
    </row>
    <row r="848" ht="15.75" customHeight="1">
      <c r="A848" s="44"/>
      <c r="B848" s="61"/>
    </row>
    <row r="849" ht="15.75" customHeight="1">
      <c r="A849" s="44"/>
      <c r="B849" s="61"/>
    </row>
    <row r="850" ht="15.75" customHeight="1">
      <c r="A850" s="44"/>
      <c r="B850" s="61"/>
    </row>
    <row r="851" ht="15.75" customHeight="1">
      <c r="A851" s="44"/>
      <c r="B851" s="61"/>
    </row>
    <row r="852" ht="15.75" customHeight="1">
      <c r="A852" s="44"/>
      <c r="B852" s="61"/>
    </row>
    <row r="853" ht="15.75" customHeight="1">
      <c r="A853" s="44"/>
      <c r="B853" s="61"/>
    </row>
    <row r="854" ht="15.75" customHeight="1">
      <c r="A854" s="44"/>
      <c r="B854" s="61"/>
    </row>
    <row r="855" ht="15.75" customHeight="1">
      <c r="A855" s="44"/>
      <c r="B855" s="61"/>
    </row>
    <row r="856" ht="15.75" customHeight="1">
      <c r="A856" s="44"/>
      <c r="B856" s="61"/>
    </row>
    <row r="857" ht="15.75" customHeight="1">
      <c r="A857" s="44"/>
      <c r="B857" s="61"/>
    </row>
    <row r="858" ht="15.75" customHeight="1">
      <c r="A858" s="44"/>
      <c r="B858" s="61"/>
    </row>
    <row r="859" ht="15.75" customHeight="1">
      <c r="A859" s="44"/>
      <c r="B859" s="61"/>
    </row>
    <row r="860" ht="15.75" customHeight="1">
      <c r="A860" s="44"/>
      <c r="B860" s="61"/>
    </row>
    <row r="861" ht="15.75" customHeight="1">
      <c r="A861" s="44"/>
      <c r="B861" s="61"/>
    </row>
    <row r="862" ht="15.75" customHeight="1">
      <c r="A862" s="44"/>
      <c r="B862" s="61"/>
    </row>
    <row r="863" ht="15.75" customHeight="1">
      <c r="A863" s="44"/>
      <c r="B863" s="61"/>
    </row>
    <row r="864" ht="15.75" customHeight="1">
      <c r="A864" s="44"/>
      <c r="B864" s="61"/>
    </row>
    <row r="865" ht="15.75" customHeight="1">
      <c r="A865" s="44"/>
      <c r="B865" s="61"/>
    </row>
    <row r="866" ht="15.75" customHeight="1">
      <c r="A866" s="44"/>
      <c r="B866" s="61"/>
    </row>
    <row r="867" ht="15.75" customHeight="1">
      <c r="A867" s="44"/>
      <c r="B867" s="61"/>
    </row>
    <row r="868" ht="15.75" customHeight="1">
      <c r="A868" s="44"/>
      <c r="B868" s="61"/>
    </row>
    <row r="869" ht="15.75" customHeight="1">
      <c r="A869" s="44"/>
      <c r="B869" s="61"/>
    </row>
    <row r="870" ht="15.75" customHeight="1">
      <c r="A870" s="44"/>
      <c r="B870" s="61"/>
    </row>
    <row r="871" ht="15.75" customHeight="1">
      <c r="A871" s="44"/>
      <c r="B871" s="61"/>
    </row>
    <row r="872" ht="15.75" customHeight="1">
      <c r="A872" s="44"/>
      <c r="B872" s="61"/>
    </row>
    <row r="873" ht="15.75" customHeight="1">
      <c r="A873" s="44"/>
      <c r="B873" s="61"/>
    </row>
    <row r="874" ht="15.75" customHeight="1">
      <c r="A874" s="44"/>
      <c r="B874" s="61"/>
    </row>
    <row r="875" ht="15.75" customHeight="1">
      <c r="A875" s="44"/>
      <c r="B875" s="61"/>
    </row>
    <row r="876" ht="15.75" customHeight="1">
      <c r="A876" s="44"/>
      <c r="B876" s="61"/>
    </row>
    <row r="877" ht="15.75" customHeight="1">
      <c r="A877" s="44"/>
      <c r="B877" s="61"/>
    </row>
    <row r="878" ht="15.75" customHeight="1">
      <c r="A878" s="44"/>
      <c r="B878" s="61"/>
    </row>
    <row r="879" ht="15.75" customHeight="1">
      <c r="A879" s="44"/>
      <c r="B879" s="61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25"/>
    <col customWidth="1" min="2" max="2" width="19.88"/>
    <col customWidth="1" min="3" max="6" width="7.63"/>
    <col customWidth="1" min="7" max="7" width="22.13"/>
    <col customWidth="1" min="8" max="8" width="17.25"/>
  </cols>
  <sheetData>
    <row r="1" ht="15.75" customHeight="1">
      <c r="A1" s="65" t="s">
        <v>538</v>
      </c>
      <c r="B1" s="66" t="s">
        <v>58</v>
      </c>
      <c r="G1" s="67" t="s">
        <v>538</v>
      </c>
      <c r="H1" s="67" t="s">
        <v>539</v>
      </c>
    </row>
    <row r="2" ht="15.75" customHeight="1">
      <c r="A2" s="68" t="str">
        <f>IFERROR(__xludf.DUMMYFUNCTION("FILTER('Master Codes'!A1:B889,'Master Codes'!C:C=""Circles"")"),"Cu - 0.8mm - 8.50""")</f>
        <v>Cu - 0.8mm - 8.50"</v>
      </c>
      <c r="B2" s="69" t="str">
        <f>IFERROR(__xludf.DUMMYFUNCTION("""COMPUTED_VALUE"""),"JSL204-08-850")</f>
        <v>JSL204-08-850</v>
      </c>
      <c r="G2" s="70" t="s">
        <v>99</v>
      </c>
      <c r="H2" s="71">
        <v>0.239</v>
      </c>
    </row>
    <row r="3" ht="15.75" customHeight="1">
      <c r="A3" s="68" t="str">
        <f>IFERROR(__xludf.DUMMYFUNCTION("""COMPUTED_VALUE"""),"Cu - 0.8mm - 8.25""")</f>
        <v>Cu - 0.8mm - 8.25"</v>
      </c>
      <c r="B3" s="69" t="str">
        <f>IFERROR(__xludf.DUMMYFUNCTION("""COMPUTED_VALUE"""),"JSL204-08-825")</f>
        <v>JSL204-08-825</v>
      </c>
      <c r="G3" s="70" t="s">
        <v>109</v>
      </c>
      <c r="H3" s="71">
        <v>0.183</v>
      </c>
    </row>
    <row r="4" ht="15.75" customHeight="1">
      <c r="A4" s="68" t="str">
        <f>IFERROR(__xludf.DUMMYFUNCTION("""COMPUTED_VALUE"""),"Cu - 0.8mm - 9.00""")</f>
        <v>Cu - 0.8mm - 9.00"</v>
      </c>
      <c r="B4" s="69" t="str">
        <f>IFERROR(__xludf.DUMMYFUNCTION("""COMPUTED_VALUE"""),"JSL204-08-900")</f>
        <v>JSL204-08-900</v>
      </c>
      <c r="G4" s="70" t="s">
        <v>107</v>
      </c>
      <c r="H4" s="71">
        <v>0.126</v>
      </c>
    </row>
    <row r="5" ht="15.75" customHeight="1">
      <c r="A5" s="68" t="str">
        <f>IFERROR(__xludf.DUMMYFUNCTION("""COMPUTED_VALUE"""),"Cu - 0.8mm - 9.78""")</f>
        <v>Cu - 0.8mm - 9.78"</v>
      </c>
      <c r="B5" s="69" t="str">
        <f>IFERROR(__xludf.DUMMYFUNCTION("""COMPUTED_VALUE"""),"JSL204-08-978")</f>
        <v>JSL204-08-978</v>
      </c>
      <c r="G5" s="70" t="s">
        <v>99</v>
      </c>
      <c r="H5" s="71">
        <v>0.239</v>
      </c>
    </row>
    <row r="6" ht="15.75" customHeight="1">
      <c r="A6" s="68" t="str">
        <f>IFERROR(__xludf.DUMMYFUNCTION("""COMPUTED_VALUE"""),"Cu - 0.8mm - 7.00""")</f>
        <v>Cu - 0.8mm - 7.00"</v>
      </c>
      <c r="B6" s="69" t="str">
        <f>IFERROR(__xludf.DUMMYFUNCTION("""COMPUTED_VALUE"""),"JSL204-08-700")</f>
        <v>JSL204-08-700</v>
      </c>
      <c r="G6" s="70" t="s">
        <v>109</v>
      </c>
      <c r="H6" s="71">
        <v>0.183</v>
      </c>
    </row>
    <row r="7" ht="15.75" customHeight="1">
      <c r="A7" s="68" t="str">
        <f>IFERROR(__xludf.DUMMYFUNCTION("""COMPUTED_VALUE"""),"Cu - 0.8mm - 8.89""")</f>
        <v>Cu - 0.8mm - 8.89"</v>
      </c>
      <c r="B7" s="69" t="str">
        <f>IFERROR(__xludf.DUMMYFUNCTION("""COMPUTED_VALUE"""),"JSL204-08-889")</f>
        <v>JSL204-08-889</v>
      </c>
      <c r="G7" s="70" t="s">
        <v>111</v>
      </c>
      <c r="H7" s="71">
        <v>0.117</v>
      </c>
    </row>
    <row r="8" ht="15.75" customHeight="1">
      <c r="A8" s="68" t="str">
        <f>IFERROR(__xludf.DUMMYFUNCTION("""COMPUTED_VALUE"""),"Cu - 0.7mm - 7.00""")</f>
        <v>Cu - 0.7mm - 7.00"</v>
      </c>
      <c r="B8" s="69" t="str">
        <f>IFERROR(__xludf.DUMMYFUNCTION("""COMPUTED_VALUE"""),"JSL204-07-700")</f>
        <v>JSL204-07-700</v>
      </c>
      <c r="G8" s="70" t="s">
        <v>91</v>
      </c>
      <c r="H8" s="71">
        <v>0.231</v>
      </c>
    </row>
    <row r="9" ht="15.75" customHeight="1">
      <c r="A9" s="68" t="str">
        <f>IFERROR(__xludf.DUMMYFUNCTION("""COMPUTED_VALUE"""),"Cu - 0.7mm - 8.40""")</f>
        <v>Cu - 0.7mm - 8.40"</v>
      </c>
      <c r="B9" s="69" t="str">
        <f>IFERROR(__xludf.DUMMYFUNCTION("""COMPUTED_VALUE"""),"JSL204-07-840")</f>
        <v>JSL204-07-840</v>
      </c>
      <c r="G9" s="72" t="s">
        <v>74</v>
      </c>
      <c r="H9" s="71">
        <v>0.231</v>
      </c>
    </row>
    <row r="10" ht="15.75" customHeight="1">
      <c r="A10" s="68" t="str">
        <f>IFERROR(__xludf.DUMMYFUNCTION("""COMPUTED_VALUE"""),"DD - 0.8mm - 8.50""")</f>
        <v>DD - 0.8mm - 8.50"</v>
      </c>
      <c r="B10" s="69" t="str">
        <f>IFERROR(__xludf.DUMMYFUNCTION("""COMPUTED_VALUE"""),"JSL202-08-850")</f>
        <v>JSL202-08-850</v>
      </c>
      <c r="G10" s="72" t="s">
        <v>87</v>
      </c>
      <c r="H10" s="71">
        <v>0.137</v>
      </c>
    </row>
    <row r="11" ht="15.75" customHeight="1">
      <c r="A11" s="68" t="str">
        <f>IFERROR(__xludf.DUMMYFUNCTION("""COMPUTED_VALUE"""),"DD - 0.8mm - 9.00""")</f>
        <v>DD - 0.8mm - 9.00"</v>
      </c>
      <c r="B11" s="69" t="str">
        <f>IFERROR(__xludf.DUMMYFUNCTION("""COMPUTED_VALUE"""),"JSL202-08-900")</f>
        <v>JSL202-08-900</v>
      </c>
      <c r="G11" s="70" t="s">
        <v>93</v>
      </c>
      <c r="H11" s="71">
        <v>0.259</v>
      </c>
    </row>
    <row r="12" ht="15.75" customHeight="1">
      <c r="A12" s="68" t="str">
        <f>IFERROR(__xludf.DUMMYFUNCTION("""COMPUTED_VALUE"""),"DD - 0.8mm - 10.50""")</f>
        <v>DD - 0.8mm - 10.50"</v>
      </c>
      <c r="B12" s="69" t="str">
        <f>IFERROR(__xludf.DUMMYFUNCTION("""COMPUTED_VALUE"""),"JSL202-08-1050")</f>
        <v>JSL202-08-1050</v>
      </c>
      <c r="G12" s="70" t="s">
        <v>113</v>
      </c>
      <c r="H12" s="71">
        <v>0.173</v>
      </c>
    </row>
    <row r="13" ht="15.75" customHeight="1">
      <c r="A13" s="68" t="str">
        <f>IFERROR(__xludf.DUMMYFUNCTION("""COMPUTED_VALUE"""),"DD - 0.8mm - 8.58""")</f>
        <v>DD - 0.8mm - 8.58"</v>
      </c>
      <c r="B13" s="69" t="str">
        <f>IFERROR(__xludf.DUMMYFUNCTION("""COMPUTED_VALUE"""),"JSL202-08-858")</f>
        <v>JSL202-08-858</v>
      </c>
      <c r="G13" s="70" t="s">
        <v>93</v>
      </c>
      <c r="H13" s="71">
        <v>0.259</v>
      </c>
    </row>
    <row r="14" ht="15.75" customHeight="1">
      <c r="A14" s="68" t="str">
        <f>IFERROR(__xludf.DUMMYFUNCTION("""COMPUTED_VALUE"""),"DD - 0.7mm - 9.25""")</f>
        <v>DD - 0.7mm - 9.25"</v>
      </c>
      <c r="B14" s="69" t="str">
        <f>IFERROR(__xludf.DUMMYFUNCTION("""COMPUTED_VALUE"""),"JSL202-07-925")</f>
        <v>JSL202-07-925</v>
      </c>
      <c r="G14" s="70" t="s">
        <v>113</v>
      </c>
      <c r="H14" s="71">
        <v>0.173</v>
      </c>
    </row>
    <row r="15" ht="15.75" customHeight="1">
      <c r="A15" s="68" t="str">
        <f>IFERROR(__xludf.DUMMYFUNCTION("""COMPUTED_VALUE"""),"DD - 0.7mm - 7.25""")</f>
        <v>DD - 0.7mm - 7.25"</v>
      </c>
      <c r="B15" s="69" t="str">
        <f>IFERROR(__xludf.DUMMYFUNCTION("""COMPUTED_VALUE"""),"JSL202-07-725")</f>
        <v>JSL202-07-725</v>
      </c>
      <c r="G15" s="72" t="s">
        <v>103</v>
      </c>
      <c r="H15" s="73">
        <v>0.1</v>
      </c>
    </row>
    <row r="16" ht="15.75" customHeight="1">
      <c r="A16" s="68" t="str">
        <f>IFERROR(__xludf.DUMMYFUNCTION("""COMPUTED_VALUE"""),"DD - 0.7mm - 6.00""")</f>
        <v>DD - 0.7mm - 6.00"</v>
      </c>
      <c r="B16" s="69" t="str">
        <f>IFERROR(__xludf.DUMMYFUNCTION("""COMPUTED_VALUE"""),"JSL202-07-600")</f>
        <v>JSL202-07-600</v>
      </c>
      <c r="G16" s="72" t="s">
        <v>540</v>
      </c>
      <c r="H16" s="73"/>
    </row>
    <row r="17" ht="15.75" customHeight="1">
      <c r="A17" s="68" t="str">
        <f>IFERROR(__xludf.DUMMYFUNCTION("""COMPUTED_VALUE"""),"DD - 0.6mm - 8.25""")</f>
        <v>DD - 0.6mm - 8.25"</v>
      </c>
      <c r="B17" s="69" t="str">
        <f>IFERROR(__xludf.DUMMYFUNCTION("""COMPUTED_VALUE"""),"JSL202-06-825")</f>
        <v>JSL202-06-825</v>
      </c>
      <c r="G17" s="74"/>
      <c r="H17" s="74"/>
    </row>
    <row r="18" ht="15.75" customHeight="1">
      <c r="A18" s="68" t="str">
        <f>IFERROR(__xludf.DUMMYFUNCTION("""COMPUTED_VALUE"""),"DD - 0.6mm - 7.25""")</f>
        <v>DD - 0.6mm - 7.25"</v>
      </c>
      <c r="B18" s="69" t="str">
        <f>IFERROR(__xludf.DUMMYFUNCTION("""COMPUTED_VALUE"""),"JSL202-06-725")</f>
        <v>JSL202-06-725</v>
      </c>
      <c r="G18" s="74"/>
      <c r="H18" s="74"/>
    </row>
    <row r="19" ht="15.75" customHeight="1">
      <c r="A19" s="68" t="str">
        <f>IFERROR(__xludf.DUMMYFUNCTION("""COMPUTED_VALUE"""),"DD - 0.6mm - 8.75""")</f>
        <v>DD - 0.6mm - 8.75"</v>
      </c>
      <c r="B19" s="69" t="str">
        <f>IFERROR(__xludf.DUMMYFUNCTION("""COMPUTED_VALUE"""),"JSL202-06-875")</f>
        <v>JSL202-06-875</v>
      </c>
      <c r="G19" s="74"/>
      <c r="H19" s="74"/>
    </row>
    <row r="20" ht="15.75" customHeight="1">
      <c r="A20" s="68" t="str">
        <f>IFERROR(__xludf.DUMMYFUNCTION("""COMPUTED_VALUE"""),"DD - 0.6mm - 7.00""")</f>
        <v>DD - 0.6mm - 7.00"</v>
      </c>
      <c r="B20" s="69" t="str">
        <f>IFERROR(__xludf.DUMMYFUNCTION("""COMPUTED_VALUE"""),"JSL202-06-700")</f>
        <v>JSL202-06-700</v>
      </c>
      <c r="G20" s="74"/>
      <c r="H20" s="74"/>
    </row>
    <row r="21" ht="15.75" customHeight="1">
      <c r="A21" s="68" t="str">
        <f>IFERROR(__xludf.DUMMYFUNCTION("""COMPUTED_VALUE"""),"DD - 0.6mm - 8.50""")</f>
        <v>DD - 0.6mm - 8.50"</v>
      </c>
      <c r="B21" s="69" t="str">
        <f>IFERROR(__xludf.DUMMYFUNCTION("""COMPUTED_VALUE"""),"JSL202-06-850")</f>
        <v>JSL202-06-850</v>
      </c>
      <c r="G21" s="74"/>
      <c r="H21" s="74"/>
    </row>
    <row r="22" ht="15.75" customHeight="1">
      <c r="A22" s="68" t="str">
        <f>IFERROR(__xludf.DUMMYFUNCTION("""COMPUTED_VALUE"""),"DD - 0.6mm - 7.75""")</f>
        <v>DD - 0.6mm - 7.75"</v>
      </c>
      <c r="B22" s="69" t="str">
        <f>IFERROR(__xludf.DUMMYFUNCTION("""COMPUTED_VALUE"""),"JSL202-06-775")</f>
        <v>JSL202-06-775</v>
      </c>
      <c r="G22" s="74"/>
      <c r="H22" s="74"/>
    </row>
    <row r="23" ht="15.75" customHeight="1">
      <c r="A23" s="68"/>
      <c r="B23" s="69"/>
      <c r="G23" s="74"/>
      <c r="H23" s="74"/>
    </row>
    <row r="24" ht="15.75" customHeight="1">
      <c r="A24" s="68"/>
      <c r="B24" s="69"/>
      <c r="G24" s="74"/>
      <c r="H24" s="74"/>
    </row>
    <row r="25" ht="15.75" customHeight="1">
      <c r="A25" s="68"/>
      <c r="B25" s="69"/>
      <c r="G25" s="74"/>
      <c r="H25" s="74"/>
    </row>
    <row r="26" ht="15.75" customHeight="1">
      <c r="A26" s="68"/>
      <c r="B26" s="69"/>
      <c r="G26" s="74"/>
      <c r="H26" s="74"/>
    </row>
    <row r="27" ht="15.75" customHeight="1">
      <c r="A27" s="68"/>
      <c r="B27" s="69"/>
      <c r="G27" s="74"/>
      <c r="H27" s="74"/>
    </row>
    <row r="28" ht="15.75" customHeight="1">
      <c r="A28" s="68"/>
      <c r="B28" s="69"/>
      <c r="G28" s="74"/>
      <c r="H28" s="74"/>
    </row>
    <row r="29" ht="15.75" customHeight="1">
      <c r="A29" s="68"/>
      <c r="B29" s="69"/>
      <c r="G29" s="74"/>
      <c r="H29" s="74"/>
    </row>
    <row r="30" ht="15.75" customHeight="1">
      <c r="A30" s="68"/>
      <c r="B30" s="69"/>
      <c r="G30" s="74"/>
      <c r="H30" s="74"/>
    </row>
    <row r="31" ht="15.75" customHeight="1">
      <c r="A31" s="68"/>
      <c r="B31" s="69"/>
      <c r="G31" s="74"/>
      <c r="H31" s="74"/>
    </row>
    <row r="32" ht="15.75" customHeight="1">
      <c r="A32" s="68"/>
      <c r="B32" s="69"/>
      <c r="G32" s="74"/>
      <c r="H32" s="74"/>
    </row>
    <row r="33" ht="15.75" customHeight="1">
      <c r="A33" s="68"/>
      <c r="B33" s="69"/>
      <c r="G33" s="74"/>
      <c r="H33" s="74"/>
    </row>
    <row r="34" ht="15.75" customHeight="1">
      <c r="A34" s="68"/>
      <c r="B34" s="69"/>
      <c r="G34" s="74"/>
      <c r="H34" s="74"/>
    </row>
    <row r="35" ht="15.75" customHeight="1">
      <c r="A35" s="68"/>
      <c r="B35" s="69"/>
      <c r="G35" s="74"/>
      <c r="H35" s="74"/>
    </row>
    <row r="36" ht="15.75" customHeight="1">
      <c r="A36" s="68"/>
      <c r="B36" s="69"/>
      <c r="G36" s="74"/>
      <c r="H36" s="74"/>
    </row>
    <row r="37" ht="15.75" customHeight="1">
      <c r="A37" s="68"/>
      <c r="B37" s="69"/>
      <c r="G37" s="74"/>
      <c r="H37" s="74"/>
    </row>
    <row r="38" ht="15.75" customHeight="1">
      <c r="A38" s="68"/>
      <c r="B38" s="69"/>
      <c r="G38" s="74"/>
      <c r="H38" s="74"/>
    </row>
    <row r="39" ht="15.75" customHeight="1">
      <c r="A39" s="68"/>
      <c r="B39" s="69"/>
      <c r="G39" s="74"/>
      <c r="H39" s="74"/>
    </row>
    <row r="40" ht="15.75" customHeight="1">
      <c r="A40" s="68"/>
      <c r="B40" s="69"/>
      <c r="G40" s="74"/>
      <c r="H40" s="74"/>
    </row>
    <row r="41" ht="15.75" customHeight="1">
      <c r="A41" s="68"/>
      <c r="B41" s="69"/>
      <c r="G41" s="74"/>
      <c r="H41" s="74"/>
    </row>
    <row r="42" ht="15.75" customHeight="1">
      <c r="A42" s="68"/>
      <c r="B42" s="69"/>
      <c r="G42" s="74"/>
      <c r="H42" s="74"/>
    </row>
    <row r="43" ht="15.75" customHeight="1">
      <c r="A43" s="68"/>
      <c r="B43" s="69"/>
      <c r="G43" s="74"/>
      <c r="H43" s="74"/>
    </row>
    <row r="44" ht="15.75" customHeight="1">
      <c r="A44" s="68"/>
      <c r="B44" s="69"/>
      <c r="G44" s="74"/>
      <c r="H44" s="74"/>
    </row>
    <row r="45" ht="15.75" customHeight="1">
      <c r="A45" s="68"/>
      <c r="B45" s="69"/>
      <c r="G45" s="74"/>
      <c r="H45" s="74"/>
    </row>
    <row r="46" ht="15.75" customHeight="1">
      <c r="A46" s="68"/>
      <c r="B46" s="69"/>
      <c r="G46" s="74"/>
      <c r="H46" s="74"/>
    </row>
    <row r="47" ht="15.75" customHeight="1">
      <c r="A47" s="68"/>
      <c r="B47" s="69"/>
      <c r="G47" s="74"/>
      <c r="H47" s="74"/>
    </row>
    <row r="48" ht="15.75" customHeight="1">
      <c r="A48" s="68"/>
      <c r="B48" s="69"/>
      <c r="G48" s="74"/>
      <c r="H48" s="74"/>
    </row>
    <row r="49" ht="15.75" customHeight="1">
      <c r="A49" s="68"/>
      <c r="B49" s="69"/>
      <c r="G49" s="74"/>
      <c r="H49" s="74"/>
    </row>
    <row r="50" ht="15.75" customHeight="1">
      <c r="A50" s="68"/>
      <c r="B50" s="69"/>
      <c r="G50" s="74"/>
      <c r="H50" s="74"/>
    </row>
    <row r="51" ht="15.75" customHeight="1">
      <c r="A51" s="68"/>
      <c r="B51" s="69"/>
      <c r="G51" s="74"/>
      <c r="H51" s="74"/>
    </row>
    <row r="52" ht="15.75" customHeight="1">
      <c r="A52" s="68"/>
      <c r="B52" s="69"/>
      <c r="G52" s="74"/>
      <c r="H52" s="74"/>
    </row>
    <row r="53" ht="15.75" customHeight="1">
      <c r="A53" s="68"/>
      <c r="B53" s="69"/>
      <c r="G53" s="74"/>
      <c r="H53" s="74"/>
    </row>
    <row r="54" ht="15.75" customHeight="1">
      <c r="A54" s="68"/>
      <c r="B54" s="69"/>
      <c r="G54" s="74"/>
      <c r="H54" s="74"/>
    </row>
    <row r="55" ht="15.75" customHeight="1">
      <c r="A55" s="68"/>
      <c r="B55" s="69"/>
      <c r="G55" s="74"/>
      <c r="H55" s="74"/>
    </row>
    <row r="56" ht="15.75" customHeight="1">
      <c r="A56" s="68"/>
      <c r="B56" s="69"/>
      <c r="G56" s="74"/>
      <c r="H56" s="74"/>
    </row>
    <row r="57" ht="15.75" customHeight="1">
      <c r="A57" s="68"/>
      <c r="B57" s="69"/>
      <c r="G57" s="74"/>
      <c r="H57" s="74"/>
    </row>
    <row r="58" ht="15.75" customHeight="1">
      <c r="A58" s="68"/>
      <c r="B58" s="69"/>
      <c r="G58" s="74"/>
      <c r="H58" s="74"/>
    </row>
    <row r="59" ht="15.75" customHeight="1">
      <c r="A59" s="68"/>
      <c r="B59" s="69"/>
      <c r="G59" s="74"/>
      <c r="H59" s="74"/>
    </row>
    <row r="60" ht="15.75" customHeight="1">
      <c r="A60" s="68"/>
      <c r="B60" s="69"/>
      <c r="G60" s="74"/>
      <c r="H60" s="74"/>
    </row>
    <row r="61" ht="15.75" customHeight="1">
      <c r="A61" s="68"/>
      <c r="B61" s="69"/>
      <c r="G61" s="74"/>
      <c r="H61" s="74"/>
    </row>
    <row r="62" ht="15.75" customHeight="1">
      <c r="A62" s="68"/>
      <c r="B62" s="69"/>
      <c r="G62" s="74"/>
      <c r="H62" s="74"/>
    </row>
    <row r="63" ht="15.75" customHeight="1">
      <c r="A63" s="68"/>
      <c r="B63" s="69"/>
      <c r="G63" s="74"/>
      <c r="H63" s="74"/>
    </row>
    <row r="64" ht="15.75" customHeight="1">
      <c r="A64" s="68"/>
      <c r="B64" s="69"/>
      <c r="G64" s="74"/>
      <c r="H64" s="74"/>
    </row>
    <row r="65" ht="15.75" customHeight="1">
      <c r="A65" s="68"/>
      <c r="B65" s="69"/>
      <c r="G65" s="74"/>
      <c r="H65" s="74"/>
    </row>
    <row r="66" ht="15.75" customHeight="1">
      <c r="A66" s="68"/>
      <c r="B66" s="69"/>
      <c r="G66" s="74"/>
      <c r="H66" s="74"/>
    </row>
    <row r="67" ht="15.75" customHeight="1">
      <c r="A67" s="68"/>
      <c r="B67" s="69"/>
      <c r="G67" s="74"/>
      <c r="H67" s="74"/>
    </row>
    <row r="68" ht="15.75" customHeight="1">
      <c r="A68" s="68"/>
      <c r="B68" s="69"/>
      <c r="G68" s="74"/>
      <c r="H68" s="74"/>
    </row>
    <row r="69" ht="15.75" customHeight="1">
      <c r="A69" s="68"/>
      <c r="B69" s="69"/>
      <c r="G69" s="74"/>
      <c r="H69" s="74"/>
    </row>
    <row r="70" ht="15.75" customHeight="1">
      <c r="A70" s="68"/>
      <c r="B70" s="69"/>
      <c r="G70" s="74"/>
      <c r="H70" s="74"/>
    </row>
    <row r="71" ht="15.75" customHeight="1">
      <c r="A71" s="68"/>
      <c r="B71" s="69"/>
      <c r="G71" s="74"/>
      <c r="H71" s="74"/>
    </row>
    <row r="72" ht="15.75" customHeight="1">
      <c r="A72" s="68"/>
      <c r="B72" s="69"/>
      <c r="G72" s="74"/>
      <c r="H72" s="74"/>
    </row>
    <row r="73" ht="15.75" customHeight="1">
      <c r="A73" s="68"/>
      <c r="B73" s="69"/>
      <c r="G73" s="74"/>
      <c r="H73" s="74"/>
    </row>
    <row r="74" ht="15.75" customHeight="1">
      <c r="A74" s="68"/>
      <c r="B74" s="69"/>
      <c r="G74" s="74"/>
      <c r="H74" s="74"/>
    </row>
    <row r="75" ht="15.75" customHeight="1">
      <c r="A75" s="68"/>
      <c r="B75" s="69"/>
      <c r="G75" s="74"/>
      <c r="H75" s="74"/>
    </row>
    <row r="76" ht="15.75" customHeight="1">
      <c r="A76" s="68"/>
      <c r="B76" s="69"/>
      <c r="G76" s="74"/>
      <c r="H76" s="74"/>
    </row>
    <row r="77" ht="15.75" customHeight="1">
      <c r="A77" s="68"/>
      <c r="B77" s="69"/>
      <c r="G77" s="74"/>
      <c r="H77" s="74"/>
    </row>
    <row r="78" ht="15.75" customHeight="1">
      <c r="A78" s="68"/>
      <c r="B78" s="69"/>
      <c r="G78" s="74"/>
      <c r="H78" s="74"/>
    </row>
    <row r="79" ht="15.75" customHeight="1">
      <c r="A79" s="68"/>
      <c r="B79" s="69"/>
      <c r="G79" s="74"/>
      <c r="H79" s="74"/>
    </row>
    <row r="80" ht="15.75" customHeight="1">
      <c r="A80" s="68"/>
      <c r="B80" s="69"/>
      <c r="G80" s="74"/>
      <c r="H80" s="74"/>
    </row>
    <row r="81" ht="15.75" customHeight="1">
      <c r="A81" s="68"/>
      <c r="B81" s="69"/>
      <c r="G81" s="74"/>
      <c r="H81" s="74"/>
    </row>
    <row r="82" ht="15.75" customHeight="1">
      <c r="A82" s="68"/>
      <c r="B82" s="69"/>
      <c r="G82" s="74"/>
      <c r="H82" s="74"/>
    </row>
    <row r="83" ht="15.75" customHeight="1">
      <c r="A83" s="68"/>
      <c r="B83" s="69"/>
      <c r="G83" s="74"/>
      <c r="H83" s="74"/>
    </row>
    <row r="84" ht="15.75" customHeight="1">
      <c r="A84" s="68"/>
      <c r="B84" s="69"/>
      <c r="G84" s="74"/>
      <c r="H84" s="74"/>
    </row>
    <row r="85" ht="15.75" customHeight="1">
      <c r="A85" s="68"/>
      <c r="B85" s="69"/>
      <c r="G85" s="74"/>
      <c r="H85" s="74"/>
    </row>
    <row r="86" ht="15.75" customHeight="1">
      <c r="A86" s="68"/>
      <c r="B86" s="69"/>
      <c r="G86" s="74"/>
      <c r="H86" s="74"/>
    </row>
    <row r="87" ht="15.75" customHeight="1">
      <c r="A87" s="68"/>
      <c r="B87" s="69"/>
      <c r="G87" s="74"/>
      <c r="H87" s="74"/>
    </row>
    <row r="88" ht="15.75" customHeight="1">
      <c r="A88" s="68"/>
      <c r="B88" s="69"/>
      <c r="G88" s="74"/>
      <c r="H88" s="74"/>
    </row>
    <row r="89" ht="15.75" customHeight="1">
      <c r="A89" s="68"/>
      <c r="B89" s="69"/>
      <c r="G89" s="74"/>
      <c r="H89" s="74"/>
    </row>
    <row r="90" ht="15.75" customHeight="1">
      <c r="A90" s="68"/>
      <c r="B90" s="69"/>
      <c r="G90" s="74"/>
      <c r="H90" s="74"/>
    </row>
    <row r="91" ht="15.75" customHeight="1">
      <c r="A91" s="68"/>
      <c r="B91" s="69"/>
      <c r="G91" s="74"/>
      <c r="H91" s="74"/>
    </row>
    <row r="92" ht="15.75" customHeight="1">
      <c r="A92" s="68"/>
      <c r="B92" s="69"/>
      <c r="G92" s="74"/>
      <c r="H92" s="74"/>
    </row>
    <row r="93" ht="15.75" customHeight="1">
      <c r="A93" s="68"/>
      <c r="B93" s="69"/>
      <c r="G93" s="74"/>
      <c r="H93" s="74"/>
    </row>
    <row r="94" ht="15.75" customHeight="1">
      <c r="A94" s="68"/>
      <c r="B94" s="69"/>
      <c r="G94" s="74"/>
      <c r="H94" s="74"/>
    </row>
    <row r="95" ht="15.75" customHeight="1">
      <c r="A95" s="68"/>
      <c r="B95" s="69"/>
      <c r="G95" s="74"/>
      <c r="H95" s="74"/>
    </row>
    <row r="96" ht="15.75" customHeight="1">
      <c r="A96" s="68"/>
      <c r="B96" s="69"/>
      <c r="G96" s="74"/>
      <c r="H96" s="74"/>
    </row>
    <row r="97" ht="15.75" customHeight="1">
      <c r="A97" s="68"/>
      <c r="B97" s="69"/>
      <c r="G97" s="74"/>
      <c r="H97" s="74"/>
    </row>
    <row r="98" ht="15.75" customHeight="1">
      <c r="A98" s="68"/>
      <c r="B98" s="69"/>
      <c r="G98" s="74"/>
      <c r="H98" s="74"/>
    </row>
    <row r="99" ht="15.75" customHeight="1">
      <c r="A99" s="68"/>
      <c r="B99" s="69"/>
      <c r="G99" s="74"/>
      <c r="H99" s="74"/>
    </row>
    <row r="100" ht="15.75" customHeight="1">
      <c r="A100" s="68"/>
      <c r="B100" s="69"/>
      <c r="G100" s="74"/>
      <c r="H100" s="74"/>
    </row>
    <row r="101" ht="15.75" customHeight="1">
      <c r="A101" s="68"/>
      <c r="B101" s="69"/>
      <c r="G101" s="74"/>
      <c r="H101" s="74"/>
    </row>
    <row r="102" ht="15.75" customHeight="1">
      <c r="A102" s="68"/>
      <c r="B102" s="69"/>
      <c r="G102" s="74"/>
      <c r="H102" s="74"/>
    </row>
    <row r="103" ht="15.75" customHeight="1">
      <c r="A103" s="68"/>
      <c r="B103" s="69"/>
      <c r="G103" s="74"/>
      <c r="H103" s="74"/>
    </row>
    <row r="104" ht="15.75" customHeight="1">
      <c r="A104" s="68"/>
      <c r="B104" s="69"/>
      <c r="G104" s="74"/>
      <c r="H104" s="74"/>
    </row>
    <row r="105" ht="15.75" customHeight="1">
      <c r="A105" s="68"/>
      <c r="B105" s="69"/>
      <c r="G105" s="74"/>
      <c r="H105" s="74"/>
    </row>
    <row r="106" ht="15.75" customHeight="1">
      <c r="A106" s="68"/>
      <c r="B106" s="69"/>
      <c r="G106" s="74"/>
      <c r="H106" s="74"/>
    </row>
    <row r="107" ht="15.75" customHeight="1">
      <c r="A107" s="68"/>
      <c r="B107" s="69"/>
      <c r="G107" s="74"/>
      <c r="H107" s="74"/>
    </row>
    <row r="108" ht="15.75" customHeight="1">
      <c r="A108" s="68"/>
      <c r="B108" s="69"/>
      <c r="G108" s="74"/>
      <c r="H108" s="74"/>
    </row>
    <row r="109" ht="15.75" customHeight="1">
      <c r="A109" s="68"/>
      <c r="B109" s="69"/>
      <c r="G109" s="74"/>
      <c r="H109" s="74"/>
    </row>
    <row r="110" ht="15.75" customHeight="1">
      <c r="A110" s="68"/>
      <c r="B110" s="69"/>
      <c r="G110" s="74"/>
      <c r="H110" s="74"/>
    </row>
    <row r="111" ht="15.75" customHeight="1">
      <c r="A111" s="68"/>
      <c r="B111" s="69"/>
      <c r="G111" s="74"/>
      <c r="H111" s="74"/>
    </row>
    <row r="112" ht="15.75" customHeight="1">
      <c r="A112" s="68"/>
      <c r="B112" s="69"/>
      <c r="G112" s="74"/>
      <c r="H112" s="74"/>
    </row>
    <row r="113" ht="15.75" customHeight="1">
      <c r="A113" s="68"/>
      <c r="B113" s="69"/>
      <c r="G113" s="74"/>
      <c r="H113" s="74"/>
    </row>
    <row r="114" ht="15.75" customHeight="1">
      <c r="A114" s="68"/>
      <c r="B114" s="69"/>
      <c r="G114" s="74"/>
      <c r="H114" s="74"/>
    </row>
    <row r="115" ht="15.75" customHeight="1">
      <c r="A115" s="68"/>
      <c r="B115" s="69"/>
      <c r="G115" s="74"/>
      <c r="H115" s="74"/>
    </row>
    <row r="116" ht="15.75" customHeight="1">
      <c r="A116" s="68"/>
      <c r="B116" s="69"/>
      <c r="G116" s="74"/>
      <c r="H116" s="74"/>
    </row>
    <row r="117" ht="15.75" customHeight="1">
      <c r="A117" s="68"/>
      <c r="B117" s="69"/>
      <c r="G117" s="74"/>
      <c r="H117" s="74"/>
    </row>
    <row r="118" ht="15.75" customHeight="1">
      <c r="A118" s="68"/>
      <c r="B118" s="69"/>
      <c r="G118" s="74"/>
      <c r="H118" s="74"/>
    </row>
    <row r="119" ht="15.75" customHeight="1">
      <c r="A119" s="68"/>
      <c r="B119" s="69"/>
      <c r="G119" s="74"/>
      <c r="H119" s="74"/>
    </row>
    <row r="120" ht="15.75" customHeight="1">
      <c r="A120" s="68"/>
      <c r="B120" s="69"/>
      <c r="G120" s="74"/>
      <c r="H120" s="74"/>
    </row>
    <row r="121" ht="15.75" customHeight="1">
      <c r="A121" s="68"/>
      <c r="B121" s="69"/>
      <c r="G121" s="74"/>
      <c r="H121" s="74"/>
    </row>
    <row r="122" ht="15.75" customHeight="1">
      <c r="A122" s="68"/>
      <c r="B122" s="69"/>
      <c r="G122" s="74"/>
      <c r="H122" s="74"/>
    </row>
    <row r="123" ht="15.75" customHeight="1">
      <c r="A123" s="68"/>
      <c r="B123" s="69"/>
      <c r="G123" s="74"/>
      <c r="H123" s="74"/>
    </row>
    <row r="124" ht="15.75" customHeight="1">
      <c r="A124" s="68"/>
      <c r="B124" s="69"/>
      <c r="G124" s="74"/>
      <c r="H124" s="74"/>
    </row>
    <row r="125" ht="15.75" customHeight="1">
      <c r="A125" s="68"/>
      <c r="B125" s="69"/>
      <c r="G125" s="74"/>
      <c r="H125" s="74"/>
    </row>
    <row r="126" ht="15.75" customHeight="1">
      <c r="A126" s="68"/>
      <c r="B126" s="69"/>
      <c r="G126" s="74"/>
      <c r="H126" s="74"/>
    </row>
    <row r="127" ht="15.75" customHeight="1">
      <c r="A127" s="68"/>
      <c r="B127" s="69"/>
      <c r="G127" s="74"/>
      <c r="H127" s="74"/>
    </row>
    <row r="128" ht="15.75" customHeight="1">
      <c r="A128" s="68"/>
      <c r="B128" s="69"/>
      <c r="G128" s="74"/>
      <c r="H128" s="74"/>
    </row>
    <row r="129" ht="15.75" customHeight="1">
      <c r="A129" s="68"/>
      <c r="B129" s="69"/>
      <c r="G129" s="74"/>
      <c r="H129" s="74"/>
    </row>
    <row r="130" ht="15.75" customHeight="1">
      <c r="A130" s="68"/>
      <c r="B130" s="69"/>
      <c r="G130" s="74"/>
      <c r="H130" s="74"/>
    </row>
    <row r="131" ht="15.75" customHeight="1">
      <c r="A131" s="68"/>
      <c r="B131" s="69"/>
      <c r="G131" s="74"/>
      <c r="H131" s="74"/>
    </row>
    <row r="132" ht="15.75" customHeight="1">
      <c r="A132" s="68"/>
      <c r="B132" s="69"/>
      <c r="G132" s="74"/>
      <c r="H132" s="74"/>
    </row>
    <row r="133" ht="15.75" customHeight="1">
      <c r="A133" s="68"/>
      <c r="B133" s="69"/>
      <c r="G133" s="74"/>
      <c r="H133" s="74"/>
    </row>
    <row r="134" ht="15.75" customHeight="1">
      <c r="A134" s="68"/>
      <c r="B134" s="69"/>
      <c r="G134" s="74"/>
      <c r="H134" s="74"/>
    </row>
    <row r="135" ht="15.75" customHeight="1">
      <c r="A135" s="68"/>
      <c r="B135" s="69"/>
      <c r="G135" s="74"/>
      <c r="H135" s="74"/>
    </row>
    <row r="136" ht="15.75" customHeight="1">
      <c r="A136" s="68"/>
      <c r="B136" s="69"/>
      <c r="G136" s="74"/>
      <c r="H136" s="74"/>
    </row>
    <row r="137" ht="15.75" customHeight="1">
      <c r="A137" s="68"/>
      <c r="B137" s="69"/>
      <c r="G137" s="74"/>
      <c r="H137" s="74"/>
    </row>
    <row r="138" ht="15.75" customHeight="1">
      <c r="A138" s="68"/>
      <c r="B138" s="69"/>
      <c r="G138" s="74"/>
      <c r="H138" s="74"/>
    </row>
    <row r="139" ht="15.75" customHeight="1">
      <c r="A139" s="68"/>
      <c r="B139" s="69"/>
      <c r="G139" s="74"/>
      <c r="H139" s="74"/>
    </row>
    <row r="140" ht="15.75" customHeight="1">
      <c r="A140" s="68"/>
      <c r="B140" s="69"/>
      <c r="G140" s="74"/>
      <c r="H140" s="74"/>
    </row>
    <row r="141" ht="15.75" customHeight="1">
      <c r="A141" s="68"/>
      <c r="B141" s="69"/>
      <c r="G141" s="74"/>
      <c r="H141" s="74"/>
    </row>
    <row r="142" ht="15.75" customHeight="1">
      <c r="A142" s="68"/>
      <c r="B142" s="69"/>
      <c r="G142" s="74"/>
      <c r="H142" s="74"/>
    </row>
    <row r="143" ht="15.75" customHeight="1">
      <c r="A143" s="68"/>
      <c r="B143" s="69"/>
      <c r="G143" s="74"/>
      <c r="H143" s="74"/>
    </row>
    <row r="144" ht="15.75" customHeight="1">
      <c r="A144" s="68"/>
      <c r="B144" s="69"/>
      <c r="G144" s="74"/>
      <c r="H144" s="74"/>
    </row>
    <row r="145" ht="15.75" customHeight="1">
      <c r="A145" s="68"/>
      <c r="B145" s="69"/>
      <c r="G145" s="74"/>
      <c r="H145" s="74"/>
    </row>
    <row r="146" ht="15.75" customHeight="1">
      <c r="A146" s="68"/>
      <c r="B146" s="69"/>
      <c r="G146" s="74"/>
      <c r="H146" s="74"/>
    </row>
    <row r="147" ht="15.75" customHeight="1">
      <c r="A147" s="68"/>
      <c r="B147" s="69"/>
      <c r="G147" s="74"/>
      <c r="H147" s="74"/>
    </row>
    <row r="148" ht="15.75" customHeight="1">
      <c r="A148" s="68"/>
      <c r="B148" s="69"/>
      <c r="G148" s="74"/>
      <c r="H148" s="74"/>
    </row>
    <row r="149" ht="15.75" customHeight="1">
      <c r="A149" s="68"/>
      <c r="B149" s="69"/>
      <c r="G149" s="74"/>
      <c r="H149" s="74"/>
    </row>
    <row r="150" ht="15.75" customHeight="1">
      <c r="A150" s="68"/>
      <c r="B150" s="69"/>
      <c r="G150" s="74"/>
      <c r="H150" s="74"/>
    </row>
    <row r="151" ht="15.75" customHeight="1">
      <c r="A151" s="68"/>
      <c r="B151" s="69"/>
      <c r="G151" s="74"/>
      <c r="H151" s="74"/>
    </row>
    <row r="152" ht="15.75" customHeight="1">
      <c r="A152" s="68"/>
      <c r="B152" s="69"/>
      <c r="G152" s="74"/>
      <c r="H152" s="74"/>
    </row>
    <row r="153" ht="15.75" customHeight="1">
      <c r="A153" s="68"/>
      <c r="B153" s="69"/>
      <c r="G153" s="74"/>
      <c r="H153" s="74"/>
    </row>
    <row r="154" ht="15.75" customHeight="1">
      <c r="A154" s="68"/>
      <c r="B154" s="69"/>
      <c r="G154" s="74"/>
      <c r="H154" s="74"/>
    </row>
    <row r="155" ht="15.75" customHeight="1">
      <c r="A155" s="68"/>
      <c r="B155" s="69"/>
      <c r="G155" s="74"/>
      <c r="H155" s="74"/>
    </row>
    <row r="156" ht="15.75" customHeight="1">
      <c r="A156" s="68"/>
      <c r="B156" s="69"/>
      <c r="G156" s="74"/>
      <c r="H156" s="74"/>
    </row>
    <row r="157" ht="15.75" customHeight="1">
      <c r="A157" s="68"/>
      <c r="B157" s="69"/>
      <c r="G157" s="74"/>
      <c r="H157" s="74"/>
    </row>
    <row r="158" ht="15.75" customHeight="1">
      <c r="A158" s="68"/>
      <c r="B158" s="69"/>
      <c r="G158" s="74"/>
      <c r="H158" s="74"/>
    </row>
    <row r="159" ht="15.75" customHeight="1">
      <c r="A159" s="68"/>
      <c r="B159" s="69"/>
      <c r="G159" s="74"/>
      <c r="H159" s="74"/>
    </row>
    <row r="160" ht="15.75" customHeight="1">
      <c r="A160" s="68"/>
      <c r="B160" s="69"/>
      <c r="G160" s="74"/>
      <c r="H160" s="74"/>
    </row>
    <row r="161" ht="15.75" customHeight="1">
      <c r="A161" s="68"/>
      <c r="B161" s="69"/>
      <c r="G161" s="74"/>
      <c r="H161" s="74"/>
    </row>
    <row r="162" ht="15.75" customHeight="1">
      <c r="A162" s="68"/>
      <c r="B162" s="69"/>
      <c r="G162" s="74"/>
      <c r="H162" s="74"/>
    </row>
    <row r="163" ht="15.75" customHeight="1">
      <c r="A163" s="68"/>
      <c r="B163" s="69"/>
      <c r="G163" s="74"/>
      <c r="H163" s="74"/>
    </row>
    <row r="164" ht="15.75" customHeight="1">
      <c r="A164" s="68"/>
      <c r="B164" s="69"/>
      <c r="G164" s="74"/>
      <c r="H164" s="74"/>
    </row>
    <row r="165" ht="15.75" customHeight="1">
      <c r="A165" s="68"/>
      <c r="B165" s="69"/>
      <c r="G165" s="74"/>
      <c r="H165" s="74"/>
    </row>
    <row r="166" ht="15.75" customHeight="1">
      <c r="A166" s="68"/>
      <c r="B166" s="69"/>
      <c r="G166" s="74"/>
      <c r="H166" s="74"/>
    </row>
    <row r="167" ht="15.75" customHeight="1">
      <c r="A167" s="68"/>
      <c r="B167" s="69"/>
      <c r="G167" s="74"/>
      <c r="H167" s="74"/>
    </row>
    <row r="168" ht="15.75" customHeight="1">
      <c r="A168" s="68"/>
      <c r="B168" s="69"/>
      <c r="G168" s="74"/>
      <c r="H168" s="74"/>
    </row>
    <row r="169" ht="15.75" customHeight="1">
      <c r="A169" s="68"/>
      <c r="B169" s="69"/>
      <c r="G169" s="74"/>
      <c r="H169" s="74"/>
    </row>
    <row r="170" ht="15.75" customHeight="1">
      <c r="A170" s="68"/>
      <c r="B170" s="69"/>
      <c r="G170" s="74"/>
      <c r="H170" s="74"/>
    </row>
    <row r="171" ht="15.75" customHeight="1">
      <c r="A171" s="68"/>
      <c r="B171" s="69"/>
      <c r="G171" s="74"/>
      <c r="H171" s="74"/>
    </row>
    <row r="172" ht="15.75" customHeight="1">
      <c r="A172" s="68"/>
      <c r="B172" s="69"/>
      <c r="G172" s="74"/>
      <c r="H172" s="74"/>
    </row>
    <row r="173" ht="15.75" customHeight="1">
      <c r="A173" s="68"/>
      <c r="B173" s="69"/>
      <c r="G173" s="74"/>
      <c r="H173" s="74"/>
    </row>
    <row r="174" ht="15.75" customHeight="1">
      <c r="A174" s="68"/>
      <c r="B174" s="69"/>
      <c r="G174" s="74"/>
      <c r="H174" s="74"/>
    </row>
    <row r="175" ht="15.75" customHeight="1">
      <c r="A175" s="68"/>
      <c r="B175" s="69"/>
      <c r="G175" s="74"/>
      <c r="H175" s="74"/>
    </row>
    <row r="176" ht="15.75" customHeight="1">
      <c r="A176" s="68"/>
      <c r="B176" s="69"/>
      <c r="G176" s="74"/>
      <c r="H176" s="74"/>
    </row>
    <row r="177" ht="15.75" customHeight="1">
      <c r="A177" s="68"/>
      <c r="B177" s="69"/>
      <c r="G177" s="74"/>
      <c r="H177" s="74"/>
    </row>
    <row r="178" ht="15.75" customHeight="1">
      <c r="A178" s="68"/>
      <c r="B178" s="69"/>
      <c r="G178" s="74"/>
      <c r="H178" s="74"/>
    </row>
    <row r="179" ht="15.75" customHeight="1">
      <c r="A179" s="68"/>
      <c r="B179" s="69"/>
      <c r="G179" s="74"/>
      <c r="H179" s="74"/>
    </row>
    <row r="180" ht="15.75" customHeight="1">
      <c r="A180" s="68"/>
      <c r="B180" s="69"/>
      <c r="G180" s="74"/>
      <c r="H180" s="74"/>
    </row>
    <row r="181" ht="15.75" customHeight="1">
      <c r="A181" s="68"/>
      <c r="B181" s="69"/>
      <c r="G181" s="74"/>
      <c r="H181" s="74"/>
    </row>
    <row r="182" ht="15.75" customHeight="1">
      <c r="A182" s="68"/>
      <c r="B182" s="69"/>
      <c r="G182" s="74"/>
      <c r="H182" s="74"/>
    </row>
    <row r="183" ht="15.75" customHeight="1">
      <c r="A183" s="68"/>
      <c r="B183" s="69"/>
      <c r="G183" s="74"/>
      <c r="H183" s="74"/>
    </row>
    <row r="184" ht="15.75" customHeight="1">
      <c r="A184" s="68"/>
      <c r="B184" s="69"/>
      <c r="G184" s="74"/>
      <c r="H184" s="74"/>
    </row>
    <row r="185" ht="15.75" customHeight="1">
      <c r="A185" s="68"/>
      <c r="B185" s="69"/>
      <c r="G185" s="74"/>
      <c r="H185" s="74"/>
    </row>
    <row r="186" ht="15.75" customHeight="1">
      <c r="A186" s="68"/>
      <c r="B186" s="69"/>
      <c r="G186" s="74"/>
      <c r="H186" s="74"/>
    </row>
    <row r="187" ht="15.75" customHeight="1">
      <c r="A187" s="68"/>
      <c r="B187" s="69"/>
      <c r="G187" s="74"/>
      <c r="H187" s="74"/>
    </row>
    <row r="188" ht="15.75" customHeight="1">
      <c r="A188" s="68"/>
      <c r="B188" s="69"/>
      <c r="G188" s="74"/>
      <c r="H188" s="74"/>
    </row>
    <row r="189" ht="15.75" customHeight="1">
      <c r="A189" s="68"/>
      <c r="B189" s="69"/>
      <c r="G189" s="74"/>
      <c r="H189" s="74"/>
    </row>
    <row r="190" ht="15.75" customHeight="1">
      <c r="A190" s="68"/>
      <c r="B190" s="69"/>
      <c r="G190" s="74"/>
      <c r="H190" s="74"/>
    </row>
    <row r="191" ht="15.75" customHeight="1">
      <c r="A191" s="68"/>
      <c r="B191" s="69"/>
      <c r="G191" s="74"/>
      <c r="H191" s="74"/>
    </row>
    <row r="192" ht="15.75" customHeight="1">
      <c r="A192" s="68"/>
      <c r="B192" s="69"/>
      <c r="G192" s="74"/>
      <c r="H192" s="74"/>
    </row>
    <row r="193" ht="15.75" customHeight="1">
      <c r="A193" s="68"/>
      <c r="B193" s="69"/>
      <c r="G193" s="74"/>
      <c r="H193" s="74"/>
    </row>
    <row r="194" ht="15.75" customHeight="1">
      <c r="A194" s="68"/>
      <c r="B194" s="69"/>
      <c r="G194" s="74"/>
      <c r="H194" s="74"/>
    </row>
    <row r="195" ht="15.75" customHeight="1">
      <c r="A195" s="68"/>
      <c r="B195" s="69"/>
      <c r="G195" s="74"/>
      <c r="H195" s="74"/>
    </row>
    <row r="196" ht="15.75" customHeight="1">
      <c r="A196" s="68"/>
      <c r="B196" s="69"/>
      <c r="G196" s="74"/>
      <c r="H196" s="74"/>
    </row>
    <row r="197" ht="15.75" customHeight="1">
      <c r="A197" s="68"/>
      <c r="B197" s="69"/>
      <c r="G197" s="74"/>
      <c r="H197" s="74"/>
    </row>
    <row r="198" ht="15.75" customHeight="1">
      <c r="A198" s="68"/>
      <c r="B198" s="69"/>
      <c r="G198" s="74"/>
      <c r="H198" s="74"/>
    </row>
    <row r="199" ht="15.75" customHeight="1">
      <c r="A199" s="68"/>
      <c r="B199" s="69"/>
      <c r="G199" s="74"/>
      <c r="H199" s="74"/>
    </row>
    <row r="200" ht="15.75" customHeight="1">
      <c r="A200" s="68"/>
      <c r="B200" s="69"/>
      <c r="G200" s="74"/>
      <c r="H200" s="74"/>
    </row>
    <row r="201" ht="15.75" customHeight="1">
      <c r="A201" s="75"/>
      <c r="B201" s="76"/>
      <c r="G201" s="74"/>
      <c r="H201" s="74"/>
    </row>
    <row r="202" ht="15.75" customHeight="1">
      <c r="A202" s="75"/>
      <c r="B202" s="76"/>
      <c r="G202" s="74"/>
      <c r="H202" s="74"/>
    </row>
    <row r="203" ht="15.75" customHeight="1">
      <c r="A203" s="75"/>
      <c r="B203" s="76"/>
      <c r="G203" s="74"/>
      <c r="H203" s="74"/>
    </row>
    <row r="204" ht="15.75" customHeight="1">
      <c r="A204" s="75"/>
      <c r="B204" s="76"/>
      <c r="G204" s="74"/>
      <c r="H204" s="74"/>
    </row>
    <row r="205" ht="15.75" customHeight="1">
      <c r="A205" s="75"/>
      <c r="B205" s="76"/>
      <c r="G205" s="74"/>
      <c r="H205" s="74"/>
    </row>
    <row r="206" ht="15.75" customHeight="1">
      <c r="A206" s="75"/>
      <c r="B206" s="76"/>
      <c r="G206" s="74"/>
      <c r="H206" s="74"/>
    </row>
    <row r="207" ht="15.75" customHeight="1">
      <c r="A207" s="75"/>
      <c r="B207" s="76"/>
      <c r="G207" s="74"/>
      <c r="H207" s="74"/>
    </row>
    <row r="208" ht="15.75" customHeight="1">
      <c r="A208" s="75"/>
      <c r="B208" s="76"/>
      <c r="G208" s="74"/>
      <c r="H208" s="74"/>
    </row>
    <row r="209" ht="15.75" customHeight="1">
      <c r="A209" s="75"/>
      <c r="B209" s="76"/>
      <c r="G209" s="74"/>
      <c r="H209" s="74"/>
    </row>
    <row r="210" ht="15.75" customHeight="1">
      <c r="A210" s="75"/>
      <c r="B210" s="76"/>
      <c r="G210" s="74"/>
      <c r="H210" s="74"/>
    </row>
    <row r="211" ht="15.75" customHeight="1">
      <c r="A211" s="75"/>
      <c r="B211" s="76"/>
      <c r="G211" s="74"/>
      <c r="H211" s="74"/>
    </row>
    <row r="212" ht="15.75" customHeight="1">
      <c r="A212" s="75"/>
      <c r="B212" s="76"/>
      <c r="G212" s="74"/>
      <c r="H212" s="74"/>
    </row>
    <row r="213" ht="15.75" customHeight="1">
      <c r="A213" s="75"/>
      <c r="B213" s="76"/>
      <c r="G213" s="74"/>
      <c r="H213" s="74"/>
    </row>
    <row r="214" ht="15.75" customHeight="1">
      <c r="A214" s="75"/>
      <c r="B214" s="76"/>
      <c r="G214" s="74"/>
      <c r="H214" s="74"/>
    </row>
    <row r="215" ht="15.75" customHeight="1">
      <c r="A215" s="75"/>
      <c r="B215" s="76"/>
      <c r="G215" s="74"/>
      <c r="H215" s="74"/>
    </row>
    <row r="216" ht="15.75" customHeight="1">
      <c r="A216" s="75"/>
      <c r="B216" s="76"/>
      <c r="G216" s="74"/>
      <c r="H216" s="74"/>
    </row>
    <row r="217" ht="15.75" customHeight="1">
      <c r="A217" s="75"/>
      <c r="B217" s="76"/>
      <c r="G217" s="74"/>
      <c r="H217" s="74"/>
    </row>
    <row r="218" ht="15.75" customHeight="1">
      <c r="A218" s="75"/>
      <c r="B218" s="76"/>
      <c r="G218" s="74"/>
      <c r="H218" s="74"/>
    </row>
    <row r="219" ht="15.75" customHeight="1">
      <c r="A219" s="75"/>
      <c r="B219" s="76"/>
      <c r="G219" s="74"/>
      <c r="H219" s="74"/>
    </row>
    <row r="220" ht="15.75" customHeight="1">
      <c r="A220" s="75"/>
      <c r="B220" s="76"/>
      <c r="G220" s="74"/>
      <c r="H220" s="74"/>
    </row>
    <row r="221" ht="15.75" customHeight="1">
      <c r="A221" s="75"/>
      <c r="B221" s="76"/>
      <c r="G221" s="74"/>
      <c r="H221" s="74"/>
    </row>
    <row r="222" ht="15.75" customHeight="1">
      <c r="A222" s="75"/>
      <c r="B222" s="76"/>
      <c r="G222" s="74"/>
      <c r="H222" s="74"/>
    </row>
    <row r="223" ht="15.75" customHeight="1">
      <c r="A223" s="75"/>
      <c r="B223" s="76"/>
      <c r="G223" s="74"/>
      <c r="H223" s="74"/>
    </row>
    <row r="224" ht="15.75" customHeight="1">
      <c r="A224" s="75"/>
      <c r="B224" s="76"/>
      <c r="G224" s="74"/>
      <c r="H224" s="74"/>
    </row>
    <row r="225" ht="15.75" customHeight="1">
      <c r="A225" s="75"/>
      <c r="B225" s="76"/>
      <c r="G225" s="74"/>
      <c r="H225" s="74"/>
    </row>
    <row r="226" ht="15.75" customHeight="1">
      <c r="A226" s="75"/>
      <c r="B226" s="76"/>
      <c r="G226" s="74"/>
      <c r="H226" s="74"/>
    </row>
    <row r="227" ht="15.75" customHeight="1">
      <c r="A227" s="75"/>
      <c r="B227" s="76"/>
      <c r="G227" s="74"/>
      <c r="H227" s="74"/>
    </row>
    <row r="228" ht="15.75" customHeight="1">
      <c r="A228" s="75"/>
      <c r="B228" s="76"/>
      <c r="G228" s="74"/>
      <c r="H228" s="74"/>
    </row>
    <row r="229" ht="15.75" customHeight="1">
      <c r="A229" s="75"/>
      <c r="B229" s="76"/>
      <c r="G229" s="74"/>
      <c r="H229" s="74"/>
    </row>
    <row r="230" ht="15.75" customHeight="1">
      <c r="A230" s="75"/>
      <c r="B230" s="76"/>
      <c r="G230" s="74"/>
      <c r="H230" s="74"/>
    </row>
    <row r="231" ht="15.75" customHeight="1">
      <c r="A231" s="75"/>
      <c r="B231" s="76"/>
      <c r="G231" s="74"/>
      <c r="H231" s="74"/>
    </row>
    <row r="232" ht="15.75" customHeight="1">
      <c r="A232" s="75"/>
      <c r="B232" s="76"/>
      <c r="G232" s="74"/>
      <c r="H232" s="74"/>
    </row>
    <row r="233" ht="15.75" customHeight="1">
      <c r="A233" s="75"/>
      <c r="B233" s="76"/>
      <c r="G233" s="74"/>
      <c r="H233" s="74"/>
    </row>
    <row r="234" ht="15.75" customHeight="1">
      <c r="A234" s="75"/>
      <c r="B234" s="76"/>
      <c r="G234" s="74"/>
      <c r="H234" s="74"/>
    </row>
    <row r="235" ht="15.75" customHeight="1">
      <c r="A235" s="75"/>
      <c r="B235" s="76"/>
      <c r="G235" s="74"/>
      <c r="H235" s="74"/>
    </row>
    <row r="236" ht="15.75" customHeight="1">
      <c r="A236" s="75"/>
      <c r="B236" s="76"/>
      <c r="G236" s="74"/>
      <c r="H236" s="74"/>
    </row>
    <row r="237" ht="15.75" customHeight="1">
      <c r="A237" s="75"/>
      <c r="B237" s="76"/>
      <c r="G237" s="74"/>
      <c r="H237" s="74"/>
    </row>
    <row r="238" ht="15.75" customHeight="1">
      <c r="A238" s="75"/>
      <c r="B238" s="76"/>
      <c r="G238" s="74"/>
      <c r="H238" s="74"/>
    </row>
    <row r="239" ht="15.75" customHeight="1">
      <c r="A239" s="75"/>
      <c r="B239" s="76"/>
      <c r="G239" s="74"/>
      <c r="H239" s="74"/>
    </row>
    <row r="240" ht="15.75" customHeight="1">
      <c r="A240" s="75"/>
      <c r="B240" s="76"/>
      <c r="G240" s="74"/>
      <c r="H240" s="74"/>
    </row>
    <row r="241" ht="15.75" customHeight="1">
      <c r="A241" s="75"/>
      <c r="B241" s="76"/>
      <c r="G241" s="74"/>
      <c r="H241" s="74"/>
    </row>
    <row r="242" ht="15.75" customHeight="1">
      <c r="A242" s="75"/>
      <c r="B242" s="76"/>
      <c r="G242" s="74"/>
      <c r="H242" s="74"/>
    </row>
    <row r="243" ht="15.75" customHeight="1">
      <c r="A243" s="75"/>
      <c r="B243" s="76"/>
      <c r="G243" s="74"/>
      <c r="H243" s="74"/>
    </row>
    <row r="244" ht="15.75" customHeight="1">
      <c r="A244" s="75"/>
      <c r="B244" s="76"/>
      <c r="G244" s="74"/>
      <c r="H244" s="74"/>
    </row>
    <row r="245" ht="15.75" customHeight="1">
      <c r="A245" s="75"/>
      <c r="B245" s="76"/>
      <c r="G245" s="74"/>
      <c r="H245" s="74"/>
    </row>
    <row r="246" ht="15.75" customHeight="1">
      <c r="A246" s="75"/>
      <c r="B246" s="76"/>
      <c r="G246" s="74"/>
      <c r="H246" s="74"/>
    </row>
    <row r="247" ht="15.75" customHeight="1">
      <c r="A247" s="75"/>
      <c r="B247" s="76"/>
      <c r="G247" s="74"/>
      <c r="H247" s="74"/>
    </row>
    <row r="248" ht="15.75" customHeight="1">
      <c r="A248" s="75"/>
      <c r="B248" s="76"/>
      <c r="G248" s="74"/>
      <c r="H248" s="74"/>
    </row>
    <row r="249" ht="15.75" customHeight="1">
      <c r="A249" s="75"/>
      <c r="B249" s="76"/>
      <c r="G249" s="74"/>
      <c r="H249" s="74"/>
    </row>
    <row r="250" ht="15.75" customHeight="1">
      <c r="A250" s="75"/>
      <c r="B250" s="76"/>
      <c r="G250" s="74"/>
      <c r="H250" s="74"/>
    </row>
    <row r="251" ht="15.75" customHeight="1">
      <c r="A251" s="75"/>
      <c r="B251" s="76"/>
      <c r="G251" s="74"/>
      <c r="H251" s="74"/>
    </row>
    <row r="252" ht="15.75" customHeight="1">
      <c r="A252" s="75"/>
      <c r="B252" s="76"/>
      <c r="G252" s="74"/>
      <c r="H252" s="74"/>
    </row>
    <row r="253" ht="15.75" customHeight="1">
      <c r="A253" s="75"/>
      <c r="B253" s="76"/>
      <c r="G253" s="74"/>
      <c r="H253" s="74"/>
    </row>
    <row r="254" ht="15.75" customHeight="1">
      <c r="A254" s="75"/>
      <c r="B254" s="76"/>
      <c r="G254" s="74"/>
      <c r="H254" s="74"/>
    </row>
    <row r="255" ht="15.75" customHeight="1">
      <c r="A255" s="75"/>
      <c r="B255" s="76"/>
      <c r="G255" s="74"/>
      <c r="H255" s="74"/>
    </row>
    <row r="256" ht="15.75" customHeight="1">
      <c r="A256" s="75"/>
      <c r="B256" s="76"/>
      <c r="G256" s="74"/>
      <c r="H256" s="74"/>
    </row>
    <row r="257" ht="15.75" customHeight="1">
      <c r="A257" s="75"/>
      <c r="B257" s="76"/>
      <c r="G257" s="74"/>
      <c r="H257" s="74"/>
    </row>
    <row r="258" ht="15.75" customHeight="1">
      <c r="A258" s="75"/>
      <c r="B258" s="76"/>
      <c r="G258" s="74"/>
      <c r="H258" s="74"/>
    </row>
    <row r="259" ht="15.75" customHeight="1">
      <c r="A259" s="75"/>
      <c r="B259" s="76"/>
      <c r="G259" s="74"/>
      <c r="H259" s="74"/>
    </row>
    <row r="260" ht="15.75" customHeight="1">
      <c r="A260" s="75"/>
      <c r="B260" s="76"/>
      <c r="G260" s="74"/>
      <c r="H260" s="74"/>
    </row>
    <row r="261" ht="15.75" customHeight="1">
      <c r="A261" s="75"/>
      <c r="B261" s="76"/>
      <c r="G261" s="74"/>
      <c r="H261" s="74"/>
    </row>
    <row r="262" ht="15.75" customHeight="1">
      <c r="A262" s="75"/>
      <c r="B262" s="76"/>
      <c r="G262" s="74"/>
      <c r="H262" s="74"/>
    </row>
    <row r="263" ht="15.75" customHeight="1">
      <c r="A263" s="75"/>
      <c r="B263" s="76"/>
      <c r="G263" s="74"/>
      <c r="H263" s="74"/>
    </row>
    <row r="264" ht="15.75" customHeight="1">
      <c r="A264" s="75"/>
      <c r="B264" s="76"/>
      <c r="G264" s="74"/>
      <c r="H264" s="74"/>
    </row>
    <row r="265" ht="15.75" customHeight="1">
      <c r="A265" s="75"/>
      <c r="B265" s="76"/>
      <c r="G265" s="74"/>
      <c r="H265" s="74"/>
    </row>
    <row r="266" ht="15.75" customHeight="1">
      <c r="A266" s="75"/>
      <c r="B266" s="76"/>
      <c r="G266" s="74"/>
      <c r="H266" s="74"/>
    </row>
    <row r="267" ht="15.75" customHeight="1">
      <c r="A267" s="75"/>
      <c r="B267" s="76"/>
      <c r="G267" s="74"/>
      <c r="H267" s="74"/>
    </row>
    <row r="268" ht="15.75" customHeight="1">
      <c r="A268" s="75"/>
      <c r="B268" s="76"/>
      <c r="G268" s="74"/>
      <c r="H268" s="74"/>
    </row>
    <row r="269" ht="15.75" customHeight="1">
      <c r="A269" s="75"/>
      <c r="B269" s="76"/>
      <c r="G269" s="74"/>
      <c r="H269" s="74"/>
    </row>
    <row r="270" ht="15.75" customHeight="1">
      <c r="A270" s="75"/>
      <c r="B270" s="76"/>
      <c r="G270" s="74"/>
      <c r="H270" s="74"/>
    </row>
    <row r="271" ht="15.75" customHeight="1">
      <c r="A271" s="75"/>
      <c r="B271" s="76"/>
      <c r="G271" s="74"/>
      <c r="H271" s="74"/>
    </row>
    <row r="272" ht="15.75" customHeight="1">
      <c r="A272" s="75"/>
      <c r="B272" s="76"/>
      <c r="G272" s="74"/>
      <c r="H272" s="74"/>
    </row>
    <row r="273" ht="15.75" customHeight="1">
      <c r="A273" s="75"/>
      <c r="B273" s="76"/>
      <c r="G273" s="74"/>
      <c r="H273" s="74"/>
    </row>
    <row r="274" ht="15.75" customHeight="1">
      <c r="A274" s="75"/>
      <c r="B274" s="76"/>
      <c r="G274" s="74"/>
      <c r="H274" s="74"/>
    </row>
    <row r="275" ht="15.75" customHeight="1">
      <c r="A275" s="75"/>
      <c r="B275" s="76"/>
      <c r="G275" s="74"/>
      <c r="H275" s="74"/>
    </row>
    <row r="276" ht="15.75" customHeight="1">
      <c r="A276" s="75"/>
      <c r="B276" s="76"/>
      <c r="G276" s="74"/>
      <c r="H276" s="74"/>
    </row>
    <row r="277" ht="15.75" customHeight="1">
      <c r="A277" s="75"/>
      <c r="B277" s="76"/>
      <c r="G277" s="74"/>
      <c r="H277" s="74"/>
    </row>
    <row r="278" ht="15.75" customHeight="1">
      <c r="A278" s="75"/>
      <c r="B278" s="76"/>
      <c r="G278" s="74"/>
      <c r="H278" s="74"/>
    </row>
    <row r="279" ht="15.75" customHeight="1">
      <c r="A279" s="75"/>
      <c r="B279" s="76"/>
      <c r="G279" s="74"/>
      <c r="H279" s="74"/>
    </row>
    <row r="280" ht="15.75" customHeight="1">
      <c r="A280" s="75"/>
      <c r="B280" s="76"/>
      <c r="G280" s="74"/>
      <c r="H280" s="74"/>
    </row>
    <row r="281" ht="15.75" customHeight="1">
      <c r="A281" s="75"/>
      <c r="B281" s="76"/>
      <c r="G281" s="74"/>
      <c r="H281" s="74"/>
    </row>
    <row r="282" ht="15.75" customHeight="1">
      <c r="A282" s="75"/>
      <c r="B282" s="76"/>
      <c r="G282" s="74"/>
      <c r="H282" s="74"/>
    </row>
    <row r="283" ht="15.75" customHeight="1">
      <c r="A283" s="75"/>
      <c r="B283" s="76"/>
      <c r="G283" s="74"/>
      <c r="H283" s="74"/>
    </row>
    <row r="284" ht="15.75" customHeight="1">
      <c r="A284" s="75"/>
      <c r="B284" s="76"/>
      <c r="G284" s="74"/>
      <c r="H284" s="74"/>
    </row>
    <row r="285" ht="15.75" customHeight="1">
      <c r="A285" s="75"/>
      <c r="B285" s="76"/>
      <c r="G285" s="74"/>
      <c r="H285" s="74"/>
    </row>
    <row r="286" ht="15.75" customHeight="1">
      <c r="A286" s="75"/>
      <c r="B286" s="76"/>
      <c r="G286" s="74"/>
      <c r="H286" s="74"/>
    </row>
    <row r="287" ht="15.75" customHeight="1">
      <c r="A287" s="75"/>
      <c r="B287" s="76"/>
      <c r="G287" s="74"/>
      <c r="H287" s="74"/>
    </row>
    <row r="288" ht="15.75" customHeight="1">
      <c r="A288" s="75"/>
      <c r="B288" s="76"/>
      <c r="G288" s="74"/>
      <c r="H288" s="74"/>
    </row>
    <row r="289" ht="15.75" customHeight="1">
      <c r="A289" s="75"/>
      <c r="B289" s="76"/>
      <c r="G289" s="74"/>
      <c r="H289" s="74"/>
    </row>
    <row r="290" ht="15.75" customHeight="1">
      <c r="A290" s="75"/>
      <c r="B290" s="76"/>
      <c r="G290" s="74"/>
      <c r="H290" s="74"/>
    </row>
    <row r="291" ht="15.75" customHeight="1">
      <c r="A291" s="75"/>
      <c r="B291" s="76"/>
      <c r="G291" s="74"/>
      <c r="H291" s="74"/>
    </row>
    <row r="292" ht="15.75" customHeight="1">
      <c r="A292" s="75"/>
      <c r="B292" s="76"/>
      <c r="G292" s="74"/>
      <c r="H292" s="74"/>
    </row>
    <row r="293" ht="15.75" customHeight="1">
      <c r="A293" s="75"/>
      <c r="B293" s="76"/>
      <c r="G293" s="74"/>
      <c r="H293" s="74"/>
    </row>
    <row r="294" ht="15.75" customHeight="1">
      <c r="A294" s="75"/>
      <c r="B294" s="76"/>
      <c r="G294" s="74"/>
      <c r="H294" s="74"/>
    </row>
    <row r="295" ht="15.75" customHeight="1">
      <c r="A295" s="75"/>
      <c r="B295" s="76"/>
      <c r="G295" s="74"/>
      <c r="H295" s="74"/>
    </row>
    <row r="296" ht="15.75" customHeight="1">
      <c r="A296" s="75"/>
      <c r="B296" s="76"/>
      <c r="G296" s="74"/>
      <c r="H296" s="74"/>
    </row>
    <row r="297" ht="15.75" customHeight="1">
      <c r="A297" s="75"/>
      <c r="B297" s="76"/>
      <c r="G297" s="74"/>
      <c r="H297" s="74"/>
    </row>
    <row r="298" ht="15.75" customHeight="1">
      <c r="A298" s="75"/>
      <c r="B298" s="76"/>
      <c r="G298" s="74"/>
      <c r="H298" s="74"/>
    </row>
    <row r="299" ht="15.75" customHeight="1">
      <c r="A299" s="75"/>
      <c r="B299" s="76"/>
      <c r="G299" s="74"/>
      <c r="H299" s="74"/>
    </row>
    <row r="300" ht="15.75" customHeight="1">
      <c r="A300" s="75"/>
      <c r="B300" s="76"/>
      <c r="G300" s="74"/>
      <c r="H300" s="74"/>
    </row>
    <row r="301" ht="15.75" customHeight="1">
      <c r="A301" s="75"/>
      <c r="B301" s="76"/>
      <c r="G301" s="74"/>
      <c r="H301" s="74"/>
    </row>
    <row r="302" ht="15.75" customHeight="1">
      <c r="A302" s="75"/>
      <c r="B302" s="76"/>
      <c r="G302" s="74"/>
      <c r="H302" s="74"/>
    </row>
    <row r="303" ht="15.75" customHeight="1">
      <c r="A303" s="75"/>
      <c r="B303" s="76"/>
      <c r="G303" s="74"/>
      <c r="H303" s="74"/>
    </row>
    <row r="304" ht="15.75" customHeight="1">
      <c r="A304" s="75"/>
      <c r="B304" s="76"/>
      <c r="G304" s="74"/>
      <c r="H304" s="74"/>
    </row>
    <row r="305" ht="15.75" customHeight="1">
      <c r="A305" s="75"/>
      <c r="B305" s="76"/>
      <c r="G305" s="74"/>
      <c r="H305" s="74"/>
    </row>
    <row r="306" ht="15.75" customHeight="1">
      <c r="A306" s="75"/>
      <c r="B306" s="76"/>
      <c r="G306" s="74"/>
      <c r="H306" s="74"/>
    </row>
    <row r="307" ht="15.75" customHeight="1">
      <c r="A307" s="75"/>
      <c r="B307" s="76"/>
      <c r="G307" s="74"/>
      <c r="H307" s="74"/>
    </row>
    <row r="308" ht="15.75" customHeight="1">
      <c r="A308" s="75"/>
      <c r="B308" s="76"/>
      <c r="G308" s="74"/>
      <c r="H308" s="74"/>
    </row>
    <row r="309" ht="15.75" customHeight="1">
      <c r="A309" s="75"/>
      <c r="B309" s="76"/>
      <c r="G309" s="74"/>
      <c r="H309" s="74"/>
    </row>
    <row r="310" ht="15.75" customHeight="1">
      <c r="A310" s="75"/>
      <c r="B310" s="76"/>
      <c r="G310" s="74"/>
      <c r="H310" s="74"/>
    </row>
    <row r="311" ht="15.75" customHeight="1">
      <c r="A311" s="75"/>
      <c r="B311" s="76"/>
      <c r="G311" s="74"/>
      <c r="H311" s="74"/>
    </row>
    <row r="312" ht="15.75" customHeight="1">
      <c r="A312" s="75"/>
      <c r="B312" s="76"/>
      <c r="G312" s="74"/>
      <c r="H312" s="74"/>
    </row>
    <row r="313" ht="15.75" customHeight="1">
      <c r="A313" s="75"/>
      <c r="B313" s="76"/>
      <c r="G313" s="74"/>
      <c r="H313" s="74"/>
    </row>
    <row r="314" ht="15.75" customHeight="1">
      <c r="A314" s="75"/>
      <c r="B314" s="76"/>
      <c r="G314" s="74"/>
      <c r="H314" s="74"/>
    </row>
    <row r="315" ht="15.75" customHeight="1">
      <c r="A315" s="75"/>
      <c r="B315" s="76"/>
      <c r="G315" s="74"/>
      <c r="H315" s="74"/>
    </row>
    <row r="316" ht="15.75" customHeight="1">
      <c r="A316" s="75"/>
      <c r="B316" s="76"/>
      <c r="G316" s="74"/>
      <c r="H316" s="74"/>
    </row>
    <row r="317" ht="15.75" customHeight="1">
      <c r="A317" s="75"/>
      <c r="B317" s="76"/>
      <c r="G317" s="74"/>
      <c r="H317" s="74"/>
    </row>
    <row r="318" ht="15.75" customHeight="1">
      <c r="A318" s="75"/>
      <c r="B318" s="76"/>
      <c r="G318" s="74"/>
      <c r="H318" s="74"/>
    </row>
    <row r="319" ht="15.75" customHeight="1">
      <c r="A319" s="75"/>
      <c r="B319" s="76"/>
      <c r="G319" s="74"/>
      <c r="H319" s="74"/>
    </row>
    <row r="320" ht="15.75" customHeight="1">
      <c r="A320" s="75"/>
      <c r="B320" s="76"/>
      <c r="G320" s="74"/>
      <c r="H320" s="74"/>
    </row>
    <row r="321" ht="15.75" customHeight="1">
      <c r="A321" s="75"/>
      <c r="B321" s="76"/>
      <c r="G321" s="74"/>
      <c r="H321" s="74"/>
    </row>
    <row r="322" ht="15.75" customHeight="1">
      <c r="A322" s="75"/>
      <c r="B322" s="76"/>
      <c r="G322" s="74"/>
      <c r="H322" s="74"/>
    </row>
    <row r="323" ht="15.75" customHeight="1">
      <c r="A323" s="75"/>
      <c r="B323" s="76"/>
      <c r="G323" s="74"/>
      <c r="H323" s="74"/>
    </row>
    <row r="324" ht="15.75" customHeight="1">
      <c r="A324" s="75"/>
      <c r="B324" s="76"/>
      <c r="G324" s="74"/>
      <c r="H324" s="74"/>
    </row>
    <row r="325" ht="15.75" customHeight="1">
      <c r="A325" s="75"/>
      <c r="B325" s="76"/>
      <c r="G325" s="74"/>
      <c r="H325" s="74"/>
    </row>
    <row r="326" ht="15.75" customHeight="1">
      <c r="A326" s="75"/>
      <c r="B326" s="76"/>
      <c r="G326" s="74"/>
      <c r="H326" s="74"/>
    </row>
    <row r="327" ht="15.75" customHeight="1">
      <c r="A327" s="75"/>
      <c r="B327" s="76"/>
      <c r="G327" s="74"/>
      <c r="H327" s="74"/>
    </row>
    <row r="328" ht="15.75" customHeight="1">
      <c r="A328" s="75"/>
      <c r="B328" s="76"/>
      <c r="G328" s="74"/>
      <c r="H328" s="74"/>
    </row>
    <row r="329" ht="15.75" customHeight="1">
      <c r="A329" s="75"/>
      <c r="B329" s="76"/>
      <c r="G329" s="74"/>
      <c r="H329" s="74"/>
    </row>
    <row r="330" ht="15.75" customHeight="1">
      <c r="A330" s="75"/>
      <c r="B330" s="76"/>
      <c r="G330" s="74"/>
      <c r="H330" s="74"/>
    </row>
    <row r="331" ht="15.75" customHeight="1">
      <c r="A331" s="75"/>
      <c r="B331" s="76"/>
      <c r="G331" s="74"/>
      <c r="H331" s="74"/>
    </row>
    <row r="332" ht="15.75" customHeight="1">
      <c r="A332" s="75"/>
      <c r="B332" s="76"/>
      <c r="G332" s="74"/>
      <c r="H332" s="74"/>
    </row>
    <row r="333" ht="15.75" customHeight="1">
      <c r="A333" s="75"/>
      <c r="B333" s="76"/>
      <c r="G333" s="74"/>
      <c r="H333" s="74"/>
    </row>
    <row r="334" ht="15.75" customHeight="1">
      <c r="A334" s="75"/>
      <c r="B334" s="76"/>
      <c r="G334" s="74"/>
      <c r="H334" s="74"/>
    </row>
    <row r="335" ht="15.75" customHeight="1">
      <c r="A335" s="75"/>
      <c r="B335" s="76"/>
      <c r="G335" s="74"/>
      <c r="H335" s="74"/>
    </row>
    <row r="336" ht="15.75" customHeight="1">
      <c r="A336" s="75"/>
      <c r="B336" s="76"/>
      <c r="G336" s="74"/>
      <c r="H336" s="74"/>
    </row>
    <row r="337" ht="15.75" customHeight="1">
      <c r="A337" s="75"/>
      <c r="B337" s="76"/>
      <c r="G337" s="74"/>
      <c r="H337" s="74"/>
    </row>
    <row r="338" ht="15.75" customHeight="1">
      <c r="A338" s="75"/>
      <c r="B338" s="76"/>
      <c r="G338" s="74"/>
      <c r="H338" s="74"/>
    </row>
    <row r="339" ht="15.75" customHeight="1">
      <c r="A339" s="75"/>
      <c r="B339" s="76"/>
      <c r="G339" s="74"/>
      <c r="H339" s="74"/>
    </row>
    <row r="340" ht="15.75" customHeight="1">
      <c r="A340" s="75"/>
      <c r="B340" s="76"/>
      <c r="G340" s="74"/>
      <c r="H340" s="74"/>
    </row>
    <row r="341" ht="15.75" customHeight="1">
      <c r="A341" s="75"/>
      <c r="B341" s="76"/>
      <c r="G341" s="74"/>
      <c r="H341" s="74"/>
    </row>
    <row r="342" ht="15.75" customHeight="1">
      <c r="A342" s="75"/>
      <c r="B342" s="76"/>
      <c r="G342" s="74"/>
      <c r="H342" s="74"/>
    </row>
    <row r="343" ht="15.75" customHeight="1">
      <c r="A343" s="75"/>
      <c r="B343" s="76"/>
      <c r="G343" s="74"/>
      <c r="H343" s="74"/>
    </row>
    <row r="344" ht="15.75" customHeight="1">
      <c r="A344" s="75"/>
      <c r="B344" s="76"/>
      <c r="G344" s="74"/>
      <c r="H344" s="74"/>
    </row>
    <row r="345" ht="15.75" customHeight="1">
      <c r="A345" s="75"/>
      <c r="B345" s="76"/>
      <c r="G345" s="74"/>
      <c r="H345" s="74"/>
    </row>
    <row r="346" ht="15.75" customHeight="1">
      <c r="A346" s="75"/>
      <c r="B346" s="76"/>
      <c r="G346" s="74"/>
      <c r="H346" s="74"/>
    </row>
    <row r="347" ht="15.75" customHeight="1">
      <c r="A347" s="75"/>
      <c r="B347" s="76"/>
      <c r="G347" s="74"/>
      <c r="H347" s="74"/>
    </row>
    <row r="348" ht="15.75" customHeight="1">
      <c r="A348" s="75"/>
      <c r="B348" s="76"/>
      <c r="G348" s="74"/>
      <c r="H348" s="74"/>
    </row>
    <row r="349" ht="15.75" customHeight="1">
      <c r="A349" s="75"/>
      <c r="B349" s="76"/>
      <c r="G349" s="74"/>
      <c r="H349" s="74"/>
    </row>
    <row r="350" ht="15.75" customHeight="1">
      <c r="A350" s="75"/>
      <c r="B350" s="76"/>
      <c r="G350" s="74"/>
      <c r="H350" s="74"/>
    </row>
    <row r="351" ht="15.75" customHeight="1">
      <c r="A351" s="75"/>
      <c r="B351" s="76"/>
      <c r="G351" s="74"/>
      <c r="H351" s="74"/>
    </row>
    <row r="352" ht="15.75" customHeight="1">
      <c r="A352" s="75"/>
      <c r="B352" s="76"/>
      <c r="G352" s="74"/>
      <c r="H352" s="74"/>
    </row>
    <row r="353" ht="15.75" customHeight="1">
      <c r="A353" s="75"/>
      <c r="B353" s="76"/>
      <c r="G353" s="74"/>
      <c r="H353" s="74"/>
    </row>
    <row r="354" ht="15.75" customHeight="1">
      <c r="A354" s="75"/>
      <c r="B354" s="76"/>
      <c r="G354" s="74"/>
      <c r="H354" s="74"/>
    </row>
    <row r="355" ht="15.75" customHeight="1">
      <c r="A355" s="75"/>
      <c r="B355" s="76"/>
      <c r="G355" s="74"/>
      <c r="H355" s="74"/>
    </row>
    <row r="356" ht="15.75" customHeight="1">
      <c r="A356" s="75"/>
      <c r="B356" s="76"/>
      <c r="G356" s="74"/>
      <c r="H356" s="74"/>
    </row>
    <row r="357" ht="15.75" customHeight="1">
      <c r="A357" s="75"/>
      <c r="B357" s="76"/>
      <c r="G357" s="74"/>
      <c r="H357" s="74"/>
    </row>
    <row r="358" ht="15.75" customHeight="1">
      <c r="A358" s="75"/>
      <c r="B358" s="76"/>
      <c r="G358" s="74"/>
      <c r="H358" s="74"/>
    </row>
    <row r="359" ht="15.75" customHeight="1">
      <c r="A359" s="75"/>
      <c r="B359" s="76"/>
      <c r="G359" s="74"/>
      <c r="H359" s="74"/>
    </row>
    <row r="360" ht="15.75" customHeight="1">
      <c r="A360" s="75"/>
      <c r="B360" s="76"/>
      <c r="G360" s="74"/>
      <c r="H360" s="74"/>
    </row>
    <row r="361" ht="15.75" customHeight="1">
      <c r="A361" s="75"/>
      <c r="B361" s="76"/>
      <c r="G361" s="74"/>
      <c r="H361" s="74"/>
    </row>
    <row r="362" ht="15.75" customHeight="1">
      <c r="A362" s="75"/>
      <c r="B362" s="76"/>
      <c r="G362" s="74"/>
      <c r="H362" s="74"/>
    </row>
    <row r="363" ht="15.75" customHeight="1">
      <c r="A363" s="75"/>
      <c r="B363" s="76"/>
      <c r="G363" s="74"/>
      <c r="H363" s="74"/>
    </row>
    <row r="364" ht="15.75" customHeight="1">
      <c r="A364" s="75"/>
      <c r="B364" s="76"/>
      <c r="G364" s="74"/>
      <c r="H364" s="74"/>
    </row>
    <row r="365" ht="15.75" customHeight="1">
      <c r="A365" s="75"/>
      <c r="B365" s="76"/>
      <c r="G365" s="74"/>
      <c r="H365" s="74"/>
    </row>
    <row r="366" ht="15.75" customHeight="1">
      <c r="A366" s="75"/>
      <c r="B366" s="76"/>
      <c r="G366" s="74"/>
      <c r="H366" s="74"/>
    </row>
    <row r="367" ht="15.75" customHeight="1">
      <c r="A367" s="75"/>
      <c r="B367" s="76"/>
      <c r="G367" s="74"/>
      <c r="H367" s="74"/>
    </row>
    <row r="368" ht="15.75" customHeight="1">
      <c r="A368" s="75"/>
      <c r="B368" s="76"/>
      <c r="G368" s="74"/>
      <c r="H368" s="74"/>
    </row>
    <row r="369" ht="15.75" customHeight="1">
      <c r="A369" s="75"/>
      <c r="B369" s="76"/>
      <c r="G369" s="74"/>
      <c r="H369" s="74"/>
    </row>
    <row r="370" ht="15.75" customHeight="1">
      <c r="A370" s="75"/>
      <c r="B370" s="76"/>
      <c r="G370" s="74"/>
      <c r="H370" s="74"/>
    </row>
    <row r="371" ht="15.75" customHeight="1">
      <c r="A371" s="75"/>
      <c r="B371" s="76"/>
      <c r="G371" s="74"/>
      <c r="H371" s="74"/>
    </row>
    <row r="372" ht="15.75" customHeight="1">
      <c r="A372" s="75"/>
      <c r="B372" s="76"/>
      <c r="G372" s="74"/>
      <c r="H372" s="74"/>
    </row>
    <row r="373" ht="15.75" customHeight="1">
      <c r="A373" s="75"/>
      <c r="B373" s="76"/>
      <c r="G373" s="74"/>
      <c r="H373" s="74"/>
    </row>
    <row r="374" ht="15.75" customHeight="1">
      <c r="A374" s="75"/>
      <c r="B374" s="76"/>
      <c r="G374" s="74"/>
      <c r="H374" s="74"/>
    </row>
    <row r="375" ht="15.75" customHeight="1">
      <c r="A375" s="75"/>
      <c r="B375" s="76"/>
      <c r="G375" s="74"/>
      <c r="H375" s="74"/>
    </row>
    <row r="376" ht="15.75" customHeight="1">
      <c r="A376" s="75"/>
      <c r="B376" s="76"/>
      <c r="G376" s="74"/>
      <c r="H376" s="74"/>
    </row>
    <row r="377" ht="15.75" customHeight="1">
      <c r="A377" s="75"/>
      <c r="B377" s="76"/>
      <c r="G377" s="74"/>
      <c r="H377" s="74"/>
    </row>
    <row r="378" ht="15.75" customHeight="1">
      <c r="A378" s="75"/>
      <c r="B378" s="76"/>
      <c r="G378" s="74"/>
      <c r="H378" s="74"/>
    </row>
    <row r="379" ht="15.75" customHeight="1">
      <c r="A379" s="75"/>
      <c r="B379" s="76"/>
      <c r="G379" s="74"/>
      <c r="H379" s="74"/>
    </row>
    <row r="380" ht="15.75" customHeight="1">
      <c r="A380" s="75"/>
      <c r="B380" s="76"/>
      <c r="G380" s="74"/>
      <c r="H380" s="74"/>
    </row>
    <row r="381" ht="15.75" customHeight="1">
      <c r="A381" s="75"/>
      <c r="B381" s="76"/>
      <c r="G381" s="74"/>
      <c r="H381" s="74"/>
    </row>
    <row r="382" ht="15.75" customHeight="1">
      <c r="A382" s="75"/>
      <c r="B382" s="76"/>
      <c r="G382" s="74"/>
      <c r="H382" s="74"/>
    </row>
    <row r="383" ht="15.75" customHeight="1">
      <c r="A383" s="75"/>
      <c r="B383" s="76"/>
      <c r="G383" s="74"/>
      <c r="H383" s="74"/>
    </row>
    <row r="384" ht="15.75" customHeight="1">
      <c r="A384" s="75"/>
      <c r="B384" s="76"/>
      <c r="G384" s="74"/>
      <c r="H384" s="74"/>
    </row>
    <row r="385" ht="15.75" customHeight="1">
      <c r="A385" s="75"/>
      <c r="B385" s="76"/>
      <c r="G385" s="74"/>
      <c r="H385" s="74"/>
    </row>
    <row r="386" ht="15.75" customHeight="1">
      <c r="A386" s="75"/>
      <c r="B386" s="76"/>
      <c r="G386" s="74"/>
      <c r="H386" s="74"/>
    </row>
    <row r="387" ht="15.75" customHeight="1">
      <c r="A387" s="75"/>
      <c r="B387" s="76"/>
      <c r="G387" s="74"/>
      <c r="H387" s="74"/>
    </row>
    <row r="388" ht="15.75" customHeight="1">
      <c r="A388" s="75"/>
      <c r="B388" s="76"/>
      <c r="G388" s="74"/>
      <c r="H388" s="74"/>
    </row>
    <row r="389" ht="15.75" customHeight="1">
      <c r="A389" s="75"/>
      <c r="B389" s="76"/>
      <c r="G389" s="74"/>
      <c r="H389" s="74"/>
    </row>
    <row r="390" ht="15.75" customHeight="1">
      <c r="A390" s="75"/>
      <c r="B390" s="76"/>
      <c r="G390" s="74"/>
      <c r="H390" s="74"/>
    </row>
    <row r="391" ht="15.75" customHeight="1">
      <c r="A391" s="75"/>
      <c r="B391" s="76"/>
      <c r="G391" s="74"/>
      <c r="H391" s="74"/>
    </row>
    <row r="392" ht="15.75" customHeight="1">
      <c r="A392" s="75"/>
      <c r="B392" s="76"/>
      <c r="G392" s="74"/>
      <c r="H392" s="74"/>
    </row>
    <row r="393" ht="15.75" customHeight="1">
      <c r="A393" s="75"/>
      <c r="B393" s="76"/>
      <c r="G393" s="74"/>
      <c r="H393" s="74"/>
    </row>
    <row r="394" ht="15.75" customHeight="1">
      <c r="A394" s="75"/>
      <c r="B394" s="76"/>
      <c r="G394" s="74"/>
      <c r="H394" s="74"/>
    </row>
    <row r="395" ht="15.75" customHeight="1">
      <c r="A395" s="75"/>
      <c r="B395" s="76"/>
      <c r="G395" s="74"/>
      <c r="H395" s="74"/>
    </row>
    <row r="396" ht="15.75" customHeight="1">
      <c r="A396" s="75"/>
      <c r="B396" s="76"/>
      <c r="G396" s="74"/>
      <c r="H396" s="74"/>
    </row>
    <row r="397" ht="15.75" customHeight="1">
      <c r="A397" s="75"/>
      <c r="B397" s="76"/>
      <c r="G397" s="74"/>
      <c r="H397" s="74"/>
    </row>
    <row r="398" ht="15.75" customHeight="1">
      <c r="A398" s="75"/>
      <c r="B398" s="76"/>
      <c r="G398" s="74"/>
      <c r="H398" s="74"/>
    </row>
    <row r="399" ht="15.75" customHeight="1">
      <c r="A399" s="75"/>
      <c r="B399" s="76"/>
      <c r="G399" s="74"/>
      <c r="H399" s="74"/>
    </row>
    <row r="400" ht="15.75" customHeight="1">
      <c r="A400" s="75"/>
      <c r="B400" s="76"/>
      <c r="G400" s="74"/>
      <c r="H400" s="74"/>
    </row>
    <row r="401" ht="15.75" customHeight="1">
      <c r="A401" s="75"/>
      <c r="B401" s="76"/>
      <c r="G401" s="74"/>
      <c r="H401" s="74"/>
    </row>
    <row r="402" ht="15.75" customHeight="1">
      <c r="A402" s="75"/>
      <c r="B402" s="76"/>
      <c r="G402" s="74"/>
      <c r="H402" s="74"/>
    </row>
    <row r="403" ht="15.75" customHeight="1">
      <c r="A403" s="75"/>
      <c r="B403" s="76"/>
      <c r="G403" s="74"/>
      <c r="H403" s="74"/>
    </row>
    <row r="404" ht="15.75" customHeight="1">
      <c r="A404" s="75"/>
      <c r="B404" s="76"/>
      <c r="G404" s="74"/>
      <c r="H404" s="74"/>
    </row>
    <row r="405" ht="15.75" customHeight="1">
      <c r="A405" s="75"/>
      <c r="B405" s="76"/>
      <c r="G405" s="74"/>
      <c r="H405" s="74"/>
    </row>
    <row r="406" ht="15.75" customHeight="1">
      <c r="A406" s="75"/>
      <c r="B406" s="76"/>
      <c r="G406" s="74"/>
      <c r="H406" s="74"/>
    </row>
    <row r="407" ht="15.75" customHeight="1">
      <c r="A407" s="75"/>
      <c r="B407" s="76"/>
      <c r="G407" s="74"/>
      <c r="H407" s="74"/>
    </row>
    <row r="408" ht="15.75" customHeight="1">
      <c r="A408" s="75"/>
      <c r="B408" s="76"/>
      <c r="G408" s="74"/>
      <c r="H408" s="74"/>
    </row>
    <row r="409" ht="15.75" customHeight="1">
      <c r="A409" s="75"/>
      <c r="B409" s="76"/>
      <c r="G409" s="74"/>
      <c r="H409" s="74"/>
    </row>
    <row r="410" ht="15.75" customHeight="1">
      <c r="A410" s="75"/>
      <c r="B410" s="76"/>
      <c r="G410" s="74"/>
      <c r="H410" s="74"/>
    </row>
    <row r="411" ht="15.75" customHeight="1">
      <c r="A411" s="75"/>
      <c r="B411" s="76"/>
      <c r="G411" s="74"/>
      <c r="H411" s="74"/>
    </row>
    <row r="412" ht="15.75" customHeight="1">
      <c r="A412" s="75"/>
      <c r="B412" s="76"/>
      <c r="G412" s="74"/>
      <c r="H412" s="74"/>
    </row>
    <row r="413" ht="15.75" customHeight="1">
      <c r="A413" s="75"/>
      <c r="B413" s="76"/>
      <c r="G413" s="74"/>
      <c r="H413" s="74"/>
    </row>
    <row r="414" ht="15.75" customHeight="1">
      <c r="A414" s="75"/>
      <c r="B414" s="76"/>
      <c r="G414" s="74"/>
      <c r="H414" s="74"/>
    </row>
    <row r="415" ht="15.75" customHeight="1">
      <c r="A415" s="75"/>
      <c r="B415" s="76"/>
      <c r="G415" s="74"/>
      <c r="H415" s="74"/>
    </row>
    <row r="416" ht="15.75" customHeight="1">
      <c r="A416" s="75"/>
      <c r="B416" s="76"/>
      <c r="G416" s="74"/>
      <c r="H416" s="74"/>
    </row>
    <row r="417" ht="15.75" customHeight="1">
      <c r="A417" s="75"/>
      <c r="B417" s="76"/>
      <c r="G417" s="74"/>
      <c r="H417" s="74"/>
    </row>
    <row r="418" ht="15.75" customHeight="1">
      <c r="A418" s="75"/>
      <c r="B418" s="76"/>
      <c r="G418" s="74"/>
      <c r="H418" s="74"/>
    </row>
    <row r="419" ht="15.75" customHeight="1">
      <c r="A419" s="75"/>
      <c r="B419" s="76"/>
      <c r="G419" s="74"/>
      <c r="H419" s="74"/>
    </row>
    <row r="420" ht="15.75" customHeight="1">
      <c r="A420" s="75"/>
      <c r="B420" s="76"/>
      <c r="G420" s="74"/>
      <c r="H420" s="74"/>
    </row>
    <row r="421" ht="15.75" customHeight="1">
      <c r="A421" s="75"/>
      <c r="B421" s="76"/>
      <c r="G421" s="74"/>
      <c r="H421" s="74"/>
    </row>
    <row r="422" ht="15.75" customHeight="1">
      <c r="A422" s="75"/>
      <c r="B422" s="76"/>
      <c r="G422" s="74"/>
      <c r="H422" s="74"/>
    </row>
    <row r="423" ht="15.75" customHeight="1">
      <c r="A423" s="75"/>
      <c r="B423" s="76"/>
      <c r="G423" s="74"/>
      <c r="H423" s="74"/>
    </row>
    <row r="424" ht="15.75" customHeight="1">
      <c r="A424" s="75"/>
      <c r="B424" s="76"/>
      <c r="G424" s="74"/>
      <c r="H424" s="74"/>
    </row>
    <row r="425" ht="15.75" customHeight="1">
      <c r="A425" s="75"/>
      <c r="B425" s="76"/>
      <c r="G425" s="74"/>
      <c r="H425" s="74"/>
    </row>
    <row r="426" ht="15.75" customHeight="1">
      <c r="A426" s="75"/>
      <c r="B426" s="76"/>
      <c r="G426" s="74"/>
      <c r="H426" s="74"/>
    </row>
    <row r="427" ht="15.75" customHeight="1">
      <c r="A427" s="75"/>
      <c r="B427" s="76"/>
      <c r="G427" s="74"/>
      <c r="H427" s="74"/>
    </row>
    <row r="428" ht="15.75" customHeight="1">
      <c r="A428" s="75"/>
      <c r="B428" s="76"/>
      <c r="G428" s="74"/>
      <c r="H428" s="74"/>
    </row>
    <row r="429" ht="15.75" customHeight="1">
      <c r="A429" s="75"/>
      <c r="B429" s="76"/>
      <c r="G429" s="74"/>
      <c r="H429" s="74"/>
    </row>
    <row r="430" ht="15.75" customHeight="1">
      <c r="A430" s="75"/>
      <c r="B430" s="76"/>
      <c r="G430" s="74"/>
      <c r="H430" s="74"/>
    </row>
    <row r="431" ht="15.75" customHeight="1">
      <c r="A431" s="75"/>
      <c r="B431" s="76"/>
      <c r="G431" s="74"/>
      <c r="H431" s="74"/>
    </row>
    <row r="432" ht="15.75" customHeight="1">
      <c r="A432" s="75"/>
      <c r="B432" s="76"/>
      <c r="G432" s="74"/>
      <c r="H432" s="74"/>
    </row>
    <row r="433" ht="15.75" customHeight="1">
      <c r="A433" s="75"/>
      <c r="B433" s="76"/>
      <c r="G433" s="74"/>
      <c r="H433" s="74"/>
    </row>
    <row r="434" ht="15.75" customHeight="1">
      <c r="A434" s="75"/>
      <c r="B434" s="76"/>
      <c r="G434" s="74"/>
      <c r="H434" s="74"/>
    </row>
    <row r="435" ht="15.75" customHeight="1">
      <c r="A435" s="75"/>
      <c r="B435" s="76"/>
      <c r="G435" s="74"/>
      <c r="H435" s="74"/>
    </row>
    <row r="436" ht="15.75" customHeight="1">
      <c r="A436" s="75"/>
      <c r="B436" s="76"/>
      <c r="G436" s="74"/>
      <c r="H436" s="74"/>
    </row>
    <row r="437" ht="15.75" customHeight="1">
      <c r="A437" s="75"/>
      <c r="B437" s="76"/>
      <c r="G437" s="74"/>
      <c r="H437" s="74"/>
    </row>
    <row r="438" ht="15.75" customHeight="1">
      <c r="A438" s="75"/>
      <c r="B438" s="76"/>
      <c r="G438" s="74"/>
      <c r="H438" s="74"/>
    </row>
    <row r="439" ht="15.75" customHeight="1">
      <c r="A439" s="75"/>
      <c r="B439" s="76"/>
      <c r="G439" s="74"/>
      <c r="H439" s="74"/>
    </row>
    <row r="440" ht="15.75" customHeight="1">
      <c r="A440" s="75"/>
      <c r="B440" s="76"/>
      <c r="G440" s="74"/>
      <c r="H440" s="74"/>
    </row>
    <row r="441" ht="15.75" customHeight="1">
      <c r="A441" s="75"/>
      <c r="B441" s="76"/>
      <c r="G441" s="74"/>
      <c r="H441" s="74"/>
    </row>
    <row r="442" ht="15.75" customHeight="1">
      <c r="A442" s="75"/>
      <c r="B442" s="76"/>
      <c r="G442" s="74"/>
      <c r="H442" s="74"/>
    </row>
    <row r="443" ht="15.75" customHeight="1">
      <c r="A443" s="75"/>
      <c r="B443" s="76"/>
      <c r="G443" s="74"/>
      <c r="H443" s="74"/>
    </row>
    <row r="444" ht="15.75" customHeight="1">
      <c r="A444" s="75"/>
      <c r="B444" s="76"/>
      <c r="G444" s="74"/>
      <c r="H444" s="74"/>
    </row>
    <row r="445" ht="15.75" customHeight="1">
      <c r="A445" s="75"/>
      <c r="B445" s="76"/>
      <c r="G445" s="74"/>
      <c r="H445" s="74"/>
    </row>
    <row r="446" ht="15.75" customHeight="1">
      <c r="A446" s="75"/>
      <c r="B446" s="76"/>
      <c r="G446" s="74"/>
      <c r="H446" s="74"/>
    </row>
    <row r="447" ht="15.75" customHeight="1">
      <c r="A447" s="75"/>
      <c r="B447" s="76"/>
      <c r="G447" s="74"/>
      <c r="H447" s="74"/>
    </row>
    <row r="448" ht="15.75" customHeight="1">
      <c r="A448" s="75"/>
      <c r="B448" s="76"/>
      <c r="G448" s="74"/>
      <c r="H448" s="74"/>
    </row>
    <row r="449" ht="15.75" customHeight="1">
      <c r="A449" s="75"/>
      <c r="B449" s="76"/>
      <c r="G449" s="74"/>
      <c r="H449" s="74"/>
    </row>
    <row r="450" ht="15.75" customHeight="1">
      <c r="A450" s="75"/>
      <c r="B450" s="76"/>
      <c r="G450" s="74"/>
      <c r="H450" s="74"/>
    </row>
    <row r="451" ht="15.75" customHeight="1">
      <c r="A451" s="75"/>
      <c r="B451" s="76"/>
      <c r="G451" s="74"/>
      <c r="H451" s="74"/>
    </row>
    <row r="452" ht="15.75" customHeight="1">
      <c r="A452" s="75"/>
      <c r="B452" s="76"/>
      <c r="G452" s="74"/>
      <c r="H452" s="74"/>
    </row>
    <row r="453" ht="15.75" customHeight="1">
      <c r="A453" s="75"/>
      <c r="B453" s="76"/>
      <c r="G453" s="74"/>
      <c r="H453" s="74"/>
    </row>
    <row r="454" ht="15.75" customHeight="1">
      <c r="A454" s="75"/>
      <c r="B454" s="76"/>
      <c r="G454" s="74"/>
      <c r="H454" s="74"/>
    </row>
    <row r="455" ht="15.75" customHeight="1">
      <c r="A455" s="75"/>
      <c r="B455" s="76"/>
      <c r="G455" s="74"/>
      <c r="H455" s="74"/>
    </row>
    <row r="456" ht="15.75" customHeight="1">
      <c r="A456" s="75"/>
      <c r="B456" s="76"/>
      <c r="G456" s="74"/>
      <c r="H456" s="74"/>
    </row>
    <row r="457" ht="15.75" customHeight="1">
      <c r="A457" s="75"/>
      <c r="B457" s="76"/>
      <c r="G457" s="74"/>
      <c r="H457" s="74"/>
    </row>
    <row r="458" ht="15.75" customHeight="1">
      <c r="A458" s="75"/>
      <c r="B458" s="76"/>
      <c r="G458" s="74"/>
      <c r="H458" s="74"/>
    </row>
    <row r="459" ht="15.75" customHeight="1">
      <c r="A459" s="75"/>
      <c r="B459" s="76"/>
      <c r="G459" s="74"/>
      <c r="H459" s="74"/>
    </row>
    <row r="460" ht="15.75" customHeight="1">
      <c r="A460" s="75"/>
      <c r="B460" s="76"/>
      <c r="G460" s="74"/>
      <c r="H460" s="74"/>
    </row>
    <row r="461" ht="15.75" customHeight="1">
      <c r="A461" s="75"/>
      <c r="B461" s="76"/>
      <c r="G461" s="74"/>
      <c r="H461" s="74"/>
    </row>
    <row r="462" ht="15.75" customHeight="1">
      <c r="A462" s="75"/>
      <c r="B462" s="76"/>
      <c r="G462" s="74"/>
      <c r="H462" s="74"/>
    </row>
    <row r="463" ht="15.75" customHeight="1">
      <c r="A463" s="75"/>
      <c r="B463" s="76"/>
      <c r="G463" s="74"/>
      <c r="H463" s="74"/>
    </row>
    <row r="464" ht="15.75" customHeight="1">
      <c r="A464" s="75"/>
      <c r="B464" s="76"/>
      <c r="G464" s="74"/>
      <c r="H464" s="74"/>
    </row>
    <row r="465" ht="15.75" customHeight="1">
      <c r="A465" s="75"/>
      <c r="B465" s="76"/>
      <c r="G465" s="74"/>
      <c r="H465" s="74"/>
    </row>
    <row r="466" ht="15.75" customHeight="1">
      <c r="A466" s="75"/>
      <c r="B466" s="76"/>
      <c r="G466" s="74"/>
      <c r="H466" s="74"/>
    </row>
    <row r="467" ht="15.75" customHeight="1">
      <c r="A467" s="75"/>
      <c r="B467" s="76"/>
      <c r="G467" s="74"/>
      <c r="H467" s="74"/>
    </row>
    <row r="468" ht="15.75" customHeight="1">
      <c r="A468" s="75"/>
      <c r="B468" s="76"/>
      <c r="G468" s="74"/>
      <c r="H468" s="74"/>
    </row>
    <row r="469" ht="15.75" customHeight="1">
      <c r="A469" s="75"/>
      <c r="B469" s="76"/>
      <c r="G469" s="74"/>
      <c r="H469" s="74"/>
    </row>
    <row r="470" ht="15.75" customHeight="1">
      <c r="A470" s="75"/>
      <c r="B470" s="76"/>
      <c r="G470" s="74"/>
      <c r="H470" s="74"/>
    </row>
    <row r="471" ht="15.75" customHeight="1">
      <c r="A471" s="75"/>
      <c r="B471" s="76"/>
      <c r="G471" s="74"/>
      <c r="H471" s="74"/>
    </row>
    <row r="472" ht="15.75" customHeight="1">
      <c r="A472" s="75"/>
      <c r="B472" s="76"/>
      <c r="G472" s="74"/>
      <c r="H472" s="74"/>
    </row>
    <row r="473" ht="15.75" customHeight="1">
      <c r="A473" s="75"/>
      <c r="B473" s="76"/>
      <c r="G473" s="74"/>
      <c r="H473" s="74"/>
    </row>
    <row r="474" ht="15.75" customHeight="1">
      <c r="A474" s="75"/>
      <c r="B474" s="76"/>
      <c r="G474" s="74"/>
      <c r="H474" s="74"/>
    </row>
    <row r="475" ht="15.75" customHeight="1">
      <c r="A475" s="75"/>
      <c r="B475" s="76"/>
      <c r="G475" s="74"/>
      <c r="H475" s="74"/>
    </row>
    <row r="476" ht="15.75" customHeight="1">
      <c r="A476" s="75"/>
      <c r="B476" s="76"/>
      <c r="G476" s="74"/>
      <c r="H476" s="74"/>
    </row>
    <row r="477" ht="15.75" customHeight="1">
      <c r="A477" s="75"/>
      <c r="B477" s="76"/>
      <c r="G477" s="74"/>
      <c r="H477" s="74"/>
    </row>
    <row r="478" ht="15.75" customHeight="1">
      <c r="A478" s="75"/>
      <c r="B478" s="76"/>
      <c r="G478" s="74"/>
      <c r="H478" s="74"/>
    </row>
    <row r="479" ht="15.75" customHeight="1">
      <c r="A479" s="75"/>
      <c r="B479" s="76"/>
      <c r="G479" s="74"/>
      <c r="H479" s="74"/>
    </row>
    <row r="480" ht="15.75" customHeight="1">
      <c r="A480" s="75"/>
      <c r="B480" s="76"/>
      <c r="G480" s="74"/>
      <c r="H480" s="74"/>
    </row>
    <row r="481" ht="15.75" customHeight="1">
      <c r="A481" s="75"/>
      <c r="B481" s="76"/>
      <c r="G481" s="74"/>
      <c r="H481" s="74"/>
    </row>
    <row r="482" ht="15.75" customHeight="1">
      <c r="A482" s="75"/>
      <c r="B482" s="76"/>
      <c r="G482" s="74"/>
      <c r="H482" s="74"/>
    </row>
    <row r="483" ht="15.75" customHeight="1">
      <c r="A483" s="75"/>
      <c r="B483" s="76"/>
      <c r="G483" s="74"/>
      <c r="H483" s="74"/>
    </row>
    <row r="484" ht="15.75" customHeight="1">
      <c r="A484" s="75"/>
      <c r="B484" s="76"/>
      <c r="G484" s="74"/>
      <c r="H484" s="74"/>
    </row>
    <row r="485" ht="15.75" customHeight="1">
      <c r="A485" s="75"/>
      <c r="B485" s="76"/>
      <c r="G485" s="74"/>
      <c r="H485" s="74"/>
    </row>
    <row r="486" ht="15.75" customHeight="1">
      <c r="A486" s="75"/>
      <c r="B486" s="76"/>
      <c r="G486" s="74"/>
      <c r="H486" s="74"/>
    </row>
    <row r="487" ht="15.75" customHeight="1">
      <c r="A487" s="75"/>
      <c r="B487" s="76"/>
      <c r="G487" s="74"/>
      <c r="H487" s="74"/>
    </row>
    <row r="488" ht="15.75" customHeight="1">
      <c r="A488" s="75"/>
      <c r="B488" s="76"/>
      <c r="G488" s="74"/>
      <c r="H488" s="74"/>
    </row>
    <row r="489" ht="15.75" customHeight="1">
      <c r="A489" s="75"/>
      <c r="B489" s="76"/>
      <c r="G489" s="74"/>
      <c r="H489" s="74"/>
    </row>
    <row r="490" ht="15.75" customHeight="1">
      <c r="A490" s="75"/>
      <c r="B490" s="76"/>
      <c r="G490" s="74"/>
      <c r="H490" s="74"/>
    </row>
    <row r="491" ht="15.75" customHeight="1">
      <c r="A491" s="75"/>
      <c r="B491" s="76"/>
      <c r="G491" s="74"/>
      <c r="H491" s="74"/>
    </row>
    <row r="492" ht="15.75" customHeight="1">
      <c r="A492" s="75"/>
      <c r="B492" s="76"/>
      <c r="G492" s="74"/>
      <c r="H492" s="74"/>
    </row>
    <row r="493" ht="15.75" customHeight="1">
      <c r="A493" s="75"/>
      <c r="B493" s="76"/>
      <c r="G493" s="74"/>
      <c r="H493" s="74"/>
    </row>
    <row r="494" ht="15.75" customHeight="1">
      <c r="A494" s="75"/>
      <c r="B494" s="76"/>
      <c r="G494" s="74"/>
      <c r="H494" s="74"/>
    </row>
    <row r="495" ht="15.75" customHeight="1">
      <c r="A495" s="75"/>
      <c r="B495" s="76"/>
      <c r="G495" s="74"/>
      <c r="H495" s="74"/>
    </row>
    <row r="496" ht="15.75" customHeight="1">
      <c r="A496" s="75"/>
      <c r="B496" s="76"/>
      <c r="G496" s="74"/>
      <c r="H496" s="74"/>
    </row>
    <row r="497" ht="15.75" customHeight="1">
      <c r="A497" s="75"/>
      <c r="B497" s="76"/>
      <c r="G497" s="74"/>
      <c r="H497" s="74"/>
    </row>
    <row r="498" ht="15.75" customHeight="1">
      <c r="A498" s="75"/>
      <c r="B498" s="76"/>
      <c r="G498" s="74"/>
      <c r="H498" s="74"/>
    </row>
    <row r="499" ht="15.75" customHeight="1">
      <c r="A499" s="75"/>
      <c r="B499" s="76"/>
      <c r="G499" s="74"/>
      <c r="H499" s="74"/>
    </row>
    <row r="500" ht="15.75" customHeight="1">
      <c r="A500" s="75"/>
      <c r="B500" s="76"/>
      <c r="G500" s="74"/>
      <c r="H500" s="74"/>
    </row>
    <row r="501" ht="15.75" customHeight="1">
      <c r="A501" s="75"/>
      <c r="B501" s="76"/>
      <c r="G501" s="74"/>
      <c r="H501" s="74"/>
    </row>
    <row r="502" ht="15.75" customHeight="1">
      <c r="A502" s="75"/>
      <c r="B502" s="76"/>
      <c r="G502" s="74"/>
      <c r="H502" s="74"/>
    </row>
    <row r="503" ht="15.75" customHeight="1">
      <c r="A503" s="75"/>
      <c r="B503" s="76"/>
      <c r="G503" s="74"/>
      <c r="H503" s="74"/>
    </row>
    <row r="504" ht="15.75" customHeight="1">
      <c r="A504" s="75"/>
      <c r="B504" s="76"/>
      <c r="G504" s="74"/>
      <c r="H504" s="74"/>
    </row>
    <row r="505" ht="15.75" customHeight="1">
      <c r="A505" s="75"/>
      <c r="B505" s="76"/>
      <c r="G505" s="74"/>
      <c r="H505" s="74"/>
    </row>
    <row r="506" ht="15.75" customHeight="1">
      <c r="A506" s="75"/>
      <c r="B506" s="76"/>
      <c r="G506" s="74"/>
      <c r="H506" s="74"/>
    </row>
    <row r="507" ht="15.75" customHeight="1">
      <c r="A507" s="75"/>
      <c r="B507" s="76"/>
      <c r="G507" s="74"/>
      <c r="H507" s="74"/>
    </row>
    <row r="508" ht="15.75" customHeight="1">
      <c r="A508" s="75"/>
      <c r="B508" s="76"/>
      <c r="G508" s="74"/>
      <c r="H508" s="74"/>
    </row>
    <row r="509" ht="15.75" customHeight="1">
      <c r="A509" s="75"/>
      <c r="B509" s="76"/>
      <c r="G509" s="74"/>
      <c r="H509" s="74"/>
    </row>
    <row r="510" ht="15.75" customHeight="1">
      <c r="A510" s="75"/>
      <c r="B510" s="76"/>
      <c r="G510" s="74"/>
      <c r="H510" s="74"/>
    </row>
    <row r="511" ht="15.75" customHeight="1">
      <c r="A511" s="75"/>
      <c r="B511" s="76"/>
      <c r="G511" s="74"/>
      <c r="H511" s="74"/>
    </row>
    <row r="512" ht="15.75" customHeight="1">
      <c r="A512" s="75"/>
      <c r="B512" s="76"/>
      <c r="G512" s="74"/>
      <c r="H512" s="74"/>
    </row>
    <row r="513" ht="15.75" customHeight="1">
      <c r="A513" s="75"/>
      <c r="B513" s="76"/>
      <c r="G513" s="74"/>
      <c r="H513" s="74"/>
    </row>
    <row r="514" ht="15.75" customHeight="1">
      <c r="A514" s="75"/>
      <c r="B514" s="76"/>
      <c r="G514" s="74"/>
      <c r="H514" s="74"/>
    </row>
    <row r="515" ht="15.75" customHeight="1">
      <c r="A515" s="75"/>
      <c r="B515" s="76"/>
      <c r="G515" s="74"/>
      <c r="H515" s="74"/>
    </row>
    <row r="516" ht="15.75" customHeight="1">
      <c r="A516" s="75"/>
      <c r="B516" s="76"/>
      <c r="G516" s="74"/>
      <c r="H516" s="74"/>
    </row>
    <row r="517" ht="15.75" customHeight="1">
      <c r="A517" s="75"/>
      <c r="B517" s="76"/>
      <c r="G517" s="74"/>
      <c r="H517" s="74"/>
    </row>
    <row r="518" ht="15.75" customHeight="1">
      <c r="A518" s="75"/>
      <c r="B518" s="76"/>
      <c r="G518" s="74"/>
      <c r="H518" s="74"/>
    </row>
    <row r="519" ht="15.75" customHeight="1">
      <c r="A519" s="75"/>
      <c r="B519" s="76"/>
      <c r="G519" s="74"/>
      <c r="H519" s="74"/>
    </row>
    <row r="520" ht="15.75" customHeight="1">
      <c r="A520" s="75"/>
      <c r="B520" s="76"/>
      <c r="G520" s="74"/>
      <c r="H520" s="74"/>
    </row>
    <row r="521" ht="15.75" customHeight="1">
      <c r="A521" s="75"/>
      <c r="B521" s="76"/>
      <c r="G521" s="74"/>
      <c r="H521" s="74"/>
    </row>
    <row r="522" ht="15.75" customHeight="1">
      <c r="A522" s="75"/>
      <c r="B522" s="76"/>
      <c r="G522" s="74"/>
      <c r="H522" s="74"/>
    </row>
    <row r="523" ht="15.75" customHeight="1">
      <c r="A523" s="75"/>
      <c r="B523" s="76"/>
      <c r="G523" s="74"/>
      <c r="H523" s="74"/>
    </row>
    <row r="524" ht="15.75" customHeight="1">
      <c r="A524" s="75"/>
      <c r="B524" s="76"/>
      <c r="G524" s="74"/>
      <c r="H524" s="74"/>
    </row>
    <row r="525" ht="15.75" customHeight="1">
      <c r="A525" s="75"/>
      <c r="B525" s="76"/>
      <c r="G525" s="74"/>
      <c r="H525" s="74"/>
    </row>
    <row r="526" ht="15.75" customHeight="1">
      <c r="A526" s="75"/>
      <c r="B526" s="76"/>
      <c r="G526" s="74"/>
      <c r="H526" s="74"/>
    </row>
    <row r="527" ht="15.75" customHeight="1">
      <c r="A527" s="75"/>
      <c r="B527" s="76"/>
      <c r="G527" s="74"/>
      <c r="H527" s="74"/>
    </row>
    <row r="528" ht="15.75" customHeight="1">
      <c r="A528" s="75"/>
      <c r="B528" s="76"/>
      <c r="G528" s="74"/>
      <c r="H528" s="74"/>
    </row>
    <row r="529" ht="15.75" customHeight="1">
      <c r="A529" s="75"/>
      <c r="B529" s="76"/>
      <c r="G529" s="74"/>
      <c r="H529" s="74"/>
    </row>
    <row r="530" ht="15.75" customHeight="1">
      <c r="A530" s="75"/>
      <c r="B530" s="76"/>
      <c r="G530" s="74"/>
      <c r="H530" s="74"/>
    </row>
    <row r="531" ht="15.75" customHeight="1">
      <c r="A531" s="75"/>
      <c r="B531" s="76"/>
      <c r="G531" s="74"/>
      <c r="H531" s="74"/>
    </row>
    <row r="532" ht="15.75" customHeight="1">
      <c r="A532" s="75"/>
      <c r="B532" s="76"/>
      <c r="G532" s="74"/>
      <c r="H532" s="74"/>
    </row>
    <row r="533" ht="15.75" customHeight="1">
      <c r="A533" s="75"/>
      <c r="B533" s="76"/>
      <c r="G533" s="74"/>
      <c r="H533" s="74"/>
    </row>
    <row r="534" ht="15.75" customHeight="1">
      <c r="A534" s="75"/>
      <c r="B534" s="76"/>
      <c r="G534" s="74"/>
      <c r="H534" s="74"/>
    </row>
    <row r="535" ht="15.75" customHeight="1">
      <c r="A535" s="75"/>
      <c r="B535" s="76"/>
      <c r="G535" s="74"/>
      <c r="H535" s="74"/>
    </row>
    <row r="536" ht="15.75" customHeight="1">
      <c r="A536" s="75"/>
      <c r="B536" s="76"/>
      <c r="G536" s="74"/>
      <c r="H536" s="74"/>
    </row>
    <row r="537" ht="15.75" customHeight="1">
      <c r="A537" s="75"/>
      <c r="B537" s="76"/>
      <c r="G537" s="74"/>
      <c r="H537" s="74"/>
    </row>
    <row r="538" ht="15.75" customHeight="1">
      <c r="A538" s="75"/>
      <c r="B538" s="76"/>
      <c r="G538" s="74"/>
      <c r="H538" s="74"/>
    </row>
    <row r="539" ht="15.75" customHeight="1">
      <c r="A539" s="75"/>
      <c r="B539" s="76"/>
      <c r="G539" s="74"/>
      <c r="H539" s="74"/>
    </row>
    <row r="540" ht="15.75" customHeight="1">
      <c r="A540" s="75"/>
      <c r="B540" s="76"/>
      <c r="G540" s="74"/>
      <c r="H540" s="74"/>
    </row>
    <row r="541" ht="15.75" customHeight="1">
      <c r="A541" s="75"/>
      <c r="B541" s="76"/>
      <c r="G541" s="74"/>
      <c r="H541" s="74"/>
    </row>
    <row r="542" ht="15.75" customHeight="1">
      <c r="A542" s="75"/>
      <c r="B542" s="76"/>
      <c r="G542" s="74"/>
      <c r="H542" s="74"/>
    </row>
    <row r="543" ht="15.75" customHeight="1">
      <c r="A543" s="75"/>
      <c r="B543" s="76"/>
      <c r="G543" s="74"/>
      <c r="H543" s="74"/>
    </row>
    <row r="544" ht="15.75" customHeight="1">
      <c r="A544" s="75"/>
      <c r="B544" s="76"/>
      <c r="G544" s="74"/>
      <c r="H544" s="74"/>
    </row>
    <row r="545" ht="15.75" customHeight="1">
      <c r="A545" s="75"/>
      <c r="B545" s="76"/>
      <c r="G545" s="74"/>
      <c r="H545" s="74"/>
    </row>
    <row r="546" ht="15.75" customHeight="1">
      <c r="A546" s="75"/>
      <c r="B546" s="76"/>
      <c r="G546" s="74"/>
      <c r="H546" s="74"/>
    </row>
    <row r="547" ht="15.75" customHeight="1">
      <c r="A547" s="75"/>
      <c r="B547" s="76"/>
      <c r="G547" s="74"/>
      <c r="H547" s="74"/>
    </row>
    <row r="548" ht="15.75" customHeight="1">
      <c r="A548" s="75"/>
      <c r="B548" s="76"/>
      <c r="G548" s="74"/>
      <c r="H548" s="74"/>
    </row>
    <row r="549" ht="15.75" customHeight="1">
      <c r="A549" s="75"/>
      <c r="B549" s="76"/>
      <c r="G549" s="74"/>
      <c r="H549" s="74"/>
    </row>
    <row r="550" ht="15.75" customHeight="1">
      <c r="A550" s="75"/>
      <c r="B550" s="76"/>
      <c r="G550" s="74"/>
      <c r="H550" s="74"/>
    </row>
    <row r="551" ht="15.75" customHeight="1">
      <c r="A551" s="75"/>
      <c r="B551" s="76"/>
      <c r="G551" s="74"/>
      <c r="H551" s="74"/>
    </row>
    <row r="552" ht="15.75" customHeight="1">
      <c r="A552" s="75"/>
      <c r="B552" s="76"/>
      <c r="G552" s="74"/>
      <c r="H552" s="74"/>
    </row>
    <row r="553" ht="15.75" customHeight="1">
      <c r="A553" s="75"/>
      <c r="B553" s="76"/>
      <c r="G553" s="74"/>
      <c r="H553" s="74"/>
    </row>
    <row r="554" ht="15.75" customHeight="1">
      <c r="A554" s="75"/>
      <c r="B554" s="76"/>
      <c r="G554" s="74"/>
      <c r="H554" s="74"/>
    </row>
    <row r="555" ht="15.75" customHeight="1">
      <c r="A555" s="75"/>
      <c r="B555" s="76"/>
      <c r="G555" s="74"/>
      <c r="H555" s="74"/>
    </row>
    <row r="556" ht="15.75" customHeight="1">
      <c r="A556" s="75"/>
      <c r="B556" s="76"/>
      <c r="G556" s="74"/>
      <c r="H556" s="74"/>
    </row>
    <row r="557" ht="15.75" customHeight="1">
      <c r="A557" s="75"/>
      <c r="B557" s="76"/>
      <c r="G557" s="74"/>
      <c r="H557" s="74"/>
    </row>
    <row r="558" ht="15.75" customHeight="1">
      <c r="A558" s="75"/>
      <c r="B558" s="76"/>
      <c r="G558" s="74"/>
      <c r="H558" s="74"/>
    </row>
    <row r="559" ht="15.75" customHeight="1">
      <c r="A559" s="75"/>
      <c r="B559" s="76"/>
      <c r="G559" s="74"/>
      <c r="H559" s="74"/>
    </row>
    <row r="560" ht="15.75" customHeight="1">
      <c r="A560" s="75"/>
      <c r="B560" s="76"/>
      <c r="G560" s="74"/>
      <c r="H560" s="74"/>
    </row>
    <row r="561" ht="15.75" customHeight="1">
      <c r="A561" s="75"/>
      <c r="B561" s="76"/>
      <c r="G561" s="74"/>
      <c r="H561" s="74"/>
    </row>
    <row r="562" ht="15.75" customHeight="1">
      <c r="A562" s="75"/>
      <c r="B562" s="76"/>
      <c r="G562" s="74"/>
      <c r="H562" s="74"/>
    </row>
    <row r="563" ht="15.75" customHeight="1">
      <c r="A563" s="75"/>
      <c r="B563" s="76"/>
      <c r="G563" s="74"/>
      <c r="H563" s="74"/>
    </row>
    <row r="564" ht="15.75" customHeight="1">
      <c r="A564" s="75"/>
      <c r="B564" s="76"/>
      <c r="G564" s="74"/>
      <c r="H564" s="74"/>
    </row>
    <row r="565" ht="15.75" customHeight="1">
      <c r="A565" s="75"/>
      <c r="B565" s="76"/>
      <c r="G565" s="74"/>
      <c r="H565" s="74"/>
    </row>
    <row r="566" ht="15.75" customHeight="1">
      <c r="A566" s="75"/>
      <c r="B566" s="76"/>
      <c r="G566" s="74"/>
      <c r="H566" s="74"/>
    </row>
    <row r="567" ht="15.75" customHeight="1">
      <c r="A567" s="75"/>
      <c r="B567" s="76"/>
      <c r="G567" s="74"/>
      <c r="H567" s="74"/>
    </row>
    <row r="568" ht="15.75" customHeight="1">
      <c r="A568" s="75"/>
      <c r="B568" s="76"/>
      <c r="G568" s="74"/>
      <c r="H568" s="74"/>
    </row>
    <row r="569" ht="15.75" customHeight="1">
      <c r="A569" s="75"/>
      <c r="B569" s="76"/>
      <c r="G569" s="74"/>
      <c r="H569" s="74"/>
    </row>
    <row r="570" ht="15.75" customHeight="1">
      <c r="A570" s="75"/>
      <c r="B570" s="76"/>
      <c r="G570" s="74"/>
      <c r="H570" s="74"/>
    </row>
    <row r="571" ht="15.75" customHeight="1">
      <c r="A571" s="75"/>
      <c r="B571" s="76"/>
      <c r="G571" s="74"/>
      <c r="H571" s="74"/>
    </row>
    <row r="572" ht="15.75" customHeight="1">
      <c r="A572" s="75"/>
      <c r="B572" s="76"/>
      <c r="G572" s="74"/>
      <c r="H572" s="74"/>
    </row>
    <row r="573" ht="15.75" customHeight="1">
      <c r="A573" s="75"/>
      <c r="B573" s="76"/>
      <c r="G573" s="74"/>
      <c r="H573" s="74"/>
    </row>
    <row r="574" ht="15.75" customHeight="1">
      <c r="A574" s="75"/>
      <c r="B574" s="76"/>
      <c r="G574" s="74"/>
      <c r="H574" s="74"/>
    </row>
    <row r="575" ht="15.75" customHeight="1">
      <c r="A575" s="75"/>
      <c r="B575" s="76"/>
      <c r="G575" s="74"/>
      <c r="H575" s="74"/>
    </row>
    <row r="576" ht="15.75" customHeight="1">
      <c r="A576" s="75"/>
      <c r="B576" s="76"/>
      <c r="G576" s="74"/>
      <c r="H576" s="74"/>
    </row>
    <row r="577" ht="15.75" customHeight="1">
      <c r="A577" s="75"/>
      <c r="B577" s="76"/>
      <c r="G577" s="74"/>
      <c r="H577" s="74"/>
    </row>
    <row r="578" ht="15.75" customHeight="1">
      <c r="A578" s="75"/>
      <c r="B578" s="76"/>
      <c r="G578" s="74"/>
      <c r="H578" s="74"/>
    </row>
    <row r="579" ht="15.75" customHeight="1">
      <c r="A579" s="75"/>
      <c r="B579" s="76"/>
      <c r="G579" s="74"/>
      <c r="H579" s="74"/>
    </row>
    <row r="580" ht="15.75" customHeight="1">
      <c r="A580" s="75"/>
      <c r="B580" s="76"/>
      <c r="G580" s="74"/>
      <c r="H580" s="74"/>
    </row>
    <row r="581" ht="15.75" customHeight="1">
      <c r="A581" s="75"/>
      <c r="B581" s="76"/>
      <c r="G581" s="74"/>
      <c r="H581" s="74"/>
    </row>
    <row r="582" ht="15.75" customHeight="1">
      <c r="A582" s="75"/>
      <c r="B582" s="76"/>
      <c r="G582" s="74"/>
      <c r="H582" s="74"/>
    </row>
    <row r="583" ht="15.75" customHeight="1">
      <c r="A583" s="75"/>
      <c r="B583" s="76"/>
      <c r="G583" s="74"/>
      <c r="H583" s="74"/>
    </row>
    <row r="584" ht="15.75" customHeight="1">
      <c r="A584" s="75"/>
      <c r="B584" s="76"/>
      <c r="G584" s="74"/>
      <c r="H584" s="74"/>
    </row>
    <row r="585" ht="15.75" customHeight="1">
      <c r="A585" s="75"/>
      <c r="B585" s="76"/>
      <c r="G585" s="74"/>
      <c r="H585" s="74"/>
    </row>
    <row r="586" ht="15.75" customHeight="1">
      <c r="A586" s="75"/>
      <c r="B586" s="76"/>
      <c r="G586" s="74"/>
      <c r="H586" s="74"/>
    </row>
    <row r="587" ht="15.75" customHeight="1">
      <c r="A587" s="75"/>
      <c r="B587" s="76"/>
      <c r="G587" s="74"/>
      <c r="H587" s="74"/>
    </row>
    <row r="588" ht="15.75" customHeight="1">
      <c r="A588" s="75"/>
      <c r="B588" s="76"/>
      <c r="G588" s="74"/>
      <c r="H588" s="74"/>
    </row>
    <row r="589" ht="15.75" customHeight="1">
      <c r="A589" s="75"/>
      <c r="B589" s="76"/>
      <c r="G589" s="74"/>
      <c r="H589" s="74"/>
    </row>
    <row r="590" ht="15.75" customHeight="1">
      <c r="A590" s="75"/>
      <c r="B590" s="76"/>
      <c r="G590" s="74"/>
      <c r="H590" s="74"/>
    </row>
    <row r="591" ht="15.75" customHeight="1">
      <c r="A591" s="75"/>
      <c r="B591" s="76"/>
      <c r="G591" s="74"/>
      <c r="H591" s="74"/>
    </row>
    <row r="592" ht="15.75" customHeight="1">
      <c r="A592" s="75"/>
      <c r="B592" s="76"/>
      <c r="G592" s="74"/>
      <c r="H592" s="74"/>
    </row>
    <row r="593" ht="15.75" customHeight="1">
      <c r="A593" s="75"/>
      <c r="B593" s="76"/>
      <c r="G593" s="74"/>
      <c r="H593" s="74"/>
    </row>
    <row r="594" ht="15.75" customHeight="1">
      <c r="A594" s="75"/>
      <c r="B594" s="76"/>
      <c r="G594" s="74"/>
      <c r="H594" s="74"/>
    </row>
    <row r="595" ht="15.75" customHeight="1">
      <c r="A595" s="75"/>
      <c r="B595" s="76"/>
      <c r="G595" s="74"/>
      <c r="H595" s="74"/>
    </row>
    <row r="596" ht="15.75" customHeight="1">
      <c r="A596" s="75"/>
      <c r="B596" s="76"/>
      <c r="G596" s="74"/>
      <c r="H596" s="74"/>
    </row>
    <row r="597" ht="15.75" customHeight="1">
      <c r="A597" s="75"/>
      <c r="B597" s="76"/>
      <c r="G597" s="74"/>
      <c r="H597" s="74"/>
    </row>
    <row r="598" ht="15.75" customHeight="1">
      <c r="A598" s="75"/>
      <c r="B598" s="76"/>
      <c r="G598" s="74"/>
      <c r="H598" s="74"/>
    </row>
    <row r="599" ht="15.75" customHeight="1">
      <c r="A599" s="75"/>
      <c r="B599" s="76"/>
      <c r="G599" s="74"/>
      <c r="H599" s="74"/>
    </row>
    <row r="600" ht="15.75" customHeight="1">
      <c r="A600" s="75"/>
      <c r="B600" s="76"/>
      <c r="G600" s="74"/>
      <c r="H600" s="74"/>
    </row>
    <row r="601" ht="15.75" customHeight="1">
      <c r="A601" s="75"/>
      <c r="B601" s="76"/>
      <c r="G601" s="74"/>
      <c r="H601" s="74"/>
    </row>
    <row r="602" ht="15.75" customHeight="1">
      <c r="A602" s="75"/>
      <c r="B602" s="76"/>
      <c r="G602" s="74"/>
      <c r="H602" s="74"/>
    </row>
    <row r="603" ht="15.75" customHeight="1">
      <c r="A603" s="75"/>
      <c r="B603" s="76"/>
      <c r="G603" s="74"/>
      <c r="H603" s="74"/>
    </row>
    <row r="604" ht="15.75" customHeight="1">
      <c r="A604" s="75"/>
      <c r="B604" s="76"/>
      <c r="G604" s="74"/>
      <c r="H604" s="74"/>
    </row>
    <row r="605" ht="15.75" customHeight="1">
      <c r="A605" s="75"/>
      <c r="B605" s="76"/>
      <c r="G605" s="74"/>
      <c r="H605" s="74"/>
    </row>
    <row r="606" ht="15.75" customHeight="1">
      <c r="A606" s="75"/>
      <c r="B606" s="76"/>
      <c r="G606" s="74"/>
      <c r="H606" s="74"/>
    </row>
    <row r="607" ht="15.75" customHeight="1">
      <c r="A607" s="75"/>
      <c r="B607" s="76"/>
      <c r="G607" s="74"/>
      <c r="H607" s="74"/>
    </row>
    <row r="608" ht="15.75" customHeight="1">
      <c r="A608" s="75"/>
      <c r="B608" s="76"/>
      <c r="G608" s="74"/>
      <c r="H608" s="74"/>
    </row>
    <row r="609" ht="15.75" customHeight="1">
      <c r="A609" s="75"/>
      <c r="B609" s="76"/>
      <c r="G609" s="74"/>
      <c r="H609" s="74"/>
    </row>
    <row r="610" ht="15.75" customHeight="1">
      <c r="A610" s="75"/>
      <c r="B610" s="76"/>
      <c r="G610" s="74"/>
      <c r="H610" s="74"/>
    </row>
    <row r="611" ht="15.75" customHeight="1">
      <c r="A611" s="75"/>
      <c r="B611" s="76"/>
      <c r="G611" s="74"/>
      <c r="H611" s="74"/>
    </row>
    <row r="612" ht="15.75" customHeight="1">
      <c r="A612" s="75"/>
      <c r="B612" s="76"/>
      <c r="G612" s="74"/>
      <c r="H612" s="74"/>
    </row>
    <row r="613" ht="15.75" customHeight="1">
      <c r="A613" s="75"/>
      <c r="B613" s="76"/>
      <c r="G613" s="74"/>
      <c r="H613" s="74"/>
    </row>
    <row r="614" ht="15.75" customHeight="1">
      <c r="A614" s="75"/>
      <c r="B614" s="76"/>
      <c r="G614" s="74"/>
      <c r="H614" s="74"/>
    </row>
    <row r="615" ht="15.75" customHeight="1">
      <c r="A615" s="75"/>
      <c r="B615" s="76"/>
      <c r="G615" s="74"/>
      <c r="H615" s="74"/>
    </row>
    <row r="616" ht="15.75" customHeight="1">
      <c r="A616" s="75"/>
      <c r="B616" s="76"/>
      <c r="G616" s="74"/>
      <c r="H616" s="74"/>
    </row>
    <row r="617" ht="15.75" customHeight="1">
      <c r="A617" s="75"/>
      <c r="B617" s="76"/>
      <c r="G617" s="74"/>
      <c r="H617" s="74"/>
    </row>
    <row r="618" ht="15.75" customHeight="1">
      <c r="A618" s="75"/>
      <c r="B618" s="76"/>
      <c r="G618" s="74"/>
      <c r="H618" s="74"/>
    </row>
    <row r="619" ht="15.75" customHeight="1">
      <c r="A619" s="75"/>
      <c r="B619" s="76"/>
      <c r="G619" s="74"/>
      <c r="H619" s="74"/>
    </row>
    <row r="620" ht="15.75" customHeight="1">
      <c r="A620" s="75"/>
      <c r="B620" s="76"/>
      <c r="G620" s="74"/>
      <c r="H620" s="74"/>
    </row>
    <row r="621" ht="15.75" customHeight="1">
      <c r="A621" s="75"/>
      <c r="B621" s="76"/>
      <c r="G621" s="74"/>
      <c r="H621" s="74"/>
    </row>
    <row r="622" ht="15.75" customHeight="1">
      <c r="A622" s="75"/>
      <c r="B622" s="76"/>
      <c r="G622" s="74"/>
      <c r="H622" s="74"/>
    </row>
    <row r="623" ht="15.75" customHeight="1">
      <c r="A623" s="75"/>
      <c r="B623" s="76"/>
      <c r="G623" s="74"/>
      <c r="H623" s="74"/>
    </row>
    <row r="624" ht="15.75" customHeight="1">
      <c r="A624" s="75"/>
      <c r="B624" s="76"/>
      <c r="G624" s="74"/>
      <c r="H624" s="74"/>
    </row>
    <row r="625" ht="15.75" customHeight="1">
      <c r="A625" s="75"/>
      <c r="B625" s="76"/>
      <c r="G625" s="74"/>
      <c r="H625" s="74"/>
    </row>
    <row r="626" ht="15.75" customHeight="1">
      <c r="A626" s="75"/>
      <c r="B626" s="76"/>
      <c r="G626" s="74"/>
      <c r="H626" s="74"/>
    </row>
    <row r="627" ht="15.75" customHeight="1">
      <c r="A627" s="75"/>
      <c r="B627" s="76"/>
      <c r="G627" s="74"/>
      <c r="H627" s="74"/>
    </row>
    <row r="628" ht="15.75" customHeight="1">
      <c r="A628" s="75"/>
      <c r="B628" s="76"/>
      <c r="G628" s="74"/>
      <c r="H628" s="74"/>
    </row>
    <row r="629" ht="15.75" customHeight="1">
      <c r="A629" s="75"/>
      <c r="B629" s="76"/>
      <c r="G629" s="74"/>
      <c r="H629" s="74"/>
    </row>
    <row r="630" ht="15.75" customHeight="1">
      <c r="A630" s="75"/>
      <c r="B630" s="76"/>
      <c r="G630" s="74"/>
      <c r="H630" s="74"/>
    </row>
    <row r="631" ht="15.75" customHeight="1">
      <c r="A631" s="75"/>
      <c r="B631" s="76"/>
      <c r="G631" s="74"/>
      <c r="H631" s="74"/>
    </row>
    <row r="632" ht="15.75" customHeight="1">
      <c r="A632" s="75"/>
      <c r="B632" s="76"/>
      <c r="G632" s="74"/>
      <c r="H632" s="74"/>
    </row>
    <row r="633" ht="15.75" customHeight="1">
      <c r="A633" s="75"/>
      <c r="B633" s="76"/>
      <c r="G633" s="74"/>
      <c r="H633" s="74"/>
    </row>
    <row r="634" ht="15.75" customHeight="1">
      <c r="A634" s="75"/>
      <c r="B634" s="76"/>
      <c r="G634" s="74"/>
      <c r="H634" s="74"/>
    </row>
    <row r="635" ht="15.75" customHeight="1">
      <c r="A635" s="75"/>
      <c r="B635" s="76"/>
      <c r="G635" s="74"/>
      <c r="H635" s="74"/>
    </row>
    <row r="636" ht="15.75" customHeight="1">
      <c r="A636" s="75"/>
      <c r="B636" s="76"/>
      <c r="G636" s="74"/>
      <c r="H636" s="74"/>
    </row>
    <row r="637" ht="15.75" customHeight="1">
      <c r="A637" s="75"/>
      <c r="B637" s="76"/>
      <c r="G637" s="74"/>
      <c r="H637" s="74"/>
    </row>
    <row r="638" ht="15.75" customHeight="1">
      <c r="A638" s="75"/>
      <c r="B638" s="76"/>
      <c r="G638" s="74"/>
      <c r="H638" s="74"/>
    </row>
    <row r="639" ht="15.75" customHeight="1">
      <c r="A639" s="75"/>
      <c r="B639" s="76"/>
      <c r="G639" s="74"/>
      <c r="H639" s="74"/>
    </row>
    <row r="640" ht="15.75" customHeight="1">
      <c r="A640" s="75"/>
      <c r="B640" s="76"/>
      <c r="G640" s="74"/>
      <c r="H640" s="74"/>
    </row>
    <row r="641" ht="15.75" customHeight="1">
      <c r="A641" s="75"/>
      <c r="B641" s="76"/>
      <c r="G641" s="74"/>
      <c r="H641" s="74"/>
    </row>
    <row r="642" ht="15.75" customHeight="1">
      <c r="A642" s="75"/>
      <c r="B642" s="76"/>
      <c r="G642" s="74"/>
      <c r="H642" s="74"/>
    </row>
    <row r="643" ht="15.75" customHeight="1">
      <c r="A643" s="75"/>
      <c r="B643" s="76"/>
      <c r="G643" s="74"/>
      <c r="H643" s="74"/>
    </row>
    <row r="644" ht="15.75" customHeight="1">
      <c r="A644" s="75"/>
      <c r="B644" s="76"/>
      <c r="G644" s="74"/>
      <c r="H644" s="74"/>
    </row>
    <row r="645" ht="15.75" customHeight="1">
      <c r="A645" s="75"/>
      <c r="B645" s="76"/>
      <c r="G645" s="74"/>
      <c r="H645" s="74"/>
    </row>
    <row r="646" ht="15.75" customHeight="1">
      <c r="A646" s="75"/>
      <c r="B646" s="76"/>
      <c r="G646" s="74"/>
      <c r="H646" s="74"/>
    </row>
    <row r="647" ht="15.75" customHeight="1">
      <c r="A647" s="75"/>
      <c r="B647" s="76"/>
      <c r="G647" s="74"/>
      <c r="H647" s="74"/>
    </row>
    <row r="648" ht="15.75" customHeight="1">
      <c r="A648" s="75"/>
      <c r="B648" s="76"/>
      <c r="G648" s="74"/>
      <c r="H648" s="74"/>
    </row>
    <row r="649" ht="15.75" customHeight="1">
      <c r="A649" s="75"/>
      <c r="B649" s="76"/>
      <c r="G649" s="74"/>
      <c r="H649" s="74"/>
    </row>
    <row r="650" ht="15.75" customHeight="1">
      <c r="A650" s="75"/>
      <c r="B650" s="76"/>
      <c r="G650" s="74"/>
      <c r="H650" s="74"/>
    </row>
    <row r="651" ht="15.75" customHeight="1">
      <c r="A651" s="75"/>
      <c r="B651" s="76"/>
      <c r="G651" s="74"/>
      <c r="H651" s="74"/>
    </row>
    <row r="652" ht="15.75" customHeight="1">
      <c r="A652" s="75"/>
      <c r="B652" s="76"/>
      <c r="G652" s="74"/>
      <c r="H652" s="74"/>
    </row>
    <row r="653" ht="15.75" customHeight="1">
      <c r="A653" s="75"/>
      <c r="B653" s="76"/>
      <c r="G653" s="74"/>
      <c r="H653" s="74"/>
    </row>
    <row r="654" ht="15.75" customHeight="1">
      <c r="A654" s="75"/>
      <c r="B654" s="76"/>
      <c r="G654" s="74"/>
      <c r="H654" s="74"/>
    </row>
    <row r="655" ht="15.75" customHeight="1">
      <c r="A655" s="75"/>
      <c r="B655" s="76"/>
      <c r="G655" s="74"/>
      <c r="H655" s="74"/>
    </row>
    <row r="656" ht="15.75" customHeight="1">
      <c r="A656" s="75"/>
      <c r="B656" s="76"/>
      <c r="G656" s="74"/>
      <c r="H656" s="74"/>
    </row>
    <row r="657" ht="15.75" customHeight="1">
      <c r="A657" s="75"/>
      <c r="B657" s="76"/>
      <c r="G657" s="74"/>
      <c r="H657" s="74"/>
    </row>
    <row r="658" ht="15.75" customHeight="1">
      <c r="A658" s="75"/>
      <c r="B658" s="76"/>
      <c r="G658" s="74"/>
      <c r="H658" s="74"/>
    </row>
    <row r="659" ht="15.75" customHeight="1">
      <c r="A659" s="75"/>
      <c r="B659" s="76"/>
      <c r="G659" s="74"/>
      <c r="H659" s="74"/>
    </row>
    <row r="660" ht="15.75" customHeight="1">
      <c r="A660" s="75"/>
      <c r="B660" s="76"/>
      <c r="G660" s="74"/>
      <c r="H660" s="74"/>
    </row>
    <row r="661" ht="15.75" customHeight="1">
      <c r="A661" s="75"/>
      <c r="B661" s="76"/>
      <c r="G661" s="74"/>
      <c r="H661" s="74"/>
    </row>
    <row r="662" ht="15.75" customHeight="1">
      <c r="A662" s="75"/>
      <c r="B662" s="76"/>
      <c r="G662" s="74"/>
      <c r="H662" s="74"/>
    </row>
    <row r="663" ht="15.75" customHeight="1">
      <c r="A663" s="75"/>
      <c r="B663" s="76"/>
      <c r="G663" s="74"/>
      <c r="H663" s="74"/>
    </row>
    <row r="664" ht="15.75" customHeight="1">
      <c r="A664" s="75"/>
      <c r="B664" s="76"/>
      <c r="G664" s="74"/>
      <c r="H664" s="74"/>
    </row>
    <row r="665" ht="15.75" customHeight="1">
      <c r="A665" s="75"/>
      <c r="B665" s="76"/>
      <c r="G665" s="74"/>
      <c r="H665" s="74"/>
    </row>
    <row r="666" ht="15.75" customHeight="1">
      <c r="A666" s="75"/>
      <c r="B666" s="76"/>
      <c r="G666" s="74"/>
      <c r="H666" s="74"/>
    </row>
    <row r="667" ht="15.75" customHeight="1">
      <c r="A667" s="75"/>
      <c r="B667" s="76"/>
      <c r="G667" s="74"/>
      <c r="H667" s="74"/>
    </row>
    <row r="668" ht="15.75" customHeight="1">
      <c r="A668" s="75"/>
      <c r="B668" s="76"/>
      <c r="G668" s="74"/>
      <c r="H668" s="74"/>
    </row>
    <row r="669" ht="15.75" customHeight="1">
      <c r="A669" s="75"/>
      <c r="B669" s="76"/>
      <c r="G669" s="74"/>
      <c r="H669" s="74"/>
    </row>
    <row r="670" ht="15.75" customHeight="1">
      <c r="A670" s="75"/>
      <c r="B670" s="76"/>
      <c r="G670" s="74"/>
      <c r="H670" s="74"/>
    </row>
    <row r="671" ht="15.75" customHeight="1">
      <c r="A671" s="75"/>
      <c r="B671" s="76"/>
      <c r="G671" s="74"/>
      <c r="H671" s="74"/>
    </row>
    <row r="672" ht="15.75" customHeight="1">
      <c r="A672" s="75"/>
      <c r="B672" s="76"/>
      <c r="G672" s="74"/>
      <c r="H672" s="74"/>
    </row>
    <row r="673" ht="15.75" customHeight="1">
      <c r="A673" s="75"/>
      <c r="B673" s="76"/>
      <c r="G673" s="74"/>
      <c r="H673" s="74"/>
    </row>
    <row r="674" ht="15.75" customHeight="1">
      <c r="A674" s="75"/>
      <c r="B674" s="76"/>
      <c r="G674" s="74"/>
      <c r="H674" s="74"/>
    </row>
    <row r="675" ht="15.75" customHeight="1">
      <c r="A675" s="75"/>
      <c r="B675" s="76"/>
      <c r="G675" s="74"/>
      <c r="H675" s="74"/>
    </row>
    <row r="676" ht="15.75" customHeight="1">
      <c r="A676" s="75"/>
      <c r="B676" s="76"/>
      <c r="G676" s="74"/>
      <c r="H676" s="74"/>
    </row>
    <row r="677" ht="15.75" customHeight="1">
      <c r="A677" s="75"/>
      <c r="B677" s="76"/>
      <c r="G677" s="74"/>
      <c r="H677" s="74"/>
    </row>
    <row r="678" ht="15.75" customHeight="1">
      <c r="A678" s="75"/>
      <c r="B678" s="76"/>
      <c r="G678" s="74"/>
      <c r="H678" s="74"/>
    </row>
    <row r="679" ht="15.75" customHeight="1">
      <c r="A679" s="75"/>
      <c r="B679" s="76"/>
      <c r="G679" s="74"/>
      <c r="H679" s="74"/>
    </row>
    <row r="680" ht="15.75" customHeight="1">
      <c r="A680" s="75"/>
      <c r="B680" s="76"/>
      <c r="G680" s="74"/>
      <c r="H680" s="74"/>
    </row>
    <row r="681" ht="15.75" customHeight="1">
      <c r="A681" s="75"/>
      <c r="B681" s="76"/>
      <c r="G681" s="74"/>
      <c r="H681" s="74"/>
    </row>
    <row r="682" ht="15.75" customHeight="1">
      <c r="A682" s="75"/>
      <c r="B682" s="76"/>
      <c r="G682" s="74"/>
      <c r="H682" s="74"/>
    </row>
    <row r="683" ht="15.75" customHeight="1">
      <c r="A683" s="75"/>
      <c r="B683" s="76"/>
      <c r="G683" s="74"/>
      <c r="H683" s="74"/>
    </row>
    <row r="684" ht="15.75" customHeight="1">
      <c r="A684" s="75"/>
      <c r="B684" s="76"/>
      <c r="G684" s="74"/>
      <c r="H684" s="74"/>
    </row>
    <row r="685" ht="15.75" customHeight="1">
      <c r="A685" s="75"/>
      <c r="B685" s="76"/>
      <c r="G685" s="74"/>
      <c r="H685" s="74"/>
    </row>
    <row r="686" ht="15.75" customHeight="1">
      <c r="A686" s="75"/>
      <c r="B686" s="76"/>
      <c r="G686" s="74"/>
      <c r="H686" s="74"/>
    </row>
    <row r="687" ht="15.75" customHeight="1">
      <c r="A687" s="75"/>
      <c r="B687" s="76"/>
      <c r="G687" s="74"/>
      <c r="H687" s="74"/>
    </row>
    <row r="688" ht="15.75" customHeight="1">
      <c r="A688" s="75"/>
      <c r="B688" s="76"/>
      <c r="G688" s="74"/>
      <c r="H688" s="74"/>
    </row>
    <row r="689" ht="15.75" customHeight="1">
      <c r="A689" s="75"/>
      <c r="B689" s="76"/>
      <c r="G689" s="74"/>
      <c r="H689" s="74"/>
    </row>
    <row r="690" ht="15.75" customHeight="1">
      <c r="A690" s="75"/>
      <c r="B690" s="76"/>
      <c r="G690" s="74"/>
      <c r="H690" s="74"/>
    </row>
    <row r="691" ht="15.75" customHeight="1">
      <c r="A691" s="75"/>
      <c r="B691" s="76"/>
      <c r="G691" s="74"/>
      <c r="H691" s="74"/>
    </row>
    <row r="692" ht="15.75" customHeight="1">
      <c r="A692" s="75"/>
      <c r="B692" s="76"/>
      <c r="G692" s="74"/>
      <c r="H692" s="74"/>
    </row>
    <row r="693" ht="15.75" customHeight="1">
      <c r="A693" s="75"/>
      <c r="B693" s="76"/>
      <c r="G693" s="74"/>
      <c r="H693" s="74"/>
    </row>
    <row r="694" ht="15.75" customHeight="1">
      <c r="A694" s="75"/>
      <c r="B694" s="76"/>
      <c r="G694" s="74"/>
      <c r="H694" s="74"/>
    </row>
    <row r="695" ht="15.75" customHeight="1">
      <c r="A695" s="75"/>
      <c r="B695" s="76"/>
      <c r="G695" s="74"/>
      <c r="H695" s="74"/>
    </row>
    <row r="696" ht="15.75" customHeight="1">
      <c r="A696" s="75"/>
      <c r="B696" s="76"/>
      <c r="G696" s="74"/>
      <c r="H696" s="74"/>
    </row>
    <row r="697" ht="15.75" customHeight="1">
      <c r="A697" s="75"/>
      <c r="B697" s="76"/>
      <c r="G697" s="74"/>
      <c r="H697" s="74"/>
    </row>
    <row r="698" ht="15.75" customHeight="1">
      <c r="A698" s="75"/>
      <c r="B698" s="76"/>
      <c r="G698" s="74"/>
      <c r="H698" s="74"/>
    </row>
    <row r="699" ht="15.75" customHeight="1">
      <c r="A699" s="75"/>
      <c r="B699" s="76"/>
      <c r="G699" s="74"/>
      <c r="H699" s="74"/>
    </row>
    <row r="700" ht="15.75" customHeight="1">
      <c r="A700" s="75"/>
      <c r="B700" s="76"/>
      <c r="G700" s="74"/>
      <c r="H700" s="74"/>
    </row>
    <row r="701" ht="15.75" customHeight="1">
      <c r="A701" s="75"/>
      <c r="B701" s="76"/>
      <c r="G701" s="74"/>
      <c r="H701" s="74"/>
    </row>
    <row r="702" ht="15.75" customHeight="1">
      <c r="A702" s="75"/>
      <c r="B702" s="76"/>
      <c r="G702" s="74"/>
      <c r="H702" s="74"/>
    </row>
    <row r="703" ht="15.75" customHeight="1">
      <c r="A703" s="75"/>
      <c r="B703" s="76"/>
      <c r="G703" s="74"/>
      <c r="H703" s="74"/>
    </row>
    <row r="704" ht="15.75" customHeight="1">
      <c r="A704" s="75"/>
      <c r="B704" s="76"/>
      <c r="G704" s="74"/>
      <c r="H704" s="74"/>
    </row>
    <row r="705" ht="15.75" customHeight="1">
      <c r="A705" s="75"/>
      <c r="B705" s="76"/>
      <c r="G705" s="74"/>
      <c r="H705" s="74"/>
    </row>
    <row r="706" ht="15.75" customHeight="1">
      <c r="A706" s="75"/>
      <c r="B706" s="76"/>
      <c r="G706" s="74"/>
      <c r="H706" s="74"/>
    </row>
    <row r="707" ht="15.75" customHeight="1">
      <c r="A707" s="75"/>
      <c r="B707" s="76"/>
      <c r="G707" s="74"/>
      <c r="H707" s="74"/>
    </row>
    <row r="708" ht="15.75" customHeight="1">
      <c r="A708" s="75"/>
      <c r="B708" s="76"/>
      <c r="G708" s="74"/>
      <c r="H708" s="74"/>
    </row>
    <row r="709" ht="15.75" customHeight="1">
      <c r="A709" s="75"/>
      <c r="B709" s="76"/>
      <c r="G709" s="74"/>
      <c r="H709" s="74"/>
    </row>
    <row r="710" ht="15.75" customHeight="1">
      <c r="A710" s="75"/>
      <c r="B710" s="76"/>
      <c r="G710" s="74"/>
      <c r="H710" s="74"/>
    </row>
    <row r="711" ht="15.75" customHeight="1">
      <c r="A711" s="75"/>
      <c r="B711" s="76"/>
      <c r="G711" s="74"/>
      <c r="H711" s="74"/>
    </row>
    <row r="712" ht="15.75" customHeight="1">
      <c r="A712" s="75"/>
      <c r="B712" s="76"/>
      <c r="G712" s="74"/>
      <c r="H712" s="74"/>
    </row>
    <row r="713" ht="15.75" customHeight="1">
      <c r="A713" s="75"/>
      <c r="B713" s="76"/>
      <c r="G713" s="74"/>
      <c r="H713" s="74"/>
    </row>
    <row r="714" ht="15.75" customHeight="1">
      <c r="A714" s="75"/>
      <c r="B714" s="76"/>
      <c r="G714" s="74"/>
      <c r="H714" s="74"/>
    </row>
    <row r="715" ht="15.75" customHeight="1">
      <c r="A715" s="75"/>
      <c r="B715" s="76"/>
      <c r="G715" s="74"/>
      <c r="H715" s="74"/>
    </row>
    <row r="716" ht="15.75" customHeight="1">
      <c r="A716" s="75"/>
      <c r="B716" s="76"/>
      <c r="G716" s="74"/>
      <c r="H716" s="74"/>
    </row>
    <row r="717" ht="15.75" customHeight="1">
      <c r="A717" s="75"/>
      <c r="B717" s="76"/>
      <c r="G717" s="74"/>
      <c r="H717" s="74"/>
    </row>
    <row r="718" ht="15.75" customHeight="1">
      <c r="A718" s="75"/>
      <c r="B718" s="76"/>
      <c r="G718" s="74"/>
      <c r="H718" s="74"/>
    </row>
    <row r="719" ht="15.75" customHeight="1">
      <c r="A719" s="75"/>
      <c r="B719" s="76"/>
      <c r="G719" s="74"/>
      <c r="H719" s="74"/>
    </row>
    <row r="720" ht="15.75" customHeight="1">
      <c r="A720" s="75"/>
      <c r="B720" s="76"/>
      <c r="G720" s="74"/>
      <c r="H720" s="74"/>
    </row>
    <row r="721" ht="15.75" customHeight="1">
      <c r="A721" s="75"/>
      <c r="B721" s="76"/>
      <c r="G721" s="74"/>
      <c r="H721" s="74"/>
    </row>
    <row r="722" ht="15.75" customHeight="1">
      <c r="A722" s="75"/>
      <c r="B722" s="76"/>
      <c r="G722" s="74"/>
      <c r="H722" s="74"/>
    </row>
    <row r="723" ht="15.75" customHeight="1">
      <c r="A723" s="75"/>
      <c r="B723" s="76"/>
      <c r="G723" s="74"/>
      <c r="H723" s="74"/>
    </row>
    <row r="724" ht="15.75" customHeight="1">
      <c r="A724" s="75"/>
      <c r="B724" s="76"/>
      <c r="G724" s="74"/>
      <c r="H724" s="74"/>
    </row>
    <row r="725" ht="15.75" customHeight="1">
      <c r="A725" s="75"/>
      <c r="B725" s="76"/>
      <c r="G725" s="74"/>
      <c r="H725" s="74"/>
    </row>
    <row r="726" ht="15.75" customHeight="1">
      <c r="A726" s="75"/>
      <c r="B726" s="76"/>
      <c r="G726" s="74"/>
      <c r="H726" s="74"/>
    </row>
    <row r="727" ht="15.75" customHeight="1">
      <c r="A727" s="75"/>
      <c r="B727" s="76"/>
      <c r="G727" s="74"/>
      <c r="H727" s="74"/>
    </row>
    <row r="728" ht="15.75" customHeight="1">
      <c r="A728" s="75"/>
      <c r="B728" s="76"/>
      <c r="G728" s="74"/>
      <c r="H728" s="74"/>
    </row>
    <row r="729" ht="15.75" customHeight="1">
      <c r="A729" s="75"/>
      <c r="B729" s="76"/>
      <c r="G729" s="74"/>
      <c r="H729" s="74"/>
    </row>
    <row r="730" ht="15.75" customHeight="1">
      <c r="A730" s="75"/>
      <c r="B730" s="76"/>
      <c r="G730" s="74"/>
      <c r="H730" s="74"/>
    </row>
    <row r="731" ht="15.75" customHeight="1">
      <c r="A731" s="75"/>
      <c r="B731" s="76"/>
      <c r="G731" s="74"/>
      <c r="H731" s="74"/>
    </row>
    <row r="732" ht="15.75" customHeight="1">
      <c r="A732" s="75"/>
      <c r="B732" s="76"/>
      <c r="G732" s="74"/>
      <c r="H732" s="74"/>
    </row>
    <row r="733" ht="15.75" customHeight="1">
      <c r="A733" s="75"/>
      <c r="B733" s="76"/>
      <c r="G733" s="74"/>
      <c r="H733" s="74"/>
    </row>
    <row r="734" ht="15.75" customHeight="1">
      <c r="A734" s="75"/>
      <c r="B734" s="76"/>
      <c r="G734" s="74"/>
      <c r="H734" s="74"/>
    </row>
    <row r="735" ht="15.75" customHeight="1">
      <c r="A735" s="75"/>
      <c r="B735" s="76"/>
      <c r="G735" s="74"/>
      <c r="H735" s="74"/>
    </row>
    <row r="736" ht="15.75" customHeight="1">
      <c r="A736" s="75"/>
      <c r="B736" s="76"/>
      <c r="G736" s="74"/>
      <c r="H736" s="74"/>
    </row>
    <row r="737" ht="15.75" customHeight="1">
      <c r="A737" s="75"/>
      <c r="B737" s="76"/>
      <c r="G737" s="74"/>
      <c r="H737" s="74"/>
    </row>
    <row r="738" ht="15.75" customHeight="1">
      <c r="A738" s="75"/>
      <c r="B738" s="76"/>
      <c r="G738" s="74"/>
      <c r="H738" s="74"/>
    </row>
    <row r="739" ht="15.75" customHeight="1">
      <c r="A739" s="75"/>
      <c r="B739" s="76"/>
      <c r="G739" s="74"/>
      <c r="H739" s="74"/>
    </row>
    <row r="740" ht="15.75" customHeight="1">
      <c r="A740" s="75"/>
      <c r="B740" s="76"/>
      <c r="G740" s="74"/>
      <c r="H740" s="74"/>
    </row>
    <row r="741" ht="15.75" customHeight="1">
      <c r="A741" s="75"/>
      <c r="B741" s="76"/>
      <c r="G741" s="74"/>
      <c r="H741" s="74"/>
    </row>
    <row r="742" ht="15.75" customHeight="1">
      <c r="A742" s="75"/>
      <c r="B742" s="76"/>
      <c r="G742" s="74"/>
      <c r="H742" s="74"/>
    </row>
    <row r="743" ht="15.75" customHeight="1">
      <c r="A743" s="75"/>
      <c r="B743" s="76"/>
      <c r="G743" s="74"/>
      <c r="H743" s="74"/>
    </row>
    <row r="744" ht="15.75" customHeight="1">
      <c r="A744" s="75"/>
      <c r="B744" s="76"/>
      <c r="G744" s="74"/>
      <c r="H744" s="74"/>
    </row>
    <row r="745" ht="15.75" customHeight="1">
      <c r="A745" s="75"/>
      <c r="B745" s="76"/>
      <c r="G745" s="74"/>
      <c r="H745" s="74"/>
    </row>
    <row r="746" ht="15.75" customHeight="1">
      <c r="A746" s="75"/>
      <c r="B746" s="76"/>
      <c r="G746" s="74"/>
      <c r="H746" s="74"/>
    </row>
    <row r="747" ht="15.75" customHeight="1">
      <c r="A747" s="75"/>
      <c r="B747" s="76"/>
      <c r="G747" s="74"/>
      <c r="H747" s="74"/>
    </row>
    <row r="748" ht="15.75" customHeight="1">
      <c r="A748" s="75"/>
      <c r="B748" s="76"/>
      <c r="G748" s="74"/>
      <c r="H748" s="74"/>
    </row>
    <row r="749" ht="15.75" customHeight="1">
      <c r="A749" s="75"/>
      <c r="B749" s="76"/>
      <c r="G749" s="74"/>
      <c r="H749" s="74"/>
    </row>
    <row r="750" ht="15.75" customHeight="1">
      <c r="A750" s="75"/>
      <c r="B750" s="76"/>
      <c r="G750" s="74"/>
      <c r="H750" s="74"/>
    </row>
    <row r="751" ht="15.75" customHeight="1">
      <c r="A751" s="75"/>
      <c r="B751" s="76"/>
      <c r="G751" s="74"/>
      <c r="H751" s="74"/>
    </row>
    <row r="752" ht="15.75" customHeight="1">
      <c r="A752" s="75"/>
      <c r="B752" s="76"/>
      <c r="G752" s="74"/>
      <c r="H752" s="74"/>
    </row>
    <row r="753" ht="15.75" customHeight="1">
      <c r="A753" s="75"/>
      <c r="B753" s="76"/>
      <c r="G753" s="74"/>
      <c r="H753" s="74"/>
    </row>
    <row r="754" ht="15.75" customHeight="1">
      <c r="A754" s="75"/>
      <c r="B754" s="76"/>
      <c r="G754" s="74"/>
      <c r="H754" s="74"/>
    </row>
    <row r="755" ht="15.75" customHeight="1">
      <c r="A755" s="75"/>
      <c r="B755" s="76"/>
      <c r="G755" s="74"/>
      <c r="H755" s="74"/>
    </row>
    <row r="756" ht="15.75" customHeight="1">
      <c r="A756" s="75"/>
      <c r="B756" s="76"/>
      <c r="G756" s="74"/>
      <c r="H756" s="74"/>
    </row>
    <row r="757" ht="15.75" customHeight="1">
      <c r="A757" s="75"/>
      <c r="B757" s="76"/>
      <c r="G757" s="74"/>
      <c r="H757" s="74"/>
    </row>
    <row r="758" ht="15.75" customHeight="1">
      <c r="A758" s="75"/>
      <c r="B758" s="76"/>
      <c r="G758" s="74"/>
      <c r="H758" s="74"/>
    </row>
    <row r="759" ht="15.75" customHeight="1">
      <c r="A759" s="75"/>
      <c r="B759" s="76"/>
      <c r="G759" s="74"/>
      <c r="H759" s="74"/>
    </row>
    <row r="760" ht="15.75" customHeight="1">
      <c r="A760" s="75"/>
      <c r="B760" s="76"/>
      <c r="G760" s="74"/>
      <c r="H760" s="74"/>
    </row>
    <row r="761" ht="15.75" customHeight="1">
      <c r="A761" s="75"/>
      <c r="B761" s="76"/>
      <c r="G761" s="74"/>
      <c r="H761" s="74"/>
    </row>
    <row r="762" ht="15.75" customHeight="1">
      <c r="A762" s="75"/>
      <c r="B762" s="76"/>
      <c r="G762" s="74"/>
      <c r="H762" s="74"/>
    </row>
    <row r="763" ht="15.75" customHeight="1">
      <c r="A763" s="75"/>
      <c r="B763" s="76"/>
      <c r="G763" s="74"/>
      <c r="H763" s="74"/>
    </row>
    <row r="764" ht="15.75" customHeight="1">
      <c r="A764" s="75"/>
      <c r="B764" s="76"/>
      <c r="G764" s="74"/>
      <c r="H764" s="74"/>
    </row>
    <row r="765" ht="15.75" customHeight="1">
      <c r="A765" s="75"/>
      <c r="B765" s="76"/>
      <c r="G765" s="74"/>
      <c r="H765" s="74"/>
    </row>
    <row r="766" ht="15.75" customHeight="1">
      <c r="A766" s="75"/>
      <c r="B766" s="76"/>
      <c r="G766" s="74"/>
      <c r="H766" s="74"/>
    </row>
    <row r="767" ht="15.75" customHeight="1">
      <c r="A767" s="75"/>
      <c r="B767" s="76"/>
      <c r="G767" s="74"/>
      <c r="H767" s="74"/>
    </row>
    <row r="768" ht="15.75" customHeight="1">
      <c r="A768" s="75"/>
      <c r="B768" s="76"/>
      <c r="G768" s="74"/>
      <c r="H768" s="74"/>
    </row>
    <row r="769" ht="15.75" customHeight="1">
      <c r="A769" s="75"/>
      <c r="B769" s="76"/>
      <c r="G769" s="74"/>
      <c r="H769" s="74"/>
    </row>
    <row r="770" ht="15.75" customHeight="1">
      <c r="A770" s="75"/>
      <c r="B770" s="76"/>
      <c r="G770" s="74"/>
      <c r="H770" s="74"/>
    </row>
    <row r="771" ht="15.75" customHeight="1">
      <c r="A771" s="75"/>
      <c r="B771" s="76"/>
      <c r="G771" s="74"/>
      <c r="H771" s="74"/>
    </row>
    <row r="772" ht="15.75" customHeight="1">
      <c r="A772" s="75"/>
      <c r="B772" s="76"/>
      <c r="G772" s="74"/>
      <c r="H772" s="74"/>
    </row>
    <row r="773" ht="15.75" customHeight="1">
      <c r="A773" s="75"/>
      <c r="B773" s="76"/>
      <c r="G773" s="74"/>
      <c r="H773" s="74"/>
    </row>
    <row r="774" ht="15.75" customHeight="1">
      <c r="A774" s="75"/>
      <c r="B774" s="76"/>
      <c r="G774" s="74"/>
      <c r="H774" s="74"/>
    </row>
    <row r="775" ht="15.75" customHeight="1">
      <c r="A775" s="75"/>
      <c r="B775" s="76"/>
      <c r="G775" s="74"/>
      <c r="H775" s="74"/>
    </row>
    <row r="776" ht="15.75" customHeight="1">
      <c r="A776" s="75"/>
      <c r="B776" s="76"/>
      <c r="G776" s="74"/>
      <c r="H776" s="74"/>
    </row>
    <row r="777" ht="15.75" customHeight="1">
      <c r="A777" s="75"/>
      <c r="B777" s="76"/>
      <c r="G777" s="74"/>
      <c r="H777" s="74"/>
    </row>
    <row r="778" ht="15.75" customHeight="1">
      <c r="A778" s="75"/>
      <c r="B778" s="76"/>
      <c r="G778" s="74"/>
      <c r="H778" s="74"/>
    </row>
    <row r="779" ht="15.75" customHeight="1">
      <c r="A779" s="75"/>
      <c r="B779" s="76"/>
      <c r="G779" s="74"/>
      <c r="H779" s="74"/>
    </row>
    <row r="780" ht="15.75" customHeight="1">
      <c r="A780" s="75"/>
      <c r="B780" s="76"/>
      <c r="G780" s="74"/>
      <c r="H780" s="74"/>
    </row>
    <row r="781" ht="15.75" customHeight="1">
      <c r="A781" s="75"/>
      <c r="B781" s="76"/>
      <c r="G781" s="74"/>
      <c r="H781" s="74"/>
    </row>
    <row r="782" ht="15.75" customHeight="1">
      <c r="A782" s="75"/>
      <c r="B782" s="76"/>
      <c r="G782" s="74"/>
      <c r="H782" s="74"/>
    </row>
    <row r="783" ht="15.75" customHeight="1">
      <c r="A783" s="75"/>
      <c r="B783" s="76"/>
      <c r="G783" s="74"/>
      <c r="H783" s="74"/>
    </row>
    <row r="784" ht="15.75" customHeight="1">
      <c r="A784" s="75"/>
      <c r="B784" s="76"/>
      <c r="G784" s="74"/>
      <c r="H784" s="74"/>
    </row>
    <row r="785" ht="15.75" customHeight="1">
      <c r="A785" s="75"/>
      <c r="B785" s="76"/>
      <c r="G785" s="74"/>
      <c r="H785" s="74"/>
    </row>
    <row r="786" ht="15.75" customHeight="1">
      <c r="A786" s="75"/>
      <c r="B786" s="76"/>
      <c r="G786" s="74"/>
      <c r="H786" s="74"/>
    </row>
    <row r="787" ht="15.75" customHeight="1">
      <c r="A787" s="75"/>
      <c r="B787" s="76"/>
      <c r="G787" s="74"/>
      <c r="H787" s="74"/>
    </row>
    <row r="788" ht="15.75" customHeight="1">
      <c r="A788" s="75"/>
      <c r="B788" s="76"/>
      <c r="G788" s="74"/>
      <c r="H788" s="74"/>
    </row>
    <row r="789" ht="15.75" customHeight="1">
      <c r="A789" s="75"/>
      <c r="B789" s="76"/>
      <c r="G789" s="74"/>
      <c r="H789" s="74"/>
    </row>
    <row r="790" ht="15.75" customHeight="1">
      <c r="A790" s="75"/>
      <c r="B790" s="76"/>
      <c r="G790" s="74"/>
      <c r="H790" s="74"/>
    </row>
    <row r="791" ht="15.75" customHeight="1">
      <c r="A791" s="75"/>
      <c r="B791" s="76"/>
      <c r="G791" s="74"/>
      <c r="H791" s="74"/>
    </row>
    <row r="792" ht="15.75" customHeight="1">
      <c r="A792" s="75"/>
      <c r="B792" s="76"/>
      <c r="G792" s="74"/>
      <c r="H792" s="74"/>
    </row>
    <row r="793" ht="15.75" customHeight="1">
      <c r="A793" s="75"/>
      <c r="B793" s="76"/>
      <c r="G793" s="74"/>
      <c r="H793" s="74"/>
    </row>
    <row r="794" ht="15.75" customHeight="1">
      <c r="A794" s="75"/>
      <c r="B794" s="76"/>
      <c r="G794" s="74"/>
      <c r="H794" s="74"/>
    </row>
    <row r="795" ht="15.75" customHeight="1">
      <c r="A795" s="75"/>
      <c r="B795" s="76"/>
      <c r="G795" s="74"/>
      <c r="H795" s="74"/>
    </row>
    <row r="796" ht="15.75" customHeight="1">
      <c r="A796" s="75"/>
      <c r="B796" s="76"/>
      <c r="G796" s="74"/>
      <c r="H796" s="74"/>
    </row>
    <row r="797" ht="15.75" customHeight="1">
      <c r="A797" s="75"/>
      <c r="B797" s="76"/>
      <c r="G797" s="74"/>
      <c r="H797" s="74"/>
    </row>
    <row r="798" ht="15.75" customHeight="1">
      <c r="A798" s="75"/>
      <c r="B798" s="76"/>
      <c r="G798" s="74"/>
      <c r="H798" s="74"/>
    </row>
    <row r="799" ht="15.75" customHeight="1">
      <c r="A799" s="75"/>
      <c r="B799" s="76"/>
      <c r="G799" s="74"/>
      <c r="H799" s="74"/>
    </row>
    <row r="800" ht="15.75" customHeight="1">
      <c r="A800" s="75"/>
      <c r="B800" s="76"/>
      <c r="G800" s="74"/>
      <c r="H800" s="74"/>
    </row>
    <row r="801" ht="15.75" customHeight="1">
      <c r="A801" s="75"/>
      <c r="B801" s="76"/>
      <c r="G801" s="74"/>
      <c r="H801" s="74"/>
    </row>
    <row r="802" ht="15.75" customHeight="1">
      <c r="A802" s="75"/>
      <c r="B802" s="76"/>
      <c r="G802" s="74"/>
      <c r="H802" s="74"/>
    </row>
    <row r="803" ht="15.75" customHeight="1">
      <c r="A803" s="75"/>
      <c r="B803" s="76"/>
      <c r="G803" s="74"/>
      <c r="H803" s="74"/>
    </row>
    <row r="804" ht="15.75" customHeight="1">
      <c r="A804" s="75"/>
      <c r="B804" s="76"/>
      <c r="G804" s="74"/>
      <c r="H804" s="74"/>
    </row>
    <row r="805" ht="15.75" customHeight="1">
      <c r="A805" s="75"/>
      <c r="B805" s="76"/>
      <c r="G805" s="74"/>
      <c r="H805" s="74"/>
    </row>
    <row r="806" ht="15.75" customHeight="1">
      <c r="A806" s="75"/>
      <c r="B806" s="76"/>
      <c r="G806" s="74"/>
      <c r="H806" s="74"/>
    </row>
    <row r="807" ht="15.75" customHeight="1">
      <c r="A807" s="75"/>
      <c r="B807" s="76"/>
      <c r="G807" s="74"/>
      <c r="H807" s="74"/>
    </row>
    <row r="808" ht="15.75" customHeight="1">
      <c r="A808" s="75"/>
      <c r="B808" s="76"/>
      <c r="G808" s="74"/>
      <c r="H808" s="74"/>
    </row>
    <row r="809" ht="15.75" customHeight="1">
      <c r="A809" s="75"/>
      <c r="B809" s="76"/>
      <c r="G809" s="74"/>
      <c r="H809" s="74"/>
    </row>
    <row r="810" ht="15.75" customHeight="1">
      <c r="A810" s="75"/>
      <c r="B810" s="76"/>
      <c r="G810" s="74"/>
      <c r="H810" s="74"/>
    </row>
    <row r="811" ht="15.75" customHeight="1">
      <c r="A811" s="75"/>
      <c r="B811" s="76"/>
      <c r="G811" s="74"/>
      <c r="H811" s="74"/>
    </row>
    <row r="812" ht="15.75" customHeight="1">
      <c r="A812" s="75"/>
      <c r="B812" s="76"/>
      <c r="G812" s="74"/>
      <c r="H812" s="74"/>
    </row>
    <row r="813" ht="15.75" customHeight="1">
      <c r="A813" s="75"/>
      <c r="B813" s="76"/>
      <c r="G813" s="74"/>
      <c r="H813" s="74"/>
    </row>
    <row r="814" ht="15.75" customHeight="1">
      <c r="A814" s="75"/>
      <c r="B814" s="76"/>
      <c r="G814" s="74"/>
      <c r="H814" s="74"/>
    </row>
    <row r="815" ht="15.75" customHeight="1">
      <c r="A815" s="75"/>
      <c r="B815" s="76"/>
      <c r="G815" s="74"/>
      <c r="H815" s="74"/>
    </row>
    <row r="816" ht="15.75" customHeight="1">
      <c r="A816" s="75"/>
      <c r="B816" s="76"/>
      <c r="G816" s="74"/>
      <c r="H816" s="74"/>
    </row>
    <row r="817" ht="15.75" customHeight="1">
      <c r="A817" s="75"/>
      <c r="B817" s="76"/>
      <c r="G817" s="74"/>
      <c r="H817" s="74"/>
    </row>
    <row r="818" ht="15.75" customHeight="1">
      <c r="A818" s="75"/>
      <c r="B818" s="76"/>
      <c r="G818" s="74"/>
      <c r="H818" s="74"/>
    </row>
    <row r="819" ht="15.75" customHeight="1">
      <c r="A819" s="75"/>
      <c r="B819" s="76"/>
      <c r="G819" s="74"/>
      <c r="H819" s="74"/>
    </row>
    <row r="820" ht="15.75" customHeight="1">
      <c r="A820" s="75"/>
      <c r="B820" s="76"/>
      <c r="G820" s="74"/>
      <c r="H820" s="74"/>
    </row>
    <row r="821" ht="15.75" customHeight="1">
      <c r="A821" s="75"/>
      <c r="B821" s="76"/>
      <c r="G821" s="74"/>
      <c r="H821" s="74"/>
    </row>
    <row r="822" ht="15.75" customHeight="1">
      <c r="A822" s="75"/>
      <c r="B822" s="76"/>
      <c r="G822" s="74"/>
      <c r="H822" s="74"/>
    </row>
    <row r="823" ht="15.75" customHeight="1">
      <c r="A823" s="75"/>
      <c r="B823" s="76"/>
      <c r="G823" s="74"/>
      <c r="H823" s="74"/>
    </row>
    <row r="824" ht="15.75" customHeight="1">
      <c r="A824" s="75"/>
      <c r="B824" s="76"/>
      <c r="G824" s="74"/>
      <c r="H824" s="74"/>
    </row>
    <row r="825" ht="15.75" customHeight="1">
      <c r="A825" s="75"/>
      <c r="B825" s="76"/>
      <c r="G825" s="74"/>
      <c r="H825" s="74"/>
    </row>
    <row r="826" ht="15.75" customHeight="1">
      <c r="A826" s="75"/>
      <c r="B826" s="76"/>
      <c r="G826" s="74"/>
      <c r="H826" s="74"/>
    </row>
    <row r="827" ht="15.75" customHeight="1">
      <c r="A827" s="75"/>
      <c r="B827" s="76"/>
      <c r="G827" s="74"/>
      <c r="H827" s="74"/>
    </row>
    <row r="828" ht="15.75" customHeight="1">
      <c r="A828" s="75"/>
      <c r="B828" s="76"/>
      <c r="G828" s="74"/>
      <c r="H828" s="74"/>
    </row>
    <row r="829" ht="15.75" customHeight="1">
      <c r="A829" s="75"/>
      <c r="B829" s="76"/>
      <c r="G829" s="74"/>
      <c r="H829" s="74"/>
    </row>
    <row r="830" ht="15.75" customHeight="1">
      <c r="A830" s="75"/>
      <c r="B830" s="76"/>
      <c r="G830" s="74"/>
      <c r="H830" s="74"/>
    </row>
    <row r="831" ht="15.75" customHeight="1">
      <c r="A831" s="75"/>
      <c r="B831" s="76"/>
      <c r="G831" s="74"/>
      <c r="H831" s="74"/>
    </row>
    <row r="832" ht="15.75" customHeight="1">
      <c r="A832" s="75"/>
      <c r="B832" s="76"/>
      <c r="G832" s="74"/>
      <c r="H832" s="74"/>
    </row>
    <row r="833" ht="15.75" customHeight="1">
      <c r="A833" s="75"/>
      <c r="B833" s="76"/>
      <c r="G833" s="74"/>
      <c r="H833" s="74"/>
    </row>
    <row r="834" ht="15.75" customHeight="1">
      <c r="A834" s="75"/>
      <c r="B834" s="76"/>
      <c r="G834" s="74"/>
      <c r="H834" s="74"/>
    </row>
    <row r="835" ht="15.75" customHeight="1">
      <c r="A835" s="75"/>
      <c r="B835" s="76"/>
      <c r="G835" s="74"/>
      <c r="H835" s="74"/>
    </row>
    <row r="836" ht="15.75" customHeight="1">
      <c r="A836" s="75"/>
      <c r="B836" s="76"/>
      <c r="G836" s="74"/>
      <c r="H836" s="74"/>
    </row>
    <row r="837" ht="15.75" customHeight="1">
      <c r="A837" s="75"/>
      <c r="B837" s="76"/>
      <c r="G837" s="74"/>
      <c r="H837" s="74"/>
    </row>
    <row r="838" ht="15.75" customHeight="1">
      <c r="A838" s="75"/>
      <c r="B838" s="76"/>
      <c r="G838" s="74"/>
      <c r="H838" s="74"/>
    </row>
    <row r="839" ht="15.75" customHeight="1">
      <c r="A839" s="75"/>
      <c r="B839" s="76"/>
      <c r="G839" s="74"/>
      <c r="H839" s="74"/>
    </row>
    <row r="840" ht="15.75" customHeight="1">
      <c r="A840" s="75"/>
      <c r="B840" s="76"/>
      <c r="G840" s="74"/>
      <c r="H840" s="74"/>
    </row>
    <row r="841" ht="15.75" customHeight="1">
      <c r="A841" s="75"/>
      <c r="B841" s="76"/>
      <c r="G841" s="74"/>
      <c r="H841" s="74"/>
    </row>
    <row r="842" ht="15.75" customHeight="1">
      <c r="A842" s="75"/>
      <c r="B842" s="76"/>
      <c r="G842" s="74"/>
      <c r="H842" s="74"/>
    </row>
    <row r="843" ht="15.75" customHeight="1">
      <c r="A843" s="75"/>
      <c r="B843" s="76"/>
      <c r="G843" s="74"/>
      <c r="H843" s="74"/>
    </row>
    <row r="844" ht="15.75" customHeight="1">
      <c r="A844" s="75"/>
      <c r="B844" s="76"/>
      <c r="G844" s="74"/>
      <c r="H844" s="74"/>
    </row>
    <row r="845" ht="15.75" customHeight="1">
      <c r="A845" s="75"/>
      <c r="B845" s="76"/>
      <c r="G845" s="74"/>
      <c r="H845" s="74"/>
    </row>
    <row r="846" ht="15.75" customHeight="1">
      <c r="A846" s="75"/>
      <c r="B846" s="76"/>
      <c r="G846" s="74"/>
      <c r="H846" s="74"/>
    </row>
    <row r="847" ht="15.75" customHeight="1">
      <c r="A847" s="75"/>
      <c r="B847" s="76"/>
      <c r="G847" s="74"/>
      <c r="H847" s="74"/>
    </row>
    <row r="848" ht="15.75" customHeight="1">
      <c r="A848" s="75"/>
      <c r="B848" s="76"/>
      <c r="G848" s="74"/>
      <c r="H848" s="74"/>
    </row>
    <row r="849" ht="15.75" customHeight="1">
      <c r="A849" s="75"/>
      <c r="B849" s="76"/>
      <c r="G849" s="74"/>
      <c r="H849" s="74"/>
    </row>
    <row r="850" ht="15.75" customHeight="1">
      <c r="A850" s="75"/>
      <c r="B850" s="76"/>
      <c r="G850" s="74"/>
      <c r="H850" s="74"/>
    </row>
    <row r="851" ht="15.75" customHeight="1">
      <c r="A851" s="75"/>
      <c r="B851" s="76"/>
      <c r="G851" s="74"/>
      <c r="H851" s="74"/>
    </row>
    <row r="852" ht="15.75" customHeight="1">
      <c r="A852" s="75"/>
      <c r="B852" s="76"/>
      <c r="G852" s="74"/>
      <c r="H852" s="74"/>
    </row>
    <row r="853" ht="15.75" customHeight="1">
      <c r="A853" s="75"/>
      <c r="B853" s="76"/>
      <c r="G853" s="74"/>
      <c r="H853" s="74"/>
    </row>
    <row r="854" ht="15.75" customHeight="1">
      <c r="A854" s="75"/>
      <c r="B854" s="76"/>
      <c r="G854" s="74"/>
      <c r="H854" s="74"/>
    </row>
    <row r="855" ht="15.75" customHeight="1">
      <c r="A855" s="75"/>
      <c r="B855" s="76"/>
      <c r="G855" s="74"/>
      <c r="H855" s="74"/>
    </row>
    <row r="856" ht="15.75" customHeight="1">
      <c r="A856" s="75"/>
      <c r="B856" s="76"/>
      <c r="G856" s="74"/>
      <c r="H856" s="74"/>
    </row>
    <row r="857" ht="15.75" customHeight="1">
      <c r="A857" s="75"/>
      <c r="B857" s="76"/>
      <c r="G857" s="74"/>
      <c r="H857" s="74"/>
    </row>
    <row r="858" ht="15.75" customHeight="1">
      <c r="A858" s="75"/>
      <c r="B858" s="76"/>
      <c r="G858" s="74"/>
      <c r="H858" s="74"/>
    </row>
    <row r="859" ht="15.75" customHeight="1">
      <c r="A859" s="75"/>
      <c r="B859" s="76"/>
      <c r="G859" s="74"/>
      <c r="H859" s="74"/>
    </row>
    <row r="860" ht="15.75" customHeight="1">
      <c r="A860" s="75"/>
      <c r="B860" s="76"/>
      <c r="G860" s="74"/>
      <c r="H860" s="74"/>
    </row>
    <row r="861" ht="15.75" customHeight="1">
      <c r="A861" s="75"/>
      <c r="B861" s="76"/>
      <c r="G861" s="74"/>
      <c r="H861" s="74"/>
    </row>
    <row r="862" ht="15.75" customHeight="1">
      <c r="A862" s="75"/>
      <c r="B862" s="76"/>
      <c r="G862" s="74"/>
      <c r="H862" s="74"/>
    </row>
    <row r="863" ht="15.75" customHeight="1">
      <c r="A863" s="75"/>
      <c r="B863" s="76"/>
      <c r="G863" s="74"/>
      <c r="H863" s="74"/>
    </row>
    <row r="864" ht="15.75" customHeight="1">
      <c r="A864" s="75"/>
      <c r="B864" s="76"/>
      <c r="G864" s="74"/>
      <c r="H864" s="74"/>
    </row>
    <row r="865" ht="15.75" customHeight="1">
      <c r="A865" s="75"/>
      <c r="B865" s="76"/>
      <c r="G865" s="74"/>
      <c r="H865" s="74"/>
    </row>
    <row r="866" ht="15.75" customHeight="1">
      <c r="A866" s="75"/>
      <c r="B866" s="76"/>
      <c r="G866" s="74"/>
      <c r="H866" s="74"/>
    </row>
    <row r="867" ht="15.75" customHeight="1">
      <c r="A867" s="75"/>
      <c r="B867" s="76"/>
      <c r="G867" s="74"/>
      <c r="H867" s="74"/>
    </row>
    <row r="868" ht="15.75" customHeight="1">
      <c r="A868" s="75"/>
      <c r="B868" s="76"/>
      <c r="G868" s="74"/>
      <c r="H868" s="74"/>
    </row>
    <row r="869" ht="15.75" customHeight="1">
      <c r="A869" s="75"/>
      <c r="B869" s="76"/>
      <c r="G869" s="74"/>
      <c r="H869" s="74"/>
    </row>
    <row r="870" ht="15.75" customHeight="1">
      <c r="A870" s="75"/>
      <c r="B870" s="76"/>
      <c r="G870" s="74"/>
      <c r="H870" s="74"/>
    </row>
    <row r="871" ht="15.75" customHeight="1">
      <c r="A871" s="75"/>
      <c r="B871" s="76"/>
      <c r="G871" s="74"/>
      <c r="H871" s="74"/>
    </row>
    <row r="872" ht="15.75" customHeight="1">
      <c r="A872" s="75"/>
      <c r="B872" s="76"/>
      <c r="G872" s="74"/>
      <c r="H872" s="74"/>
    </row>
    <row r="873" ht="15.75" customHeight="1">
      <c r="A873" s="75"/>
      <c r="B873" s="76"/>
      <c r="G873" s="74"/>
      <c r="H873" s="74"/>
    </row>
    <row r="874" ht="15.75" customHeight="1">
      <c r="A874" s="75"/>
      <c r="B874" s="76"/>
      <c r="G874" s="74"/>
      <c r="H874" s="74"/>
    </row>
    <row r="875" ht="15.75" customHeight="1">
      <c r="A875" s="75"/>
      <c r="B875" s="76"/>
      <c r="G875" s="74"/>
      <c r="H875" s="74"/>
    </row>
    <row r="876" ht="15.75" customHeight="1">
      <c r="A876" s="75"/>
      <c r="B876" s="76"/>
      <c r="G876" s="74"/>
      <c r="H876" s="74"/>
    </row>
    <row r="877" ht="15.75" customHeight="1">
      <c r="A877" s="75"/>
      <c r="B877" s="76"/>
      <c r="G877" s="74"/>
      <c r="H877" s="74"/>
    </row>
    <row r="878" ht="15.75" customHeight="1">
      <c r="A878" s="75"/>
      <c r="B878" s="76"/>
      <c r="G878" s="74"/>
      <c r="H878" s="74"/>
    </row>
    <row r="879" ht="15.75" customHeight="1">
      <c r="A879" s="75"/>
      <c r="B879" s="76"/>
      <c r="G879" s="74"/>
      <c r="H879" s="74"/>
    </row>
    <row r="880" ht="15.75" customHeight="1">
      <c r="A880" s="75"/>
      <c r="B880" s="76"/>
      <c r="G880" s="74"/>
      <c r="H880" s="74"/>
    </row>
    <row r="881" ht="15.75" customHeight="1">
      <c r="A881" s="75"/>
      <c r="B881" s="76"/>
      <c r="G881" s="74"/>
      <c r="H881" s="74"/>
    </row>
    <row r="882" ht="15.75" customHeight="1">
      <c r="A882" s="75"/>
      <c r="B882" s="76"/>
      <c r="G882" s="74"/>
      <c r="H882" s="74"/>
    </row>
    <row r="883" ht="15.75" customHeight="1">
      <c r="A883" s="75"/>
      <c r="B883" s="76"/>
      <c r="G883" s="74"/>
      <c r="H883" s="74"/>
    </row>
    <row r="884" ht="15.75" customHeight="1">
      <c r="A884" s="75"/>
      <c r="B884" s="76"/>
      <c r="G884" s="74"/>
      <c r="H884" s="74"/>
    </row>
    <row r="885" ht="15.75" customHeight="1">
      <c r="A885" s="75"/>
      <c r="B885" s="76"/>
      <c r="G885" s="74"/>
      <c r="H885" s="74"/>
    </row>
    <row r="886" ht="15.75" customHeight="1">
      <c r="A886" s="75"/>
      <c r="B886" s="76"/>
      <c r="G886" s="74"/>
      <c r="H886" s="74"/>
    </row>
    <row r="887" ht="15.75" customHeight="1">
      <c r="A887" s="75"/>
      <c r="B887" s="76"/>
      <c r="G887" s="74"/>
      <c r="H887" s="74"/>
    </row>
    <row r="888" ht="15.75" customHeight="1">
      <c r="A888" s="75"/>
      <c r="B888" s="76"/>
      <c r="G888" s="74"/>
      <c r="H888" s="74"/>
    </row>
    <row r="889" ht="15.75" customHeight="1">
      <c r="A889" s="75"/>
      <c r="B889" s="76"/>
      <c r="G889" s="74"/>
      <c r="H889" s="74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75"/>
    <col customWidth="1" min="2" max="2" width="16.88"/>
  </cols>
  <sheetData>
    <row r="1">
      <c r="A1" s="77" t="s">
        <v>541</v>
      </c>
      <c r="B1" s="78" t="s">
        <v>58</v>
      </c>
    </row>
    <row r="2">
      <c r="A2" s="64" t="str">
        <f>IFERROR(__xludf.DUMMYFUNCTION("FILTER('Master Codes'!A1:B923,'Master Codes'!C:C=""Consumables"")"),"Side Buff - Bharat")</f>
        <v>Side Buff - Bharat</v>
      </c>
      <c r="B2" s="57" t="str">
        <f>IFERROR(__xludf.DUMMYFUNCTION("""COMPUTED_VALUE"""),"CO-SB-15-02")</f>
        <v>CO-SB-15-02</v>
      </c>
    </row>
    <row r="3">
      <c r="A3" s="64" t="str">
        <f>IFERROR(__xludf.DUMMYFUNCTION("""COMPUTED_VALUE"""),"Buff - 3""")</f>
        <v>Buff - 3"</v>
      </c>
      <c r="B3" s="57" t="str">
        <f>IFERROR(__xludf.DUMMYFUNCTION("""COMPUTED_VALUE"""),"CO-BF-30-00")</f>
        <v>CO-BF-30-00</v>
      </c>
    </row>
    <row r="4">
      <c r="A4" s="64" t="str">
        <f>IFERROR(__xludf.DUMMYFUNCTION("""COMPUTED_VALUE"""),"Buff - 3.5""")</f>
        <v>Buff - 3.5"</v>
      </c>
      <c r="B4" s="57" t="str">
        <f>IFERROR(__xludf.DUMMYFUNCTION("""COMPUTED_VALUE"""),"CO-BF-35-00")</f>
        <v>CO-BF-35-00</v>
      </c>
    </row>
    <row r="5">
      <c r="A5" s="64" t="str">
        <f>IFERROR(__xludf.DUMMYFUNCTION("""COMPUTED_VALUE"""),"Buff - 5""")</f>
        <v>Buff - 5"</v>
      </c>
      <c r="B5" s="57" t="str">
        <f>IFERROR(__xludf.DUMMYFUNCTION("""COMPUTED_VALUE"""),"CO-BF-50-00")</f>
        <v>CO-BF-50-00</v>
      </c>
    </row>
    <row r="6">
      <c r="A6" s="64" t="str">
        <f>IFERROR(__xludf.DUMMYFUNCTION("""COMPUTED_VALUE"""),"Buff - 4.5""")</f>
        <v>Buff - 4.5"</v>
      </c>
      <c r="B6" s="57" t="str">
        <f>IFERROR(__xludf.DUMMYFUNCTION("""COMPUTED_VALUE"""),"CO-BF-45-00")</f>
        <v>CO-BF-45-00</v>
      </c>
    </row>
    <row r="7">
      <c r="A7" s="64" t="str">
        <f>IFERROR(__xludf.DUMMYFUNCTION("""COMPUTED_VALUE"""),"Buff - 4""")</f>
        <v>Buff - 4"</v>
      </c>
      <c r="B7" s="57" t="str">
        <f>IFERROR(__xludf.DUMMYFUNCTION("""COMPUTED_VALUE"""),"CO-BF-40-00")</f>
        <v>CO-BF-40-00</v>
      </c>
    </row>
    <row r="8">
      <c r="A8" s="64" t="str">
        <f>IFERROR(__xludf.DUMMYFUNCTION("""COMPUTED_VALUE"""),"Khila Buff - 3.5""")</f>
        <v>Khila Buff - 3.5"</v>
      </c>
      <c r="B8" s="57" t="str">
        <f>IFERROR(__xludf.DUMMYFUNCTION("""COMPUTED_VALUE"""),"CO-KB-35-00")</f>
        <v>CO-KB-35-00</v>
      </c>
    </row>
    <row r="9">
      <c r="A9" s="64" t="str">
        <f>IFERROR(__xludf.DUMMYFUNCTION("""COMPUTED_VALUE"""),"Khila Buff - 4.5""")</f>
        <v>Khila Buff - 4.5"</v>
      </c>
      <c r="B9" s="57" t="str">
        <f>IFERROR(__xludf.DUMMYFUNCTION("""COMPUTED_VALUE"""),"CO-KB-45-00")</f>
        <v>CO-KB-45-00</v>
      </c>
    </row>
    <row r="10">
      <c r="A10" s="64" t="str">
        <f>IFERROR(__xludf.DUMMYFUNCTION("""COMPUTED_VALUE"""),"Khila Buff - 4""")</f>
        <v>Khila Buff - 4"</v>
      </c>
      <c r="B10" s="57" t="str">
        <f>IFERROR(__xludf.DUMMYFUNCTION("""COMPUTED_VALUE"""),"CO-KB-40-00")</f>
        <v>CO-KB-40-00</v>
      </c>
    </row>
    <row r="11">
      <c r="A11" s="64" t="str">
        <f>IFERROR(__xludf.DUMMYFUNCTION("""COMPUTED_VALUE"""),"Khila Buff - 5""")</f>
        <v>Khila Buff - 5"</v>
      </c>
      <c r="B11" s="57" t="str">
        <f>IFERROR(__xludf.DUMMYFUNCTION("""COMPUTED_VALUE"""),"CO-KB-50-00")</f>
        <v>CO-KB-50-00</v>
      </c>
    </row>
    <row r="12">
      <c r="A12" s="64" t="str">
        <f>IFERROR(__xludf.DUMMYFUNCTION("""COMPUTED_VALUE"""),"Jeans Buff - 8""")</f>
        <v>Jeans Buff - 8"</v>
      </c>
      <c r="B12" s="57" t="str">
        <f>IFERROR(__xludf.DUMMYFUNCTION("""COMPUTED_VALUE"""),"CO-JB-80-00")</f>
        <v>CO-JB-80-00</v>
      </c>
    </row>
    <row r="13">
      <c r="A13" s="64" t="str">
        <f>IFERROR(__xludf.DUMMYFUNCTION("""COMPUTED_VALUE"""),"Brush 7""")</f>
        <v>Brush 7"</v>
      </c>
      <c r="B13" s="57" t="str">
        <f>IFERROR(__xludf.DUMMYFUNCTION("""COMPUTED_VALUE"""),"CO-BS-70-00")</f>
        <v>CO-BS-70-00</v>
      </c>
    </row>
    <row r="14">
      <c r="A14" s="64" t="str">
        <f>IFERROR(__xludf.DUMMYFUNCTION("""COMPUTED_VALUE"""),"Brush - 5""")</f>
        <v>Brush - 5"</v>
      </c>
      <c r="B14" s="57" t="str">
        <f>IFERROR(__xludf.DUMMYFUNCTION("""COMPUTED_VALUE"""),"CO-BS-50-00")</f>
        <v>CO-BS-50-00</v>
      </c>
    </row>
    <row r="15">
      <c r="A15" s="64" t="str">
        <f>IFERROR(__xludf.DUMMYFUNCTION("""COMPUTED_VALUE"""),"Brush - 4.5""")</f>
        <v>Brush - 4.5"</v>
      </c>
      <c r="B15" s="57" t="str">
        <f>IFERROR(__xludf.DUMMYFUNCTION("""COMPUTED_VALUE"""),"CO-BS-45-00")</f>
        <v>CO-BS-45-00</v>
      </c>
    </row>
    <row r="16" ht="15.75" customHeight="1">
      <c r="A16" s="64" t="str">
        <f>IFERROR(__xludf.DUMMYFUNCTION("""COMPUTED_VALUE"""),"Fiber")</f>
        <v>Fiber</v>
      </c>
      <c r="B16" s="57" t="str">
        <f>IFERROR(__xludf.DUMMYFUNCTION("""COMPUTED_VALUE"""),"CO-FB-14-02")</f>
        <v>CO-FB-14-02</v>
      </c>
    </row>
    <row r="17" ht="15.75" customHeight="1">
      <c r="A17" s="64" t="str">
        <f>IFERROR(__xludf.DUMMYFUNCTION("""COMPUTED_VALUE"""),"Green Pad - Fiber")</f>
        <v>Green Pad - Fiber</v>
      </c>
      <c r="B17" s="57" t="str">
        <f>IFERROR(__xludf.DUMMYFUNCTION("""COMPUTED_VALUE"""),"CO-GF-00-00")</f>
        <v>CO-GF-00-00</v>
      </c>
    </row>
    <row r="18" ht="15.75" customHeight="1">
      <c r="A18" s="64" t="str">
        <f>IFERROR(__xludf.DUMMYFUNCTION("""COMPUTED_VALUE"""),"Shriwari (Green Powder)")</f>
        <v>Shriwari (Green Powder)</v>
      </c>
      <c r="B18" s="57" t="str">
        <f>IFERROR(__xludf.DUMMYFUNCTION("""COMPUTED_VALUE"""),"CO-GP-00-00")</f>
        <v>CO-GP-00-00</v>
      </c>
    </row>
    <row r="19" ht="15.75" customHeight="1">
      <c r="A19" s="64" t="str">
        <f>IFERROR(__xludf.DUMMYFUNCTION("""COMPUTED_VALUE"""),"Yellow Powder")</f>
        <v>Yellow Powder</v>
      </c>
      <c r="B19" s="57" t="str">
        <f>IFERROR(__xludf.DUMMYFUNCTION("""COMPUTED_VALUE"""),"CO-YP-00-00")</f>
        <v>CO-YP-00-00</v>
      </c>
    </row>
    <row r="20" ht="15.75" customHeight="1">
      <c r="A20" s="64" t="str">
        <f>IFERROR(__xludf.DUMMYFUNCTION("""COMPUTED_VALUE"""),"Cotton Buff")</f>
        <v>Cotton Buff</v>
      </c>
      <c r="B20" s="57" t="str">
        <f>IFERROR(__xludf.DUMMYFUNCTION("""COMPUTED_VALUE"""),"CO-CB-00-00")</f>
        <v>CO-CB-00-00</v>
      </c>
    </row>
    <row r="21" ht="15.75" customHeight="1">
      <c r="A21" s="64" t="str">
        <f>IFERROR(__xludf.DUMMYFUNCTION("""COMPUTED_VALUE"""),"Goni Tapper")</f>
        <v>Goni Tapper</v>
      </c>
      <c r="B21" s="57" t="str">
        <f>IFERROR(__xludf.DUMMYFUNCTION("""COMPUTED_VALUE"""),"CO-GT-14-02")</f>
        <v>CO-GT-14-02</v>
      </c>
    </row>
    <row r="22" ht="15.75" customHeight="1">
      <c r="A22" s="64" t="str">
        <f>IFERROR(__xludf.DUMMYFUNCTION("""COMPUTED_VALUE"""),"Lokhand Brush 800 grm. 45 No. (7X2)")</f>
        <v>Lokhand Brush 800 grm. 45 No. (7X2)</v>
      </c>
      <c r="B22" s="57" t="str">
        <f>IFERROR(__xludf.DUMMYFUNCTION("""COMPUTED_VALUE"""),"CO-LK-80-45")</f>
        <v>CO-LK-80-45</v>
      </c>
    </row>
    <row r="23" ht="15.75" customHeight="1">
      <c r="A23" s="64" t="str">
        <f>IFERROR(__xludf.DUMMYFUNCTION("""COMPUTED_VALUE"""),"Lokhand Brush 600 grm. 45 No")</f>
        <v>Lokhand Brush 600 grm. 45 No</v>
      </c>
      <c r="B23" s="57" t="str">
        <f>IFERROR(__xludf.DUMMYFUNCTION("""COMPUTED_VALUE"""),"CO-LK-60-45")</f>
        <v>CO-LK-60-45</v>
      </c>
    </row>
    <row r="24" ht="15.75" customHeight="1">
      <c r="A24" s="64" t="str">
        <f>IFERROR(__xludf.DUMMYFUNCTION("""COMPUTED_VALUE"""),"Lokhand Brush 1000 grm. 35 No. (5X2)")</f>
        <v>Lokhand Brush 1000 grm. 35 No. (5X2)</v>
      </c>
      <c r="B24" s="57" t="str">
        <f>IFERROR(__xludf.DUMMYFUNCTION("""COMPUTED_VALUE"""),"CO-LK-10-35")</f>
        <v>CO-LK-10-35</v>
      </c>
    </row>
    <row r="25" ht="15.75" customHeight="1">
      <c r="A25" s="64" t="str">
        <f>IFERROR(__xludf.DUMMYFUNCTION("""COMPUTED_VALUE"""),"Lokhand Brush 800 grm. 35 No. (5X2)")</f>
        <v>Lokhand Brush 800 grm. 35 No. (5X2)</v>
      </c>
      <c r="B25" s="57" t="str">
        <f>IFERROR(__xludf.DUMMYFUNCTION("""COMPUTED_VALUE"""),"CO-LK-80-35")</f>
        <v>CO-LK-80-35</v>
      </c>
    </row>
    <row r="26" ht="15.75" customHeight="1">
      <c r="A26" s="64" t="str">
        <f>IFERROR(__xludf.DUMMYFUNCTION("""COMPUTED_VALUE"""),"Lokhand Brush 800 grm. (8X2)")</f>
        <v>Lokhand Brush 800 grm. (8X2)</v>
      </c>
      <c r="B26" s="57" t="str">
        <f>IFERROR(__xludf.DUMMYFUNCTION("""COMPUTED_VALUE"""),"CO-LK-80-82")</f>
        <v>CO-LK-80-82</v>
      </c>
    </row>
    <row r="27" ht="15.75" customHeight="1">
      <c r="A27" s="64" t="str">
        <f>IFERROR(__xludf.DUMMYFUNCTION("""COMPUTED_VALUE"""),"Lokhand Brush 700 grm. (7X2)")</f>
        <v>Lokhand Brush 700 grm. (7X2)</v>
      </c>
      <c r="B27" s="57" t="str">
        <f>IFERROR(__xludf.DUMMYFUNCTION("""COMPUTED_VALUE"""),"CO-LK-70-72")</f>
        <v>CO-LK-70-72</v>
      </c>
    </row>
    <row r="28" ht="15.75" customHeight="1">
      <c r="A28" s="64" t="str">
        <f>IFERROR(__xludf.DUMMYFUNCTION("""COMPUTED_VALUE"""),"Lokhand Brush 1000 grm. 35 No. (8X2)")</f>
        <v>Lokhand Brush 1000 grm. 35 No. (8X2)</v>
      </c>
      <c r="B28" s="57" t="str">
        <f>IFERROR(__xludf.DUMMYFUNCTION("""COMPUTED_VALUE"""),"CO-LK-10-82")</f>
        <v>CO-LK-10-82</v>
      </c>
    </row>
    <row r="29" ht="15.75" customHeight="1">
      <c r="A29" s="64" t="str">
        <f>IFERROR(__xludf.DUMMYFUNCTION("""COMPUTED_VALUE"""),"Lokhand Brush 700 grm. (8X2)")</f>
        <v>Lokhand Brush 700 grm. (8X2)</v>
      </c>
      <c r="B29" s="57" t="str">
        <f>IFERROR(__xludf.DUMMYFUNCTION("""COMPUTED_VALUE"""),"CO-LK-70-82")</f>
        <v>CO-LK-70-82</v>
      </c>
    </row>
    <row r="30" ht="15.75" customHeight="1">
      <c r="A30" s="64" t="str">
        <f>IFERROR(__xludf.DUMMYFUNCTION("""COMPUTED_VALUE"""),"Tar Brush 1000 grm.")</f>
        <v>Tar Brush 1000 grm.</v>
      </c>
      <c r="B30" s="57" t="str">
        <f>IFERROR(__xludf.DUMMYFUNCTION("""COMPUTED_VALUE"""),"CO-TB-10-00")</f>
        <v>CO-TB-10-00</v>
      </c>
    </row>
    <row r="31" ht="15.75" customHeight="1">
      <c r="A31" s="64" t="str">
        <f>IFERROR(__xludf.DUMMYFUNCTION("""COMPUTED_VALUE"""),"Tar Brush 900 grm.")</f>
        <v>Tar Brush 900 grm.</v>
      </c>
      <c r="B31" s="57" t="str">
        <f>IFERROR(__xludf.DUMMYFUNCTION("""COMPUTED_VALUE"""),"CO-TB-90-00")</f>
        <v>CO-TB-90-00</v>
      </c>
    </row>
    <row r="32" ht="15.75" customHeight="1">
      <c r="A32" s="64" t="str">
        <f>IFERROR(__xludf.DUMMYFUNCTION("""COMPUTED_VALUE"""),"Tar Brush 800 grm.")</f>
        <v>Tar Brush 800 grm.</v>
      </c>
      <c r="B32" s="57" t="str">
        <f>IFERROR(__xludf.DUMMYFUNCTION("""COMPUTED_VALUE"""),"CO-TB-80-00")</f>
        <v>CO-TB-80-00</v>
      </c>
    </row>
    <row r="33" ht="15.75" customHeight="1">
      <c r="A33" s="64" t="str">
        <f>IFERROR(__xludf.DUMMYFUNCTION("""COMPUTED_VALUE"""),"Tar Brush 700 grm.")</f>
        <v>Tar Brush 700 grm.</v>
      </c>
      <c r="B33" s="57" t="str">
        <f>IFERROR(__xludf.DUMMYFUNCTION("""COMPUTED_VALUE"""),"CO-TB-70-00")</f>
        <v>CO-TB-70-00</v>
      </c>
    </row>
    <row r="34" ht="15.75" customHeight="1">
      <c r="A34" s="64" t="str">
        <f>IFERROR(__xludf.DUMMYFUNCTION("""COMPUTED_VALUE"""),"FW - 120No 6 X 2")</f>
        <v>FW - 120No 6 X 2</v>
      </c>
      <c r="B34" s="57" t="str">
        <f>IFERROR(__xludf.DUMMYFUNCTION("""COMPUTED_VALUE"""),"CO-FW-12-62")</f>
        <v>CO-FW-12-62</v>
      </c>
    </row>
    <row r="35" ht="15.75" customHeight="1">
      <c r="A35" s="64" t="str">
        <f>IFERROR(__xludf.DUMMYFUNCTION("""COMPUTED_VALUE"""),"FW - 120No 6 X 1")</f>
        <v>FW - 120No 6 X 1</v>
      </c>
      <c r="B35" s="57" t="str">
        <f>IFERROR(__xludf.DUMMYFUNCTION("""COMPUTED_VALUE"""),"CO-FW-12-61")</f>
        <v>CO-FW-12-61</v>
      </c>
    </row>
    <row r="36" ht="15.75" customHeight="1">
      <c r="A36" s="64" t="str">
        <f>IFERROR(__xludf.DUMMYFUNCTION("""COMPUTED_VALUE"""),"FW - 220No 3 X 1")</f>
        <v>FW - 220No 3 X 1</v>
      </c>
      <c r="B36" s="57" t="str">
        <f>IFERROR(__xludf.DUMMYFUNCTION("""COMPUTED_VALUE"""),"CO-FW-22-31")</f>
        <v>CO-FW-22-31</v>
      </c>
    </row>
    <row r="37" ht="15.75" customHeight="1">
      <c r="A37" s="64" t="str">
        <f>IFERROR(__xludf.DUMMYFUNCTION("""COMPUTED_VALUE"""),"FW - 220No 12 X 2")</f>
        <v>FW - 220No 12 X 2</v>
      </c>
      <c r="B37" s="57" t="str">
        <f>IFERROR(__xludf.DUMMYFUNCTION("""COMPUTED_VALUE"""),"CO-FW-22-122")</f>
        <v>CO-FW-22-122</v>
      </c>
    </row>
    <row r="38" ht="15.75" customHeight="1">
      <c r="A38" s="64" t="str">
        <f>IFERROR(__xludf.DUMMYFUNCTION("""COMPUTED_VALUE"""),"FW - 320No 12 X 2")</f>
        <v>FW - 320No 12 X 2</v>
      </c>
      <c r="B38" s="57" t="str">
        <f>IFERROR(__xludf.DUMMYFUNCTION("""COMPUTED_VALUE"""),"CO-FW-32-122")</f>
        <v>CO-FW-32-122</v>
      </c>
    </row>
    <row r="39" ht="15.75" customHeight="1">
      <c r="A39" s="64" t="str">
        <f>IFERROR(__xludf.DUMMYFUNCTION("""COMPUTED_VALUE"""),"FW - 320No 3 X 1")</f>
        <v>FW - 320No 3 X 1</v>
      </c>
      <c r="B39" s="57" t="str">
        <f>IFERROR(__xludf.DUMMYFUNCTION("""COMPUTED_VALUE"""),"CO-FW-32-31")</f>
        <v>CO-FW-32-31</v>
      </c>
    </row>
    <row r="40" ht="15.75" customHeight="1">
      <c r="A40" s="64" t="str">
        <f>IFERROR(__xludf.DUMMYFUNCTION("""COMPUTED_VALUE"""),"FW - 320No 6 X 1")</f>
        <v>FW - 320No 6 X 1</v>
      </c>
      <c r="B40" s="57" t="str">
        <f>IFERROR(__xludf.DUMMYFUNCTION("""COMPUTED_VALUE"""),"CO-FW-32-61")</f>
        <v>CO-FW-32-61</v>
      </c>
    </row>
    <row r="41" ht="15.75" customHeight="1">
      <c r="A41" s="64" t="str">
        <f>IFERROR(__xludf.DUMMYFUNCTION("""COMPUTED_VALUE"""),"FW - 320No 6 X 2")</f>
        <v>FW - 320No 6 X 2</v>
      </c>
      <c r="B41" s="57" t="str">
        <f>IFERROR(__xludf.DUMMYFUNCTION("""COMPUTED_VALUE"""),"CO-FW-32-62")</f>
        <v>CO-FW-32-62</v>
      </c>
    </row>
    <row r="42" ht="15.75" customHeight="1">
      <c r="A42" s="64" t="str">
        <f>IFERROR(__xludf.DUMMYFUNCTION("""COMPUTED_VALUE"""),"FW - 400No 12 X 2")</f>
        <v>FW - 400No 12 X 2</v>
      </c>
      <c r="B42" s="57" t="str">
        <f>IFERROR(__xludf.DUMMYFUNCTION("""COMPUTED_VALUE"""),"CO-FW-40-122")</f>
        <v>CO-FW-40-122</v>
      </c>
    </row>
    <row r="43" ht="15.75" customHeight="1">
      <c r="A43" s="64" t="str">
        <f>IFERROR(__xludf.DUMMYFUNCTION("""COMPUTED_VALUE"""),"FW - 400No 3 X 1")</f>
        <v>FW - 400No 3 X 1</v>
      </c>
      <c r="B43" s="57" t="str">
        <f>IFERROR(__xludf.DUMMYFUNCTION("""COMPUTED_VALUE"""),"CO-FW-40-31")</f>
        <v>CO-FW-40-31</v>
      </c>
    </row>
    <row r="44" ht="15.75" customHeight="1">
      <c r="A44" s="64" t="str">
        <f>IFERROR(__xludf.DUMMYFUNCTION("""COMPUTED_VALUE"""),"FW - 600No 12 X 2")</f>
        <v>FW - 600No 12 X 2</v>
      </c>
      <c r="B44" s="57" t="str">
        <f>IFERROR(__xludf.DUMMYFUNCTION("""COMPUTED_VALUE"""),"CO-FW-60-122")</f>
        <v>CO-FW-60-122</v>
      </c>
    </row>
    <row r="45" ht="15.75" customHeight="1">
      <c r="A45" s="64" t="str">
        <f>IFERROR(__xludf.DUMMYFUNCTION("""COMPUTED_VALUE"""),"FW - 600No 3 X 1")</f>
        <v>FW - 600No 3 X 1</v>
      </c>
      <c r="B45" s="57" t="str">
        <f>IFERROR(__xludf.DUMMYFUNCTION("""COMPUTED_VALUE"""),"CO-FW-60-31")</f>
        <v>CO-FW-60-31</v>
      </c>
    </row>
    <row r="46" ht="15.75" customHeight="1">
      <c r="A46" s="64" t="str">
        <f>IFERROR(__xludf.DUMMYFUNCTION("""COMPUTED_VALUE"""),"Yellow Duster")</f>
        <v>Yellow Duster</v>
      </c>
      <c r="B46" s="57" t="str">
        <f>IFERROR(__xludf.DUMMYFUNCTION("""COMPUTED_VALUE"""),"CO-YD-00-00")</f>
        <v>CO-YD-00-00</v>
      </c>
    </row>
    <row r="47" ht="15.75" customHeight="1">
      <c r="A47" s="64" t="str">
        <f>IFERROR(__xludf.DUMMYFUNCTION("""COMPUTED_VALUE"""),"Bal Black Tapper")</f>
        <v>Bal Black Tapper</v>
      </c>
      <c r="B47" s="57" t="str">
        <f>IFERROR(__xludf.DUMMYFUNCTION("""COMPUTED_VALUE"""),"BB-BT-00-00")</f>
        <v>BB-BT-00-00</v>
      </c>
    </row>
    <row r="48" ht="15.75" customHeight="1">
      <c r="A48" s="64" t="str">
        <f>IFERROR(__xludf.DUMMYFUNCTION("""COMPUTED_VALUE"""),"Chuna")</f>
        <v>Chuna</v>
      </c>
      <c r="B48" s="57" t="str">
        <f>IFERROR(__xludf.DUMMYFUNCTION("""COMPUTED_VALUE"""),"CO-CN-00-00")</f>
        <v>CO-CN-00-00</v>
      </c>
    </row>
    <row r="49" ht="15.75" customHeight="1">
      <c r="A49" s="64" t="str">
        <f>IFERROR(__xludf.DUMMYFUNCTION("""COMPUTED_VALUE"""),"Deep Drawing White Chemical")</f>
        <v>Deep Drawing White Chemical</v>
      </c>
      <c r="B49" s="57" t="str">
        <f>IFERROR(__xludf.DUMMYFUNCTION("""COMPUTED_VALUE"""),"CO-DD-WC-00")</f>
        <v>CO-DD-WC-00</v>
      </c>
    </row>
    <row r="50" ht="15.75" customHeight="1">
      <c r="A50" s="64" t="str">
        <f>IFERROR(__xludf.DUMMYFUNCTION("""COMPUTED_VALUE"""),"Deep Drawing Yellow Chemical")</f>
        <v>Deep Drawing Yellow Chemical</v>
      </c>
      <c r="B50" s="57" t="str">
        <f>IFERROR(__xludf.DUMMYFUNCTION("""COMPUTED_VALUE"""),"CO-DD-YC-00")</f>
        <v>CO-DD-YC-00</v>
      </c>
    </row>
    <row r="51" ht="15.75" customHeight="1">
      <c r="A51" s="64" t="str">
        <f>IFERROR(__xludf.DUMMYFUNCTION("""COMPUTED_VALUE"""),"Press Oil")</f>
        <v>Press Oil</v>
      </c>
      <c r="B51" s="57" t="str">
        <f>IFERROR(__xludf.DUMMYFUNCTION("""COMPUTED_VALUE"""),"CO-PO-00-00")</f>
        <v>CO-PO-00-00</v>
      </c>
    </row>
    <row r="52" ht="15.75" customHeight="1">
      <c r="A52" s="64" t="str">
        <f>IFERROR(__xludf.DUMMYFUNCTION("""COMPUTED_VALUE"""),"Black Oil")</f>
        <v>Black Oil</v>
      </c>
      <c r="B52" s="57" t="str">
        <f>IFERROR(__xludf.DUMMYFUNCTION("""COMPUTED_VALUE"""),"CO-BO-00-00")</f>
        <v>CO-BO-00-00</v>
      </c>
    </row>
    <row r="53" ht="15.75" customHeight="1">
      <c r="A53" s="64" t="str">
        <f>IFERROR(__xludf.DUMMYFUNCTION("""COMPUTED_VALUE"""),"Rolling Oil")</f>
        <v>Rolling Oil</v>
      </c>
      <c r="B53" s="57" t="str">
        <f>IFERROR(__xludf.DUMMYFUNCTION("""COMPUTED_VALUE"""),"CO-RO-00-00")</f>
        <v>CO-RO-00-00</v>
      </c>
    </row>
    <row r="54" ht="15.75" customHeight="1">
      <c r="A54" s="64" t="str">
        <f>IFERROR(__xludf.DUMMYFUNCTION("""COMPUTED_VALUE"""),"Deep Drawing Green Chemical")</f>
        <v>Deep Drawing Green Chemical</v>
      </c>
      <c r="B54" s="57" t="str">
        <f>IFERROR(__xludf.DUMMYFUNCTION("""COMPUTED_VALUE"""),"CO-GO-00-00")</f>
        <v>CO-GO-00-00</v>
      </c>
    </row>
    <row r="55" ht="15.75" customHeight="1">
      <c r="A55" s="64" t="str">
        <f>IFERROR(__xludf.DUMMYFUNCTION("""COMPUTED_VALUE"""),"Cutting Tool")</f>
        <v>Cutting Tool</v>
      </c>
      <c r="B55" s="57" t="str">
        <f>IFERROR(__xludf.DUMMYFUNCTION("""COMPUTED_VALUE"""),"CO-CT-00-00")</f>
        <v>CO-CT-00-00</v>
      </c>
    </row>
    <row r="56" ht="15.75" customHeight="1">
      <c r="A56" s="64" t="str">
        <f>IFERROR(__xludf.DUMMYFUNCTION("""COMPUTED_VALUE"""),"Lathe Tool")</f>
        <v>Lathe Tool</v>
      </c>
      <c r="B56" s="57" t="str">
        <f>IFERROR(__xludf.DUMMYFUNCTION("""COMPUTED_VALUE"""),"CO-LT-00-00")</f>
        <v>CO-LT-00-00</v>
      </c>
    </row>
    <row r="57" ht="15.75" customHeight="1">
      <c r="A57" s="64" t="str">
        <f>IFERROR(__xludf.DUMMYFUNCTION("""COMPUTED_VALUE"""),"File")</f>
        <v>File</v>
      </c>
      <c r="B57" s="57" t="str">
        <f>IFERROR(__xludf.DUMMYFUNCTION("""COMPUTED_VALUE"""),"CO-FL-00-00")</f>
        <v>CO-FL-00-00</v>
      </c>
    </row>
    <row r="58" ht="15.75" customHeight="1">
      <c r="A58" s="64" t="str">
        <f>IFERROR(__xludf.DUMMYFUNCTION("""COMPUTED_VALUE"""),"Life Buoy Soap")</f>
        <v>Life Buoy Soap</v>
      </c>
      <c r="B58" s="57" t="str">
        <f>IFERROR(__xludf.DUMMYFUNCTION("""COMPUTED_VALUE"""),"CO-LB-00-00")</f>
        <v>CO-LB-00-00</v>
      </c>
    </row>
    <row r="59" ht="15.75" customHeight="1">
      <c r="A59" s="64" t="str">
        <f>IFERROR(__xludf.DUMMYFUNCTION("""COMPUTED_VALUE"""),"Wooden bhoosa")</f>
        <v>Wooden bhoosa</v>
      </c>
      <c r="B59" s="57" t="str">
        <f>IFERROR(__xludf.DUMMYFUNCTION("""COMPUTED_VALUE"""),"CO-WB-00-00")</f>
        <v>CO-WB-00-00</v>
      </c>
    </row>
    <row r="60" ht="15.75" customHeight="1">
      <c r="A60" s="64" t="str">
        <f>IFERROR(__xludf.DUMMYFUNCTION("""COMPUTED_VALUE"""),"Handgloves - Blue")</f>
        <v>Handgloves - Blue</v>
      </c>
      <c r="B60" s="57" t="str">
        <f>IFERROR(__xludf.DUMMYFUNCTION("""COMPUTED_VALUE"""),"CO-HG-BL-00")</f>
        <v>CO-HG-BL-00</v>
      </c>
    </row>
    <row r="61" ht="15.75" customHeight="1">
      <c r="A61" s="64" t="str">
        <f>IFERROR(__xludf.DUMMYFUNCTION("""COMPUTED_VALUE"""),"Handgloves - White")</f>
        <v>Handgloves - White</v>
      </c>
      <c r="B61" s="57" t="str">
        <f>IFERROR(__xludf.DUMMYFUNCTION("""COMPUTED_VALUE"""),"CO-HG-WT-00")</f>
        <v>CO-HG-WT-00</v>
      </c>
    </row>
    <row r="62" ht="15.75" customHeight="1">
      <c r="A62" s="64" t="str">
        <f>IFERROR(__xludf.DUMMYFUNCTION("""COMPUTED_VALUE"""),"Handgloves - Blue (2nd hand)")</f>
        <v>Handgloves - Blue (2nd hand)</v>
      </c>
      <c r="B62" s="57" t="str">
        <f>IFERROR(__xludf.DUMMYFUNCTION("""COMPUTED_VALUE"""),"CO-HG-02-00")</f>
        <v>CO-HG-02-00</v>
      </c>
    </row>
    <row r="63" ht="15.75" customHeight="1">
      <c r="A63" s="64" t="str">
        <f>IFERROR(__xludf.DUMMYFUNCTION("""COMPUTED_VALUE"""),"Cotton Chindhi")</f>
        <v>Cotton Chindhi</v>
      </c>
      <c r="B63" s="57" t="str">
        <f>IFERROR(__xludf.DUMMYFUNCTION("""COMPUTED_VALUE"""),"CO-CC-00-00")</f>
        <v>CO-CC-00-00</v>
      </c>
    </row>
    <row r="64" ht="15.75" customHeight="1">
      <c r="A64" s="64" t="str">
        <f>IFERROR(__xludf.DUMMYFUNCTION("""COMPUTED_VALUE"""),"Polish Paper - Hemri Roll - 120No")</f>
        <v>Polish Paper - Hemri Roll - 120No</v>
      </c>
      <c r="B64" s="57" t="str">
        <f>IFERROR(__xludf.DUMMYFUNCTION("""COMPUTED_VALUE"""),"CO-PP-HR-12")</f>
        <v>CO-PP-HR-12</v>
      </c>
    </row>
    <row r="65" ht="15.75" customHeight="1">
      <c r="A65" s="64" t="str">
        <f>IFERROR(__xludf.DUMMYFUNCTION("""COMPUTED_VALUE"""),"Polish Paper - Hemri Roll - 220No")</f>
        <v>Polish Paper - Hemri Roll - 220No</v>
      </c>
      <c r="B65" s="57" t="str">
        <f>IFERROR(__xludf.DUMMYFUNCTION("""COMPUTED_VALUE"""),"CO-PP-HR-22")</f>
        <v>CO-PP-HR-22</v>
      </c>
    </row>
    <row r="66" ht="15.75" customHeight="1">
      <c r="A66" s="64" t="str">
        <f>IFERROR(__xludf.DUMMYFUNCTION("""COMPUTED_VALUE"""),"Polish Paper - Hemri Roll - 320No")</f>
        <v>Polish Paper - Hemri Roll - 320No</v>
      </c>
      <c r="B66" s="57" t="str">
        <f>IFERROR(__xludf.DUMMYFUNCTION("""COMPUTED_VALUE"""),"CO-PP-HR-32")</f>
        <v>CO-PP-HR-32</v>
      </c>
    </row>
    <row r="67" ht="15.75" customHeight="1">
      <c r="A67" s="64" t="str">
        <f>IFERROR(__xludf.DUMMYFUNCTION("""COMPUTED_VALUE"""),"Polish Paper - Belt -120No")</f>
        <v>Polish Paper - Belt -120No</v>
      </c>
      <c r="B67" s="57" t="str">
        <f>IFERROR(__xludf.DUMMYFUNCTION("""COMPUTED_VALUE"""),"CO-PP-BE-12")</f>
        <v>CO-PP-BE-12</v>
      </c>
    </row>
    <row r="68" ht="15.75" customHeight="1">
      <c r="A68" s="64" t="str">
        <f>IFERROR(__xludf.DUMMYFUNCTION("""COMPUTED_VALUE"""),"Jute Bag")</f>
        <v>Jute Bag</v>
      </c>
      <c r="B68" s="57" t="str">
        <f>IFERROR(__xludf.DUMMYFUNCTION("""COMPUTED_VALUE"""),"CO-JB-00-00")</f>
        <v>CO-JB-00-00</v>
      </c>
    </row>
    <row r="69" ht="15.75" customHeight="1">
      <c r="A69" s="64" t="str">
        <f>IFERROR(__xludf.DUMMYFUNCTION("""COMPUTED_VALUE"""),"Chun (40 x 55)")</f>
        <v>Chun (40 x 55)</v>
      </c>
      <c r="B69" s="57" t="str">
        <f>IFERROR(__xludf.DUMMYFUNCTION("""COMPUTED_VALUE"""),"CO-CH-55-40")</f>
        <v>CO-CH-55-40</v>
      </c>
    </row>
    <row r="70" ht="15.75" customHeight="1">
      <c r="A70" s="64" t="str">
        <f>IFERROR(__xludf.DUMMYFUNCTION("""COMPUTED_VALUE"""),"Grease")</f>
        <v>Grease</v>
      </c>
      <c r="B70" s="57" t="str">
        <f>IFERROR(__xludf.DUMMYFUNCTION("""COMPUTED_VALUE"""),"CO-GR-00-00")</f>
        <v>CO-GR-00-00</v>
      </c>
    </row>
    <row r="71" ht="15.75" customHeight="1">
      <c r="A71" s="64" t="str">
        <f>IFERROR(__xludf.DUMMYFUNCTION("""COMPUTED_VALUE"""),"Green Pad - Fiber")</f>
        <v>Green Pad - Fiber</v>
      </c>
      <c r="B71" s="57" t="str">
        <f>IFERROR(__xludf.DUMMYFUNCTION("""COMPUTED_VALUE"""),"CO-GP-FB-00")</f>
        <v>CO-GP-FB-00</v>
      </c>
    </row>
    <row r="72" ht="15.75" customHeight="1">
      <c r="A72" s="64" t="str">
        <f>IFERROR(__xludf.DUMMYFUNCTION("""COMPUTED_VALUE"""),"Blue Mats")</f>
        <v>Blue Mats</v>
      </c>
      <c r="B72" s="57" t="str">
        <f>IFERROR(__xludf.DUMMYFUNCTION("""COMPUTED_VALUE"""),"CO-BL-MT-00")</f>
        <v>CO-BL-MT-00</v>
      </c>
    </row>
    <row r="73" ht="15.75" customHeight="1">
      <c r="A73" s="64" t="str">
        <f>IFERROR(__xludf.DUMMYFUNCTION("""COMPUTED_VALUE"""),"Grinder wheel")</f>
        <v>Grinder wheel</v>
      </c>
      <c r="B73" s="57" t="str">
        <f>IFERROR(__xludf.DUMMYFUNCTION("""COMPUTED_VALUE"""),"CO-GW-00-00")</f>
        <v>CO-GW-00-00</v>
      </c>
    </row>
    <row r="74" ht="15.75" customHeight="1">
      <c r="A74" s="64" t="str">
        <f>IFERROR(__xludf.DUMMYFUNCTION("""COMPUTED_VALUE"""),"Hand Grinder")</f>
        <v>Hand Grinder</v>
      </c>
      <c r="B74" s="57" t="str">
        <f>IFERROR(__xludf.DUMMYFUNCTION("""COMPUTED_VALUE"""),"CO-HG-00-00")</f>
        <v>CO-HG-00-00</v>
      </c>
    </row>
    <row r="75" ht="15.75" customHeight="1">
      <c r="A75" s="64" t="str">
        <f>IFERROR(__xludf.DUMMYFUNCTION("""COMPUTED_VALUE"""),"Sargam Soap")</f>
        <v>Sargam Soap</v>
      </c>
      <c r="B75" s="57" t="str">
        <f>IFERROR(__xludf.DUMMYFUNCTION("""COMPUTED_VALUE"""),"CO-SG-SP-00")</f>
        <v>CO-SG-SP-00</v>
      </c>
    </row>
    <row r="76" ht="15.75" customHeight="1">
      <c r="A76" s="64" t="str">
        <f>IFERROR(__xludf.DUMMYFUNCTION("""COMPUTED_VALUE"""),"Cotton Cloth")</f>
        <v>Cotton Cloth</v>
      </c>
      <c r="B76" s="57" t="str">
        <f>IFERROR(__xludf.DUMMYFUNCTION("""COMPUTED_VALUE"""),"CO-CL-00-00")</f>
        <v>CO-CL-00-00</v>
      </c>
    </row>
    <row r="77" ht="15.75" customHeight="1">
      <c r="A77" s="64" t="str">
        <f>IFERROR(__xludf.DUMMYFUNCTION("""COMPUTED_VALUE"""),"Raju Gota Soap")</f>
        <v>Raju Gota Soap</v>
      </c>
      <c r="B77" s="57" t="str">
        <f>IFERROR(__xludf.DUMMYFUNCTION("""COMPUTED_VALUE"""),"CO-RG-SP-00")</f>
        <v>CO-RG-SP-00</v>
      </c>
    </row>
    <row r="78" ht="15.75" customHeight="1">
      <c r="A78" s="64" t="str">
        <f>IFERROR(__xludf.DUMMYFUNCTION("""COMPUTED_VALUE"""),"Bearing - 30204")</f>
        <v>Bearing - 30204</v>
      </c>
      <c r="B78" s="57" t="str">
        <f>IFERROR(__xludf.DUMMYFUNCTION("""COMPUTED_VALUE"""),"CO-BR-30-204")</f>
        <v>CO-BR-30-204</v>
      </c>
    </row>
    <row r="79" ht="15.75" customHeight="1">
      <c r="A79" s="64" t="str">
        <f>IFERROR(__xludf.DUMMYFUNCTION("""COMPUTED_VALUE"""),"Bearing - 32212")</f>
        <v>Bearing - 32212</v>
      </c>
      <c r="B79" s="57" t="str">
        <f>IFERROR(__xludf.DUMMYFUNCTION("""COMPUTED_VALUE"""),"CO-BR-32-212")</f>
        <v>CO-BR-32-212</v>
      </c>
    </row>
    <row r="80" ht="15.75" customHeight="1">
      <c r="A80" s="64" t="str">
        <f>IFERROR(__xludf.DUMMYFUNCTION("""COMPUTED_VALUE"""),"Bearing - 32213")</f>
        <v>Bearing - 32213</v>
      </c>
      <c r="B80" s="57" t="str">
        <f>IFERROR(__xludf.DUMMYFUNCTION("""COMPUTED_VALUE"""),"CO-BR-32-213")</f>
        <v>CO-BR-32-213</v>
      </c>
    </row>
    <row r="81" ht="15.75" customHeight="1">
      <c r="A81" s="64" t="str">
        <f>IFERROR(__xludf.DUMMYFUNCTION("""COMPUTED_VALUE"""),"Bearing - 32214")</f>
        <v>Bearing - 32214</v>
      </c>
      <c r="B81" s="57" t="str">
        <f>IFERROR(__xludf.DUMMYFUNCTION("""COMPUTED_VALUE"""),"CO-BR-32-214")</f>
        <v>CO-BR-32-214</v>
      </c>
    </row>
    <row r="82" ht="15.75" customHeight="1">
      <c r="A82" s="64" t="str">
        <f>IFERROR(__xludf.DUMMYFUNCTION("""COMPUTED_VALUE"""),"Bearing - 32210")</f>
        <v>Bearing - 32210</v>
      </c>
      <c r="B82" s="57" t="str">
        <f>IFERROR(__xludf.DUMMYFUNCTION("""COMPUTED_VALUE"""),"CO-BR-32-210")</f>
        <v>CO-BR-32-210</v>
      </c>
    </row>
    <row r="83" ht="15.75" customHeight="1">
      <c r="A83" s="64" t="str">
        <f>IFERROR(__xludf.DUMMYFUNCTION("""COMPUTED_VALUE"""),"Bearing - 32211")</f>
        <v>Bearing - 32211</v>
      </c>
      <c r="B83" s="57" t="str">
        <f>IFERROR(__xludf.DUMMYFUNCTION("""COMPUTED_VALUE"""),"CO-BR-32-211")</f>
        <v>CO-BR-32-211</v>
      </c>
    </row>
    <row r="84" ht="15.75" customHeight="1">
      <c r="A84" s="64" t="str">
        <f>IFERROR(__xludf.DUMMYFUNCTION("""COMPUTED_VALUE"""),"Bearing - 6308")</f>
        <v>Bearing - 6308</v>
      </c>
      <c r="B84" s="57" t="str">
        <f>IFERROR(__xludf.DUMMYFUNCTION("""COMPUTED_VALUE"""),"CO-BR-63-08")</f>
        <v>CO-BR-63-08</v>
      </c>
    </row>
    <row r="85" ht="15.75" customHeight="1">
      <c r="A85" s="64" t="str">
        <f>IFERROR(__xludf.DUMMYFUNCTION("""COMPUTED_VALUE"""),"Bearing - 05")</f>
        <v>Bearing - 05</v>
      </c>
      <c r="B85" s="57" t="str">
        <f>IFERROR(__xludf.DUMMYFUNCTION("""COMPUTED_VALUE"""),"CO-BR-00-05")</f>
        <v>CO-BR-00-05</v>
      </c>
    </row>
    <row r="86" ht="15.75" customHeight="1">
      <c r="A86" s="64" t="str">
        <f>IFERROR(__xludf.DUMMYFUNCTION("""COMPUTED_VALUE"""),"Bearing - 06")</f>
        <v>Bearing - 06</v>
      </c>
      <c r="B86" s="57" t="str">
        <f>IFERROR(__xludf.DUMMYFUNCTION("""COMPUTED_VALUE"""),"CO-BR-00-06")</f>
        <v>CO-BR-00-06</v>
      </c>
    </row>
    <row r="87" ht="15.75" customHeight="1">
      <c r="A87" s="79" t="str">
        <f>IFERROR(__xludf.DUMMYFUNCTION("""COMPUTED_VALUE"""),"Bearing - 08")</f>
        <v>Bearing - 08</v>
      </c>
      <c r="B87" s="59" t="str">
        <f>IFERROR(__xludf.DUMMYFUNCTION("""COMPUTED_VALUE"""),"CO-BR-00-08")</f>
        <v>CO-BR-00-08</v>
      </c>
    </row>
    <row r="88" ht="15.75" customHeight="1">
      <c r="A88" s="64" t="str">
        <f>IFERROR(__xludf.DUMMYFUNCTION("""COMPUTED_VALUE"""),"Bearing - 09")</f>
        <v>Bearing - 09</v>
      </c>
      <c r="B88" s="57" t="str">
        <f>IFERROR(__xludf.DUMMYFUNCTION("""COMPUTED_VALUE"""),"CO-BR-00-09")</f>
        <v>CO-BR-00-09</v>
      </c>
    </row>
    <row r="89" ht="15.75" customHeight="1">
      <c r="A89" s="64" t="str">
        <f>IFERROR(__xludf.DUMMYFUNCTION("""COMPUTED_VALUE"""),"Belt B-70")</f>
        <v>Belt B-70</v>
      </c>
      <c r="B89" s="57" t="str">
        <f>IFERROR(__xludf.DUMMYFUNCTION("""COMPUTED_VALUE"""),"CO-BT-B-070")</f>
        <v>CO-BT-B-070</v>
      </c>
    </row>
    <row r="90" ht="15.75" customHeight="1">
      <c r="A90" s="64" t="str">
        <f>IFERROR(__xludf.DUMMYFUNCTION("""COMPUTED_VALUE"""),"Belt B-71")</f>
        <v>Belt B-71</v>
      </c>
      <c r="B90" s="57" t="str">
        <f>IFERROR(__xludf.DUMMYFUNCTION("""COMPUTED_VALUE"""),"CO-BT-B-071")</f>
        <v>CO-BT-B-071</v>
      </c>
    </row>
    <row r="91" ht="15.75" customHeight="1">
      <c r="A91" s="64" t="str">
        <f>IFERROR(__xludf.DUMMYFUNCTION("""COMPUTED_VALUE"""),"Belt B-75")</f>
        <v>Belt B-75</v>
      </c>
      <c r="B91" s="57" t="str">
        <f>IFERROR(__xludf.DUMMYFUNCTION("""COMPUTED_VALUE"""),"CO-BT-B-075")</f>
        <v>CO-BT-B-075</v>
      </c>
    </row>
    <row r="92" ht="15.75" customHeight="1">
      <c r="A92" s="64" t="str">
        <f>IFERROR(__xludf.DUMMYFUNCTION("""COMPUTED_VALUE"""),"Belt B-76")</f>
        <v>Belt B-76</v>
      </c>
      <c r="B92" s="57" t="str">
        <f>IFERROR(__xludf.DUMMYFUNCTION("""COMPUTED_VALUE"""),"CO-BT-B-076")</f>
        <v>CO-BT-B-076</v>
      </c>
    </row>
    <row r="93" ht="15.75" customHeight="1">
      <c r="A93" s="64" t="str">
        <f>IFERROR(__xludf.DUMMYFUNCTION("""COMPUTED_VALUE"""),"Belt B-77")</f>
        <v>Belt B-77</v>
      </c>
      <c r="B93" s="57" t="str">
        <f>IFERROR(__xludf.DUMMYFUNCTION("""COMPUTED_VALUE"""),"CO-BT-B-077")</f>
        <v>CO-BT-B-077</v>
      </c>
    </row>
    <row r="94" ht="15.75" customHeight="1">
      <c r="A94" s="64" t="str">
        <f>IFERROR(__xludf.DUMMYFUNCTION("""COMPUTED_VALUE"""),"Belt B-74")</f>
        <v>Belt B-74</v>
      </c>
      <c r="B94" s="57" t="str">
        <f>IFERROR(__xludf.DUMMYFUNCTION("""COMPUTED_VALUE"""),"CO-BT-B-074")</f>
        <v>CO-BT-B-074</v>
      </c>
    </row>
    <row r="95" ht="15.75" customHeight="1">
      <c r="A95" s="64" t="str">
        <f>IFERROR(__xludf.DUMMYFUNCTION("""COMPUTED_VALUE"""),"Belt B-78")</f>
        <v>Belt B-78</v>
      </c>
      <c r="B95" s="57" t="str">
        <f>IFERROR(__xludf.DUMMYFUNCTION("""COMPUTED_VALUE"""),"CO-BT-B-078")</f>
        <v>CO-BT-B-078</v>
      </c>
    </row>
    <row r="96" ht="15.75" customHeight="1">
      <c r="A96" s="64" t="str">
        <f>IFERROR(__xludf.DUMMYFUNCTION("""COMPUTED_VALUE"""),"Belt B-85")</f>
        <v>Belt B-85</v>
      </c>
      <c r="B96" s="57" t="str">
        <f>IFERROR(__xludf.DUMMYFUNCTION("""COMPUTED_VALUE"""),"CO-BT-B-085")</f>
        <v>CO-BT-B-085</v>
      </c>
    </row>
    <row r="97" ht="15.75" customHeight="1">
      <c r="A97" s="64" t="str">
        <f>IFERROR(__xludf.DUMMYFUNCTION("""COMPUTED_VALUE"""),"Belt B-140")</f>
        <v>Belt B-140</v>
      </c>
      <c r="B97" s="57" t="str">
        <f>IFERROR(__xludf.DUMMYFUNCTION("""COMPUTED_VALUE"""),"CO-BT-B-140")</f>
        <v>CO-BT-B-140</v>
      </c>
    </row>
    <row r="98" ht="15.75" customHeight="1">
      <c r="A98" s="64" t="str">
        <f>IFERROR(__xludf.DUMMYFUNCTION("""COMPUTED_VALUE"""),"Belt B-112")</f>
        <v>Belt B-112</v>
      </c>
      <c r="B98" s="57" t="str">
        <f>IFERROR(__xludf.DUMMYFUNCTION("""COMPUTED_VALUE"""),"CO-BT-B-112")</f>
        <v>CO-BT-B-112</v>
      </c>
    </row>
    <row r="99" ht="15.75" customHeight="1">
      <c r="A99" s="64" t="str">
        <f>IFERROR(__xludf.DUMMYFUNCTION("""COMPUTED_VALUE"""),"Belt B-126")</f>
        <v>Belt B-126</v>
      </c>
      <c r="B99" s="57" t="str">
        <f>IFERROR(__xludf.DUMMYFUNCTION("""COMPUTED_VALUE"""),"CO-BT-B-126")</f>
        <v>CO-BT-B-126</v>
      </c>
    </row>
    <row r="100" ht="15.75" customHeight="1">
      <c r="A100" s="64" t="str">
        <f>IFERROR(__xludf.DUMMYFUNCTION("""COMPUTED_VALUE"""),"Belt C-71")</f>
        <v>Belt C-71</v>
      </c>
      <c r="B100" s="57" t="str">
        <f>IFERROR(__xludf.DUMMYFUNCTION("""COMPUTED_VALUE"""),"CO-BT-C-071")</f>
        <v>CO-BT-C-071</v>
      </c>
    </row>
    <row r="101" ht="15.75" customHeight="1">
      <c r="A101" s="79" t="str">
        <f>IFERROR(__xludf.DUMMYFUNCTION("""COMPUTED_VALUE"""),"FW - 120No 8 X 1")</f>
        <v>FW - 120No 8 X 1</v>
      </c>
      <c r="B101" s="59" t="str">
        <f>IFERROR(__xludf.DUMMYFUNCTION("""COMPUTED_VALUE"""),"CO-FW-12-81")</f>
        <v>CO-FW-12-81</v>
      </c>
    </row>
    <row r="102" ht="15.75" customHeight="1">
      <c r="A102" s="79" t="str">
        <f>IFERROR(__xludf.DUMMYFUNCTION("""COMPUTED_VALUE"""),"FW - 220No 6 X 1")</f>
        <v>FW - 220No 6 X 1</v>
      </c>
      <c r="B102" s="59" t="str">
        <f>IFERROR(__xludf.DUMMYFUNCTION("""COMPUTED_VALUE"""),"CO-FW-22-61")</f>
        <v>CO-FW-22-61</v>
      </c>
    </row>
    <row r="103" ht="15.75" customHeight="1">
      <c r="A103" s="79" t="str">
        <f>IFERROR(__xludf.DUMMYFUNCTION("""COMPUTED_VALUE"""),"FW - 220No 6 X 2")</f>
        <v>FW - 220No 6 X 2</v>
      </c>
      <c r="B103" s="59" t="str">
        <f>IFERROR(__xludf.DUMMYFUNCTION("""COMPUTED_VALUE"""),"CO-FW-22-62")</f>
        <v>CO-FW-22-62</v>
      </c>
    </row>
    <row r="104" ht="15.75" customHeight="1">
      <c r="A104" s="64" t="str">
        <f>IFERROR(__xludf.DUMMYFUNCTION("""COMPUTED_VALUE"""),"WPS Pomex Material -  OD 190mm X Length - 2½""")</f>
        <v>WPS Pomex Material -  OD 190mm X Length - 2½"</v>
      </c>
      <c r="B104" s="57"/>
    </row>
    <row r="105" ht="15.75" customHeight="1">
      <c r="A105" s="64" t="str">
        <f>IFERROR(__xludf.DUMMYFUNCTION("""COMPUTED_VALUE"""),"WPS Pomex Material -  OD 155mm X Length - 2""")</f>
        <v>WPS Pomex Material -  OD 155mm X Length - 2"</v>
      </c>
      <c r="B105" s="57"/>
    </row>
    <row r="106" ht="15.75" customHeight="1">
      <c r="A106" s="64" t="str">
        <f>IFERROR(__xludf.DUMMYFUNCTION("""COMPUTED_VALUE"""),"WPS Pomex Material -  OD 160mm X Length - 2 ½""")</f>
        <v>WPS Pomex Material -  OD 160mm X Length - 2 ½"</v>
      </c>
      <c r="B106" s="57"/>
    </row>
    <row r="107" ht="15.75" customHeight="1">
      <c r="A107" s="64" t="str">
        <f>IFERROR(__xludf.DUMMYFUNCTION("""COMPUTED_VALUE"""),"WPS Pomex Material -  OD 140mm X Length - 2 ½""")</f>
        <v>WPS Pomex Material -  OD 140mm X Length - 2 ½"</v>
      </c>
      <c r="B107" s="57"/>
    </row>
    <row r="108" ht="15.75" customHeight="1">
      <c r="A108" s="64" t="str">
        <f>IFERROR(__xludf.DUMMYFUNCTION("""COMPUTED_VALUE"""),"WPS Pomex Material -  OD 6"" X Length - 3""")</f>
        <v>WPS Pomex Material -  OD 6" X Length - 3"</v>
      </c>
      <c r="B108" s="57"/>
    </row>
    <row r="109" ht="15.75" customHeight="1">
      <c r="A109" s="64"/>
      <c r="B109" s="57"/>
    </row>
    <row r="110" ht="15.75" customHeight="1">
      <c r="A110" s="64"/>
      <c r="B110" s="57"/>
    </row>
    <row r="111" ht="15.75" customHeight="1">
      <c r="A111" s="64"/>
      <c r="B111" s="57"/>
    </row>
    <row r="112" ht="15.75" customHeight="1">
      <c r="A112" s="64"/>
      <c r="B112" s="57"/>
    </row>
    <row r="113" ht="15.75" customHeight="1">
      <c r="A113" s="64"/>
      <c r="B113" s="57"/>
    </row>
    <row r="114" ht="15.75" customHeight="1">
      <c r="A114" s="64"/>
      <c r="B114" s="57"/>
    </row>
    <row r="115" ht="15.75" customHeight="1">
      <c r="A115" s="64"/>
      <c r="B115" s="57"/>
    </row>
    <row r="116" ht="15.75" customHeight="1">
      <c r="A116" s="64"/>
      <c r="B116" s="57"/>
    </row>
    <row r="117" ht="15.75" customHeight="1">
      <c r="A117" s="64"/>
      <c r="B117" s="57"/>
    </row>
    <row r="118" ht="15.75" customHeight="1">
      <c r="A118" s="64"/>
      <c r="B118" s="57"/>
    </row>
    <row r="119" ht="15.75" customHeight="1">
      <c r="A119" s="64"/>
      <c r="B119" s="57"/>
    </row>
    <row r="120" ht="15.75" customHeight="1">
      <c r="A120" s="64"/>
      <c r="B120" s="57"/>
    </row>
    <row r="121" ht="15.75" customHeight="1">
      <c r="A121" s="64"/>
      <c r="B121" s="57"/>
    </row>
    <row r="122" ht="15.75" customHeight="1">
      <c r="A122" s="64"/>
      <c r="B122" s="57"/>
    </row>
    <row r="123" ht="15.75" customHeight="1">
      <c r="A123" s="64"/>
      <c r="B123" s="57"/>
    </row>
    <row r="124" ht="15.75" customHeight="1">
      <c r="A124" s="64"/>
      <c r="B124" s="57"/>
    </row>
    <row r="125" ht="15.75" customHeight="1">
      <c r="A125" s="64"/>
      <c r="B125" s="57"/>
    </row>
    <row r="126" ht="15.75" customHeight="1">
      <c r="A126" s="64"/>
      <c r="B126" s="57"/>
    </row>
    <row r="127" ht="15.75" customHeight="1">
      <c r="A127" s="64"/>
      <c r="B127" s="57"/>
    </row>
    <row r="128" ht="15.75" customHeight="1">
      <c r="A128" s="64"/>
      <c r="B128" s="57"/>
    </row>
    <row r="129" ht="15.75" customHeight="1">
      <c r="A129" s="64"/>
      <c r="B129" s="57"/>
    </row>
    <row r="130" ht="15.75" customHeight="1">
      <c r="A130" s="64"/>
      <c r="B130" s="57"/>
    </row>
    <row r="131" ht="15.75" customHeight="1">
      <c r="A131" s="64"/>
      <c r="B131" s="57"/>
    </row>
    <row r="132" ht="15.75" customHeight="1">
      <c r="A132" s="64"/>
      <c r="B132" s="57"/>
    </row>
    <row r="133" ht="15.75" customHeight="1">
      <c r="A133" s="64"/>
      <c r="B133" s="57"/>
    </row>
    <row r="134" ht="15.75" customHeight="1">
      <c r="A134" s="64"/>
      <c r="B134" s="57"/>
    </row>
    <row r="135" ht="15.75" customHeight="1">
      <c r="A135" s="64"/>
      <c r="B135" s="57"/>
    </row>
    <row r="136" ht="15.75" customHeight="1">
      <c r="A136" s="64"/>
      <c r="B136" s="57"/>
    </row>
    <row r="137" ht="15.75" customHeight="1">
      <c r="A137" s="64"/>
      <c r="B137" s="57"/>
    </row>
    <row r="138" ht="15.75" customHeight="1">
      <c r="A138" s="64"/>
      <c r="B138" s="57"/>
    </row>
    <row r="139" ht="15.75" customHeight="1">
      <c r="A139" s="64"/>
      <c r="B139" s="57"/>
    </row>
    <row r="140" ht="15.75" customHeight="1">
      <c r="A140" s="64"/>
      <c r="B140" s="57"/>
    </row>
    <row r="141" ht="15.75" customHeight="1">
      <c r="A141" s="64"/>
      <c r="B141" s="57"/>
    </row>
    <row r="142" ht="15.75" customHeight="1">
      <c r="A142" s="64"/>
      <c r="B142" s="57"/>
    </row>
    <row r="143" ht="15.75" customHeight="1">
      <c r="A143" s="64"/>
      <c r="B143" s="57"/>
    </row>
    <row r="144" ht="15.75" customHeight="1">
      <c r="A144" s="64"/>
      <c r="B144" s="57"/>
    </row>
    <row r="145" ht="15.75" customHeight="1">
      <c r="A145" s="64"/>
      <c r="B145" s="57"/>
    </row>
    <row r="146" ht="15.75" customHeight="1">
      <c r="A146" s="64"/>
      <c r="B146" s="57"/>
    </row>
    <row r="147" ht="15.75" customHeight="1">
      <c r="A147" s="64"/>
      <c r="B147" s="57"/>
    </row>
    <row r="148" ht="15.75" customHeight="1">
      <c r="A148" s="64"/>
      <c r="B148" s="57"/>
    </row>
    <row r="149" ht="15.75" customHeight="1">
      <c r="A149" s="64"/>
      <c r="B149" s="57"/>
    </row>
    <row r="150" ht="15.75" customHeight="1">
      <c r="A150" s="64"/>
      <c r="B150" s="57"/>
    </row>
    <row r="151" ht="15.75" customHeight="1">
      <c r="A151" s="64"/>
      <c r="B151" s="57"/>
    </row>
    <row r="152" ht="15.75" customHeight="1">
      <c r="A152" s="64"/>
      <c r="B152" s="57"/>
    </row>
    <row r="153" ht="15.75" customHeight="1">
      <c r="A153" s="64"/>
      <c r="B153" s="57"/>
    </row>
    <row r="154" ht="15.75" customHeight="1">
      <c r="A154" s="64"/>
      <c r="B154" s="57"/>
    </row>
    <row r="155" ht="15.75" customHeight="1">
      <c r="A155" s="64"/>
      <c r="B155" s="57"/>
    </row>
    <row r="156" ht="15.75" customHeight="1">
      <c r="A156" s="64"/>
      <c r="B156" s="57"/>
    </row>
    <row r="157" ht="15.75" customHeight="1">
      <c r="A157" s="64"/>
      <c r="B157" s="57"/>
    </row>
    <row r="158" ht="15.75" customHeight="1">
      <c r="A158" s="64"/>
      <c r="B158" s="57"/>
    </row>
    <row r="159" ht="15.75" customHeight="1">
      <c r="A159" s="64"/>
      <c r="B159" s="57"/>
    </row>
    <row r="160" ht="15.75" customHeight="1">
      <c r="A160" s="64"/>
      <c r="B160" s="57"/>
    </row>
    <row r="161" ht="15.75" customHeight="1">
      <c r="A161" s="64"/>
      <c r="B161" s="57"/>
    </row>
    <row r="162" ht="15.75" customHeight="1">
      <c r="A162" s="64"/>
      <c r="B162" s="57"/>
    </row>
    <row r="163" ht="15.75" customHeight="1">
      <c r="A163" s="64"/>
      <c r="B163" s="57"/>
    </row>
    <row r="164" ht="15.75" customHeight="1">
      <c r="A164" s="64"/>
      <c r="B164" s="57"/>
    </row>
    <row r="165" ht="15.75" customHeight="1">
      <c r="A165" s="64"/>
      <c r="B165" s="57"/>
    </row>
    <row r="166" ht="15.75" customHeight="1">
      <c r="A166" s="64"/>
      <c r="B166" s="57"/>
    </row>
    <row r="167" ht="15.75" customHeight="1">
      <c r="A167" s="64"/>
      <c r="B167" s="57"/>
    </row>
    <row r="168" ht="15.75" customHeight="1">
      <c r="A168" s="64"/>
      <c r="B168" s="57"/>
    </row>
    <row r="169" ht="15.75" customHeight="1">
      <c r="A169" s="64"/>
      <c r="B169" s="57"/>
    </row>
    <row r="170" ht="15.75" customHeight="1">
      <c r="A170" s="64"/>
      <c r="B170" s="57"/>
    </row>
    <row r="171" ht="15.75" customHeight="1">
      <c r="A171" s="64"/>
      <c r="B171" s="57"/>
    </row>
    <row r="172" ht="15.75" customHeight="1">
      <c r="A172" s="64"/>
      <c r="B172" s="57"/>
    </row>
    <row r="173" ht="15.75" customHeight="1">
      <c r="A173" s="64"/>
      <c r="B173" s="57"/>
    </row>
    <row r="174" ht="15.75" customHeight="1">
      <c r="A174" s="64"/>
      <c r="B174" s="57"/>
    </row>
    <row r="175" ht="15.75" customHeight="1">
      <c r="A175" s="64"/>
      <c r="B175" s="57"/>
    </row>
    <row r="176" ht="15.75" customHeight="1">
      <c r="A176" s="64"/>
      <c r="B176" s="57"/>
    </row>
    <row r="177" ht="15.75" customHeight="1">
      <c r="A177" s="64"/>
      <c r="B177" s="57"/>
    </row>
    <row r="178" ht="15.75" customHeight="1">
      <c r="A178" s="64"/>
      <c r="B178" s="57"/>
    </row>
    <row r="179" ht="15.75" customHeight="1">
      <c r="A179" s="64"/>
      <c r="B179" s="57"/>
    </row>
    <row r="180" ht="15.75" customHeight="1">
      <c r="A180" s="64"/>
      <c r="B180" s="57"/>
    </row>
    <row r="181" ht="15.75" customHeight="1">
      <c r="A181" s="64"/>
      <c r="B181" s="57"/>
    </row>
    <row r="182" ht="15.75" customHeight="1">
      <c r="A182" s="64"/>
      <c r="B182" s="57"/>
    </row>
    <row r="183" ht="15.75" customHeight="1">
      <c r="A183" s="64"/>
      <c r="B183" s="57"/>
    </row>
    <row r="184" ht="15.75" customHeight="1">
      <c r="A184" s="64"/>
      <c r="B184" s="57"/>
    </row>
    <row r="185" ht="15.75" customHeight="1">
      <c r="A185" s="64"/>
      <c r="B185" s="57"/>
    </row>
    <row r="186" ht="15.75" customHeight="1">
      <c r="A186" s="64"/>
      <c r="B186" s="57"/>
    </row>
    <row r="187" ht="15.75" customHeight="1">
      <c r="A187" s="64"/>
      <c r="B187" s="57"/>
    </row>
    <row r="188" ht="15.75" customHeight="1">
      <c r="A188" s="64"/>
      <c r="B188" s="57"/>
    </row>
    <row r="189" ht="15.75" customHeight="1">
      <c r="A189" s="64"/>
      <c r="B189" s="57"/>
    </row>
    <row r="190" ht="15.75" customHeight="1">
      <c r="A190" s="64"/>
      <c r="B190" s="57"/>
    </row>
    <row r="191" ht="15.75" customHeight="1">
      <c r="A191" s="64"/>
      <c r="B191" s="57"/>
    </row>
    <row r="192" ht="15.75" customHeight="1">
      <c r="A192" s="64"/>
      <c r="B192" s="57"/>
    </row>
    <row r="193" ht="15.75" customHeight="1">
      <c r="A193" s="64"/>
      <c r="B193" s="57"/>
    </row>
    <row r="194" ht="15.75" customHeight="1">
      <c r="A194" s="44"/>
      <c r="B194" s="61"/>
    </row>
    <row r="195" ht="15.75" customHeight="1">
      <c r="A195" s="44"/>
      <c r="B195" s="61"/>
    </row>
    <row r="196" ht="15.75" customHeight="1">
      <c r="A196" s="44"/>
      <c r="B196" s="61"/>
    </row>
    <row r="197" ht="15.75" customHeight="1">
      <c r="A197" s="44"/>
      <c r="B197" s="61"/>
    </row>
    <row r="198" ht="15.75" customHeight="1">
      <c r="A198" s="44"/>
      <c r="B198" s="61"/>
    </row>
    <row r="199" ht="15.75" customHeight="1">
      <c r="A199" s="44"/>
      <c r="B199" s="61"/>
    </row>
    <row r="200" ht="15.75" customHeight="1">
      <c r="A200" s="44"/>
      <c r="B200" s="61"/>
    </row>
    <row r="201" ht="15.75" customHeight="1">
      <c r="A201" s="44"/>
      <c r="B201" s="61"/>
    </row>
    <row r="202" ht="15.75" customHeight="1">
      <c r="A202" s="44"/>
      <c r="B202" s="61"/>
    </row>
    <row r="203" ht="15.75" customHeight="1">
      <c r="A203" s="44"/>
      <c r="B203" s="61"/>
    </row>
    <row r="204" ht="15.75" customHeight="1">
      <c r="A204" s="44"/>
      <c r="B204" s="61"/>
    </row>
    <row r="205" ht="15.75" customHeight="1">
      <c r="A205" s="44"/>
      <c r="B205" s="61"/>
    </row>
    <row r="206" ht="15.75" customHeight="1">
      <c r="A206" s="44"/>
      <c r="B206" s="61"/>
    </row>
    <row r="207" ht="15.75" customHeight="1">
      <c r="A207" s="44"/>
      <c r="B207" s="61"/>
    </row>
    <row r="208" ht="15.75" customHeight="1">
      <c r="A208" s="44"/>
      <c r="B208" s="61"/>
    </row>
    <row r="209" ht="15.75" customHeight="1">
      <c r="A209" s="44"/>
      <c r="B209" s="61"/>
    </row>
    <row r="210" ht="15.75" customHeight="1">
      <c r="A210" s="44"/>
      <c r="B210" s="61"/>
    </row>
    <row r="211" ht="15.75" customHeight="1">
      <c r="A211" s="44"/>
      <c r="B211" s="61"/>
    </row>
    <row r="212" ht="15.75" customHeight="1">
      <c r="A212" s="44"/>
      <c r="B212" s="61"/>
    </row>
    <row r="213" ht="15.75" customHeight="1">
      <c r="A213" s="44"/>
      <c r="B213" s="61"/>
    </row>
    <row r="214" ht="15.75" customHeight="1">
      <c r="A214" s="44"/>
      <c r="B214" s="61"/>
    </row>
    <row r="215" ht="15.75" customHeight="1">
      <c r="A215" s="44"/>
      <c r="B215" s="61"/>
    </row>
    <row r="216" ht="15.75" customHeight="1">
      <c r="A216" s="44"/>
      <c r="B216" s="61"/>
    </row>
    <row r="217" ht="15.75" customHeight="1">
      <c r="A217" s="44"/>
      <c r="B217" s="61"/>
    </row>
    <row r="218" ht="15.75" customHeight="1">
      <c r="A218" s="44"/>
      <c r="B218" s="61"/>
    </row>
    <row r="219" ht="15.75" customHeight="1">
      <c r="A219" s="44"/>
      <c r="B219" s="61"/>
    </row>
    <row r="220" ht="15.75" customHeight="1">
      <c r="A220" s="44"/>
      <c r="B220" s="61"/>
    </row>
    <row r="221" ht="15.75" customHeight="1">
      <c r="A221" s="44"/>
      <c r="B221" s="61"/>
    </row>
    <row r="222" ht="15.75" customHeight="1">
      <c r="A222" s="44"/>
      <c r="B222" s="61"/>
    </row>
    <row r="223" ht="15.75" customHeight="1">
      <c r="A223" s="44"/>
      <c r="B223" s="61"/>
    </row>
    <row r="224" ht="15.75" customHeight="1">
      <c r="A224" s="44"/>
      <c r="B224" s="61"/>
    </row>
    <row r="225" ht="15.75" customHeight="1">
      <c r="A225" s="44"/>
      <c r="B225" s="61"/>
    </row>
    <row r="226" ht="15.75" customHeight="1">
      <c r="A226" s="44"/>
      <c r="B226" s="61"/>
    </row>
    <row r="227" ht="15.75" customHeight="1">
      <c r="A227" s="44"/>
      <c r="B227" s="61"/>
    </row>
    <row r="228" ht="15.75" customHeight="1">
      <c r="A228" s="44"/>
      <c r="B228" s="61"/>
    </row>
    <row r="229" ht="15.75" customHeight="1">
      <c r="A229" s="44"/>
      <c r="B229" s="61"/>
    </row>
    <row r="230" ht="15.75" customHeight="1">
      <c r="A230" s="44"/>
      <c r="B230" s="61"/>
    </row>
    <row r="231" ht="15.75" customHeight="1">
      <c r="A231" s="44"/>
      <c r="B231" s="61"/>
    </row>
    <row r="232" ht="15.75" customHeight="1">
      <c r="A232" s="44"/>
      <c r="B232" s="61"/>
    </row>
    <row r="233" ht="15.75" customHeight="1">
      <c r="A233" s="44"/>
      <c r="B233" s="61"/>
    </row>
    <row r="234" ht="15.75" customHeight="1">
      <c r="A234" s="44"/>
      <c r="B234" s="61"/>
    </row>
    <row r="235" ht="15.75" customHeight="1">
      <c r="A235" s="44"/>
      <c r="B235" s="61"/>
    </row>
    <row r="236" ht="15.75" customHeight="1">
      <c r="A236" s="44"/>
      <c r="B236" s="61"/>
    </row>
    <row r="237" ht="15.75" customHeight="1">
      <c r="A237" s="44"/>
      <c r="B237" s="61"/>
    </row>
    <row r="238" ht="15.75" customHeight="1">
      <c r="A238" s="44"/>
      <c r="B238" s="61"/>
    </row>
    <row r="239" ht="15.75" customHeight="1">
      <c r="A239" s="44"/>
      <c r="B239" s="61"/>
    </row>
    <row r="240" ht="15.75" customHeight="1">
      <c r="A240" s="44"/>
      <c r="B240" s="61"/>
    </row>
    <row r="241" ht="15.75" customHeight="1">
      <c r="A241" s="44"/>
      <c r="B241" s="61"/>
    </row>
    <row r="242" ht="15.75" customHeight="1">
      <c r="A242" s="44"/>
      <c r="B242" s="61"/>
    </row>
    <row r="243" ht="15.75" customHeight="1">
      <c r="A243" s="44"/>
      <c r="B243" s="61"/>
    </row>
    <row r="244" ht="15.75" customHeight="1">
      <c r="A244" s="44"/>
      <c r="B244" s="61"/>
    </row>
    <row r="245" ht="15.75" customHeight="1">
      <c r="A245" s="44"/>
      <c r="B245" s="61"/>
    </row>
    <row r="246" ht="15.75" customHeight="1">
      <c r="A246" s="44"/>
      <c r="B246" s="61"/>
    </row>
    <row r="247" ht="15.75" customHeight="1">
      <c r="A247" s="44"/>
      <c r="B247" s="61"/>
    </row>
    <row r="248" ht="15.75" customHeight="1">
      <c r="A248" s="44"/>
      <c r="B248" s="61"/>
    </row>
    <row r="249" ht="15.75" customHeight="1">
      <c r="A249" s="44"/>
      <c r="B249" s="61"/>
    </row>
    <row r="250" ht="15.75" customHeight="1">
      <c r="A250" s="44"/>
      <c r="B250" s="61"/>
    </row>
    <row r="251" ht="15.75" customHeight="1">
      <c r="A251" s="44"/>
      <c r="B251" s="61"/>
    </row>
    <row r="252" ht="15.75" customHeight="1">
      <c r="A252" s="44"/>
      <c r="B252" s="61"/>
    </row>
    <row r="253" ht="15.75" customHeight="1">
      <c r="A253" s="44"/>
      <c r="B253" s="61"/>
    </row>
    <row r="254" ht="15.75" customHeight="1">
      <c r="A254" s="44"/>
      <c r="B254" s="61"/>
    </row>
    <row r="255" ht="15.75" customHeight="1">
      <c r="A255" s="44"/>
      <c r="B255" s="61"/>
    </row>
    <row r="256" ht="15.75" customHeight="1">
      <c r="A256" s="44"/>
      <c r="B256" s="61"/>
    </row>
    <row r="257" ht="15.75" customHeight="1">
      <c r="A257" s="44"/>
      <c r="B257" s="61"/>
    </row>
    <row r="258" ht="15.75" customHeight="1">
      <c r="A258" s="44"/>
      <c r="B258" s="61"/>
    </row>
    <row r="259" ht="15.75" customHeight="1">
      <c r="A259" s="44"/>
      <c r="B259" s="61"/>
    </row>
    <row r="260" ht="15.75" customHeight="1">
      <c r="A260" s="44"/>
      <c r="B260" s="61"/>
    </row>
    <row r="261" ht="15.75" customHeight="1">
      <c r="A261" s="44"/>
      <c r="B261" s="61"/>
    </row>
    <row r="262" ht="15.75" customHeight="1">
      <c r="A262" s="44"/>
      <c r="B262" s="61"/>
    </row>
    <row r="263" ht="15.75" customHeight="1">
      <c r="A263" s="44"/>
      <c r="B263" s="61"/>
    </row>
    <row r="264" ht="15.75" customHeight="1">
      <c r="A264" s="44"/>
      <c r="B264" s="61"/>
    </row>
    <row r="265" ht="15.75" customHeight="1">
      <c r="A265" s="44"/>
      <c r="B265" s="61"/>
    </row>
    <row r="266" ht="15.75" customHeight="1">
      <c r="A266" s="44"/>
      <c r="B266" s="61"/>
    </row>
    <row r="267" ht="15.75" customHeight="1">
      <c r="A267" s="44"/>
      <c r="B267" s="61"/>
    </row>
    <row r="268" ht="15.75" customHeight="1">
      <c r="A268" s="44"/>
      <c r="B268" s="61"/>
    </row>
    <row r="269" ht="15.75" customHeight="1">
      <c r="A269" s="44"/>
      <c r="B269" s="61"/>
    </row>
    <row r="270" ht="15.75" customHeight="1">
      <c r="A270" s="44"/>
      <c r="B270" s="61"/>
    </row>
    <row r="271" ht="15.75" customHeight="1">
      <c r="A271" s="44"/>
      <c r="B271" s="61"/>
    </row>
    <row r="272" ht="15.75" customHeight="1">
      <c r="A272" s="44"/>
      <c r="B272" s="61"/>
    </row>
    <row r="273" ht="15.75" customHeight="1">
      <c r="A273" s="44"/>
      <c r="B273" s="61"/>
    </row>
    <row r="274" ht="15.75" customHeight="1">
      <c r="A274" s="44"/>
      <c r="B274" s="61"/>
    </row>
    <row r="275" ht="15.75" customHeight="1">
      <c r="A275" s="44"/>
      <c r="B275" s="61"/>
    </row>
    <row r="276" ht="15.75" customHeight="1">
      <c r="A276" s="44"/>
      <c r="B276" s="61"/>
    </row>
    <row r="277" ht="15.75" customHeight="1">
      <c r="A277" s="44"/>
      <c r="B277" s="61"/>
    </row>
    <row r="278" ht="15.75" customHeight="1">
      <c r="A278" s="44"/>
      <c r="B278" s="61"/>
    </row>
    <row r="279" ht="15.75" customHeight="1">
      <c r="A279" s="44"/>
      <c r="B279" s="61"/>
    </row>
    <row r="280" ht="15.75" customHeight="1">
      <c r="A280" s="44"/>
      <c r="B280" s="61"/>
    </row>
    <row r="281" ht="15.75" customHeight="1">
      <c r="A281" s="44"/>
      <c r="B281" s="61"/>
    </row>
    <row r="282" ht="15.75" customHeight="1">
      <c r="A282" s="44"/>
      <c r="B282" s="61"/>
    </row>
    <row r="283" ht="15.75" customHeight="1">
      <c r="A283" s="44"/>
      <c r="B283" s="61"/>
    </row>
    <row r="284" ht="15.75" customHeight="1">
      <c r="A284" s="44"/>
      <c r="B284" s="61"/>
    </row>
    <row r="285" ht="15.75" customHeight="1">
      <c r="A285" s="44"/>
      <c r="B285" s="61"/>
    </row>
    <row r="286" ht="15.75" customHeight="1">
      <c r="A286" s="44"/>
      <c r="B286" s="61"/>
    </row>
    <row r="287" ht="15.75" customHeight="1">
      <c r="A287" s="44"/>
      <c r="B287" s="61"/>
    </row>
    <row r="288" ht="15.75" customHeight="1">
      <c r="A288" s="44"/>
      <c r="B288" s="61"/>
    </row>
    <row r="289" ht="15.75" customHeight="1">
      <c r="A289" s="44"/>
      <c r="B289" s="61"/>
    </row>
    <row r="290" ht="15.75" customHeight="1">
      <c r="A290" s="44"/>
      <c r="B290" s="61"/>
    </row>
    <row r="291" ht="15.75" customHeight="1">
      <c r="A291" s="44"/>
      <c r="B291" s="61"/>
    </row>
    <row r="292" ht="15.75" customHeight="1">
      <c r="A292" s="44"/>
      <c r="B292" s="61"/>
    </row>
    <row r="293" ht="15.75" customHeight="1">
      <c r="A293" s="44"/>
      <c r="B293" s="61"/>
    </row>
    <row r="294" ht="15.75" customHeight="1">
      <c r="A294" s="44"/>
      <c r="B294" s="61"/>
    </row>
    <row r="295" ht="15.75" customHeight="1">
      <c r="A295" s="44"/>
      <c r="B295" s="61"/>
    </row>
    <row r="296" ht="15.75" customHeight="1">
      <c r="A296" s="44"/>
      <c r="B296" s="61"/>
    </row>
    <row r="297" ht="15.75" customHeight="1">
      <c r="A297" s="44"/>
      <c r="B297" s="61"/>
    </row>
    <row r="298" ht="15.75" customHeight="1">
      <c r="A298" s="44"/>
      <c r="B298" s="61"/>
    </row>
    <row r="299" ht="15.75" customHeight="1">
      <c r="A299" s="44"/>
      <c r="B299" s="61"/>
    </row>
    <row r="300" ht="15.75" customHeight="1">
      <c r="A300" s="44"/>
      <c r="B300" s="61"/>
    </row>
    <row r="301" ht="15.75" customHeight="1">
      <c r="A301" s="44"/>
      <c r="B301" s="61"/>
    </row>
    <row r="302" ht="15.75" customHeight="1">
      <c r="A302" s="44"/>
      <c r="B302" s="61"/>
    </row>
    <row r="303" ht="15.75" customHeight="1">
      <c r="A303" s="44"/>
      <c r="B303" s="61"/>
    </row>
    <row r="304" ht="15.75" customHeight="1">
      <c r="A304" s="44"/>
      <c r="B304" s="61"/>
    </row>
    <row r="305" ht="15.75" customHeight="1">
      <c r="A305" s="44"/>
      <c r="B305" s="61"/>
    </row>
    <row r="306" ht="15.75" customHeight="1">
      <c r="A306" s="44"/>
      <c r="B306" s="61"/>
    </row>
    <row r="307" ht="15.75" customHeight="1">
      <c r="A307" s="44"/>
      <c r="B307" s="61"/>
    </row>
    <row r="308" ht="15.75" customHeight="1">
      <c r="A308" s="44"/>
      <c r="B308" s="61"/>
    </row>
    <row r="309" ht="15.75" customHeight="1">
      <c r="A309" s="44"/>
      <c r="B309" s="61"/>
    </row>
    <row r="310" ht="15.75" customHeight="1">
      <c r="A310" s="44"/>
      <c r="B310" s="61"/>
    </row>
    <row r="311" ht="15.75" customHeight="1">
      <c r="A311" s="44"/>
      <c r="B311" s="61"/>
    </row>
    <row r="312" ht="15.75" customHeight="1">
      <c r="A312" s="44"/>
      <c r="B312" s="61"/>
    </row>
    <row r="313" ht="15.75" customHeight="1">
      <c r="A313" s="44"/>
      <c r="B313" s="61"/>
    </row>
    <row r="314" ht="15.75" customHeight="1">
      <c r="A314" s="44"/>
      <c r="B314" s="61"/>
    </row>
    <row r="315" ht="15.75" customHeight="1">
      <c r="A315" s="44"/>
      <c r="B315" s="61"/>
    </row>
    <row r="316" ht="15.75" customHeight="1">
      <c r="A316" s="44"/>
      <c r="B316" s="61"/>
    </row>
    <row r="317" ht="15.75" customHeight="1">
      <c r="A317" s="44"/>
      <c r="B317" s="61"/>
    </row>
    <row r="318" ht="15.75" customHeight="1">
      <c r="A318" s="44"/>
      <c r="B318" s="61"/>
    </row>
    <row r="319" ht="15.75" customHeight="1">
      <c r="A319" s="44"/>
      <c r="B319" s="61"/>
    </row>
    <row r="320" ht="15.75" customHeight="1">
      <c r="A320" s="44"/>
      <c r="B320" s="61"/>
    </row>
    <row r="321" ht="15.75" customHeight="1">
      <c r="A321" s="44"/>
      <c r="B321" s="61"/>
    </row>
    <row r="322" ht="15.75" customHeight="1">
      <c r="A322" s="44"/>
      <c r="B322" s="61"/>
    </row>
    <row r="323" ht="15.75" customHeight="1">
      <c r="A323" s="44"/>
      <c r="B323" s="61"/>
    </row>
    <row r="324" ht="15.75" customHeight="1">
      <c r="A324" s="44"/>
      <c r="B324" s="61"/>
    </row>
    <row r="325" ht="15.75" customHeight="1">
      <c r="A325" s="44"/>
      <c r="B325" s="61"/>
    </row>
    <row r="326" ht="15.75" customHeight="1">
      <c r="A326" s="44"/>
      <c r="B326" s="61"/>
    </row>
    <row r="327" ht="15.75" customHeight="1">
      <c r="A327" s="44"/>
      <c r="B327" s="61"/>
    </row>
    <row r="328" ht="15.75" customHeight="1">
      <c r="A328" s="44"/>
      <c r="B328" s="61"/>
    </row>
    <row r="329" ht="15.75" customHeight="1">
      <c r="A329" s="44"/>
      <c r="B329" s="61"/>
    </row>
    <row r="330" ht="15.75" customHeight="1">
      <c r="A330" s="44"/>
      <c r="B330" s="61"/>
    </row>
    <row r="331" ht="15.75" customHeight="1">
      <c r="A331" s="44"/>
      <c r="B331" s="61"/>
    </row>
    <row r="332" ht="15.75" customHeight="1">
      <c r="A332" s="44"/>
      <c r="B332" s="61"/>
    </row>
    <row r="333" ht="15.75" customHeight="1">
      <c r="A333" s="44"/>
      <c r="B333" s="61"/>
    </row>
    <row r="334" ht="15.75" customHeight="1">
      <c r="A334" s="44"/>
      <c r="B334" s="61"/>
    </row>
    <row r="335" ht="15.75" customHeight="1">
      <c r="A335" s="44"/>
      <c r="B335" s="61"/>
    </row>
    <row r="336" ht="15.75" customHeight="1">
      <c r="A336" s="44"/>
      <c r="B336" s="61"/>
    </row>
    <row r="337" ht="15.75" customHeight="1">
      <c r="A337" s="44"/>
      <c r="B337" s="61"/>
    </row>
    <row r="338" ht="15.75" customHeight="1">
      <c r="A338" s="44"/>
      <c r="B338" s="61"/>
    </row>
    <row r="339" ht="15.75" customHeight="1">
      <c r="A339" s="44"/>
      <c r="B339" s="61"/>
    </row>
    <row r="340" ht="15.75" customHeight="1">
      <c r="A340" s="44"/>
      <c r="B340" s="61"/>
    </row>
    <row r="341" ht="15.75" customHeight="1">
      <c r="A341" s="44"/>
      <c r="B341" s="61"/>
    </row>
    <row r="342" ht="15.75" customHeight="1">
      <c r="A342" s="44"/>
      <c r="B342" s="61"/>
    </row>
    <row r="343" ht="15.75" customHeight="1">
      <c r="A343" s="44"/>
      <c r="B343" s="61"/>
    </row>
    <row r="344" ht="15.75" customHeight="1">
      <c r="A344" s="44"/>
      <c r="B344" s="61"/>
    </row>
    <row r="345" ht="15.75" customHeight="1">
      <c r="A345" s="44"/>
      <c r="B345" s="61"/>
    </row>
    <row r="346" ht="15.75" customHeight="1">
      <c r="A346" s="44"/>
      <c r="B346" s="61"/>
    </row>
    <row r="347" ht="15.75" customHeight="1">
      <c r="A347" s="44"/>
      <c r="B347" s="61"/>
    </row>
    <row r="348" ht="15.75" customHeight="1">
      <c r="A348" s="44"/>
      <c r="B348" s="61"/>
    </row>
    <row r="349" ht="15.75" customHeight="1">
      <c r="A349" s="44"/>
      <c r="B349" s="61"/>
    </row>
    <row r="350" ht="15.75" customHeight="1">
      <c r="A350" s="44"/>
      <c r="B350" s="61"/>
    </row>
    <row r="351" ht="15.75" customHeight="1">
      <c r="A351" s="44"/>
      <c r="B351" s="61"/>
    </row>
    <row r="352" ht="15.75" customHeight="1">
      <c r="A352" s="44"/>
      <c r="B352" s="61"/>
    </row>
    <row r="353" ht="15.75" customHeight="1">
      <c r="A353" s="44"/>
      <c r="B353" s="61"/>
    </row>
    <row r="354" ht="15.75" customHeight="1">
      <c r="A354" s="44"/>
      <c r="B354" s="61"/>
    </row>
    <row r="355" ht="15.75" customHeight="1">
      <c r="A355" s="44"/>
      <c r="B355" s="61"/>
    </row>
    <row r="356" ht="15.75" customHeight="1">
      <c r="A356" s="44"/>
      <c r="B356" s="61"/>
    </row>
    <row r="357" ht="15.75" customHeight="1">
      <c r="A357" s="44"/>
      <c r="B357" s="61"/>
    </row>
    <row r="358" ht="15.75" customHeight="1">
      <c r="A358" s="44"/>
      <c r="B358" s="61"/>
    </row>
    <row r="359" ht="15.75" customHeight="1">
      <c r="A359" s="44"/>
      <c r="B359" s="61"/>
    </row>
    <row r="360" ht="15.75" customHeight="1">
      <c r="A360" s="44"/>
      <c r="B360" s="61"/>
    </row>
    <row r="361" ht="15.75" customHeight="1">
      <c r="A361" s="44"/>
      <c r="B361" s="61"/>
    </row>
    <row r="362" ht="15.75" customHeight="1">
      <c r="A362" s="44"/>
      <c r="B362" s="61"/>
    </row>
    <row r="363" ht="15.75" customHeight="1">
      <c r="A363" s="44"/>
      <c r="B363" s="61"/>
    </row>
    <row r="364" ht="15.75" customHeight="1">
      <c r="A364" s="44"/>
      <c r="B364" s="61"/>
    </row>
    <row r="365" ht="15.75" customHeight="1">
      <c r="A365" s="44"/>
      <c r="B365" s="61"/>
    </row>
    <row r="366" ht="15.75" customHeight="1">
      <c r="A366" s="44"/>
      <c r="B366" s="61"/>
    </row>
    <row r="367" ht="15.75" customHeight="1">
      <c r="A367" s="44"/>
      <c r="B367" s="61"/>
    </row>
    <row r="368" ht="15.75" customHeight="1">
      <c r="A368" s="44"/>
      <c r="B368" s="61"/>
    </row>
    <row r="369" ht="15.75" customHeight="1">
      <c r="A369" s="44"/>
      <c r="B369" s="61"/>
    </row>
    <row r="370" ht="15.75" customHeight="1">
      <c r="A370" s="44"/>
      <c r="B370" s="61"/>
    </row>
    <row r="371" ht="15.75" customHeight="1">
      <c r="A371" s="44"/>
      <c r="B371" s="61"/>
    </row>
    <row r="372" ht="15.75" customHeight="1">
      <c r="A372" s="44"/>
      <c r="B372" s="61"/>
    </row>
    <row r="373" ht="15.75" customHeight="1">
      <c r="A373" s="44"/>
      <c r="B373" s="61"/>
    </row>
    <row r="374" ht="15.75" customHeight="1">
      <c r="A374" s="44"/>
      <c r="B374" s="61"/>
    </row>
    <row r="375" ht="15.75" customHeight="1">
      <c r="A375" s="44"/>
      <c r="B375" s="61"/>
    </row>
    <row r="376" ht="15.75" customHeight="1">
      <c r="A376" s="44"/>
      <c r="B376" s="61"/>
    </row>
    <row r="377" ht="15.75" customHeight="1">
      <c r="A377" s="44"/>
      <c r="B377" s="61"/>
    </row>
    <row r="378" ht="15.75" customHeight="1">
      <c r="A378" s="44"/>
      <c r="B378" s="61"/>
    </row>
    <row r="379" ht="15.75" customHeight="1">
      <c r="A379" s="44"/>
      <c r="B379" s="61"/>
    </row>
    <row r="380" ht="15.75" customHeight="1">
      <c r="A380" s="44"/>
      <c r="B380" s="61"/>
    </row>
    <row r="381" ht="15.75" customHeight="1">
      <c r="A381" s="44"/>
      <c r="B381" s="61"/>
    </row>
    <row r="382" ht="15.75" customHeight="1">
      <c r="A382" s="44"/>
      <c r="B382" s="61"/>
    </row>
    <row r="383" ht="15.75" customHeight="1">
      <c r="A383" s="44"/>
      <c r="B383" s="61"/>
    </row>
    <row r="384" ht="15.75" customHeight="1">
      <c r="A384" s="44"/>
      <c r="B384" s="61"/>
    </row>
    <row r="385" ht="15.75" customHeight="1">
      <c r="A385" s="44"/>
      <c r="B385" s="61"/>
    </row>
    <row r="386" ht="15.75" customHeight="1">
      <c r="A386" s="44"/>
      <c r="B386" s="61"/>
    </row>
    <row r="387" ht="15.75" customHeight="1">
      <c r="A387" s="44"/>
      <c r="B387" s="61"/>
    </row>
    <row r="388" ht="15.75" customHeight="1">
      <c r="A388" s="44"/>
      <c r="B388" s="61"/>
    </row>
    <row r="389" ht="15.75" customHeight="1">
      <c r="A389" s="44"/>
      <c r="B389" s="61"/>
    </row>
    <row r="390" ht="15.75" customHeight="1">
      <c r="A390" s="44"/>
      <c r="B390" s="61"/>
    </row>
    <row r="391" ht="15.75" customHeight="1">
      <c r="A391" s="44"/>
      <c r="B391" s="61"/>
    </row>
    <row r="392" ht="15.75" customHeight="1">
      <c r="A392" s="44"/>
      <c r="B392" s="61"/>
    </row>
    <row r="393" ht="15.75" customHeight="1">
      <c r="A393" s="44"/>
      <c r="B393" s="61"/>
    </row>
    <row r="394" ht="15.75" customHeight="1">
      <c r="A394" s="44"/>
      <c r="B394" s="61"/>
    </row>
    <row r="395" ht="15.75" customHeight="1">
      <c r="A395" s="44"/>
      <c r="B395" s="61"/>
    </row>
    <row r="396" ht="15.75" customHeight="1">
      <c r="A396" s="44"/>
      <c r="B396" s="61"/>
    </row>
    <row r="397" ht="15.75" customHeight="1">
      <c r="A397" s="44"/>
      <c r="B397" s="61"/>
    </row>
    <row r="398" ht="15.75" customHeight="1">
      <c r="A398" s="44"/>
      <c r="B398" s="61"/>
    </row>
    <row r="399" ht="15.75" customHeight="1">
      <c r="A399" s="44"/>
      <c r="B399" s="61"/>
    </row>
    <row r="400" ht="15.75" customHeight="1">
      <c r="A400" s="44"/>
      <c r="B400" s="61"/>
    </row>
    <row r="401" ht="15.75" customHeight="1">
      <c r="A401" s="44"/>
      <c r="B401" s="61"/>
    </row>
    <row r="402" ht="15.75" customHeight="1">
      <c r="A402" s="44"/>
      <c r="B402" s="61"/>
    </row>
    <row r="403" ht="15.75" customHeight="1">
      <c r="A403" s="44"/>
      <c r="B403" s="61"/>
    </row>
    <row r="404" ht="15.75" customHeight="1">
      <c r="A404" s="44"/>
      <c r="B404" s="61"/>
    </row>
    <row r="405" ht="15.75" customHeight="1">
      <c r="A405" s="44"/>
      <c r="B405" s="61"/>
    </row>
    <row r="406" ht="15.75" customHeight="1">
      <c r="A406" s="44"/>
      <c r="B406" s="61"/>
    </row>
    <row r="407" ht="15.75" customHeight="1">
      <c r="A407" s="44"/>
      <c r="B407" s="61"/>
    </row>
    <row r="408" ht="15.75" customHeight="1">
      <c r="A408" s="44"/>
      <c r="B408" s="61"/>
    </row>
    <row r="409" ht="15.75" customHeight="1">
      <c r="A409" s="44"/>
      <c r="B409" s="61"/>
    </row>
    <row r="410" ht="15.75" customHeight="1">
      <c r="A410" s="44"/>
      <c r="B410" s="61"/>
    </row>
    <row r="411" ht="15.75" customHeight="1">
      <c r="A411" s="44"/>
      <c r="B411" s="61"/>
    </row>
    <row r="412" ht="15.75" customHeight="1">
      <c r="A412" s="44"/>
      <c r="B412" s="61"/>
    </row>
    <row r="413" ht="15.75" customHeight="1">
      <c r="A413" s="44"/>
      <c r="B413" s="61"/>
    </row>
    <row r="414" ht="15.75" customHeight="1">
      <c r="A414" s="44"/>
      <c r="B414" s="61"/>
    </row>
    <row r="415" ht="15.75" customHeight="1">
      <c r="A415" s="44"/>
      <c r="B415" s="61"/>
    </row>
    <row r="416" ht="15.75" customHeight="1">
      <c r="A416" s="44"/>
      <c r="B416" s="61"/>
    </row>
    <row r="417" ht="15.75" customHeight="1">
      <c r="A417" s="44"/>
      <c r="B417" s="61"/>
    </row>
    <row r="418" ht="15.75" customHeight="1">
      <c r="A418" s="44"/>
      <c r="B418" s="61"/>
    </row>
    <row r="419" ht="15.75" customHeight="1">
      <c r="A419" s="44"/>
      <c r="B419" s="61"/>
    </row>
    <row r="420" ht="15.75" customHeight="1">
      <c r="A420" s="44"/>
      <c r="B420" s="61"/>
    </row>
    <row r="421" ht="15.75" customHeight="1">
      <c r="A421" s="44"/>
      <c r="B421" s="61"/>
    </row>
    <row r="422" ht="15.75" customHeight="1">
      <c r="A422" s="44"/>
      <c r="B422" s="61"/>
    </row>
    <row r="423" ht="15.75" customHeight="1">
      <c r="A423" s="44"/>
      <c r="B423" s="61"/>
    </row>
    <row r="424" ht="15.75" customHeight="1">
      <c r="A424" s="44"/>
      <c r="B424" s="61"/>
    </row>
    <row r="425" ht="15.75" customHeight="1">
      <c r="A425" s="44"/>
      <c r="B425" s="61"/>
    </row>
    <row r="426" ht="15.75" customHeight="1">
      <c r="A426" s="44"/>
      <c r="B426" s="61"/>
    </row>
    <row r="427" ht="15.75" customHeight="1">
      <c r="A427" s="44"/>
      <c r="B427" s="61"/>
    </row>
    <row r="428" ht="15.75" customHeight="1">
      <c r="A428" s="44"/>
      <c r="B428" s="61"/>
    </row>
    <row r="429" ht="15.75" customHeight="1">
      <c r="A429" s="44"/>
      <c r="B429" s="61"/>
    </row>
    <row r="430" ht="15.75" customHeight="1">
      <c r="A430" s="44"/>
      <c r="B430" s="61"/>
    </row>
    <row r="431" ht="15.75" customHeight="1">
      <c r="A431" s="44"/>
      <c r="B431" s="61"/>
    </row>
    <row r="432" ht="15.75" customHeight="1">
      <c r="A432" s="44"/>
      <c r="B432" s="61"/>
    </row>
    <row r="433" ht="15.75" customHeight="1">
      <c r="A433" s="44"/>
      <c r="B433" s="61"/>
    </row>
    <row r="434" ht="15.75" customHeight="1">
      <c r="A434" s="44"/>
      <c r="B434" s="61"/>
    </row>
    <row r="435" ht="15.75" customHeight="1">
      <c r="A435" s="44"/>
      <c r="B435" s="61"/>
    </row>
    <row r="436" ht="15.75" customHeight="1">
      <c r="A436" s="44"/>
      <c r="B436" s="61"/>
    </row>
    <row r="437" ht="15.75" customHeight="1">
      <c r="A437" s="44"/>
      <c r="B437" s="61"/>
    </row>
    <row r="438" ht="15.75" customHeight="1">
      <c r="A438" s="44"/>
      <c r="B438" s="61"/>
    </row>
    <row r="439" ht="15.75" customHeight="1">
      <c r="A439" s="44"/>
      <c r="B439" s="61"/>
    </row>
    <row r="440" ht="15.75" customHeight="1">
      <c r="A440" s="44"/>
      <c r="B440" s="61"/>
    </row>
    <row r="441" ht="15.75" customHeight="1">
      <c r="A441" s="44"/>
      <c r="B441" s="61"/>
    </row>
    <row r="442" ht="15.75" customHeight="1">
      <c r="A442" s="44"/>
      <c r="B442" s="61"/>
    </row>
    <row r="443" ht="15.75" customHeight="1">
      <c r="A443" s="44"/>
      <c r="B443" s="61"/>
    </row>
    <row r="444" ht="15.75" customHeight="1">
      <c r="A444" s="44"/>
      <c r="B444" s="61"/>
    </row>
    <row r="445" ht="15.75" customHeight="1">
      <c r="A445" s="44"/>
      <c r="B445" s="61"/>
    </row>
    <row r="446" ht="15.75" customHeight="1">
      <c r="A446" s="44"/>
      <c r="B446" s="61"/>
    </row>
    <row r="447" ht="15.75" customHeight="1">
      <c r="A447" s="44"/>
      <c r="B447" s="61"/>
    </row>
    <row r="448" ht="15.75" customHeight="1">
      <c r="A448" s="44"/>
      <c r="B448" s="61"/>
    </row>
    <row r="449" ht="15.75" customHeight="1">
      <c r="A449" s="44"/>
      <c r="B449" s="61"/>
    </row>
    <row r="450" ht="15.75" customHeight="1">
      <c r="A450" s="44"/>
      <c r="B450" s="61"/>
    </row>
    <row r="451" ht="15.75" customHeight="1">
      <c r="A451" s="44"/>
      <c r="B451" s="61"/>
    </row>
    <row r="452" ht="15.75" customHeight="1">
      <c r="A452" s="44"/>
      <c r="B452" s="61"/>
    </row>
    <row r="453" ht="15.75" customHeight="1">
      <c r="A453" s="44"/>
      <c r="B453" s="61"/>
    </row>
    <row r="454" ht="15.75" customHeight="1">
      <c r="A454" s="44"/>
      <c r="B454" s="61"/>
    </row>
    <row r="455" ht="15.75" customHeight="1">
      <c r="A455" s="44"/>
      <c r="B455" s="61"/>
    </row>
    <row r="456" ht="15.75" customHeight="1">
      <c r="A456" s="44"/>
      <c r="B456" s="61"/>
    </row>
    <row r="457" ht="15.75" customHeight="1">
      <c r="A457" s="44"/>
      <c r="B457" s="61"/>
    </row>
    <row r="458" ht="15.75" customHeight="1">
      <c r="A458" s="44"/>
      <c r="B458" s="61"/>
    </row>
    <row r="459" ht="15.75" customHeight="1">
      <c r="A459" s="44"/>
      <c r="B459" s="61"/>
    </row>
    <row r="460" ht="15.75" customHeight="1">
      <c r="A460" s="44"/>
      <c r="B460" s="61"/>
    </row>
    <row r="461" ht="15.75" customHeight="1">
      <c r="A461" s="44"/>
      <c r="B461" s="61"/>
    </row>
    <row r="462" ht="15.75" customHeight="1">
      <c r="A462" s="44"/>
      <c r="B462" s="61"/>
    </row>
    <row r="463" ht="15.75" customHeight="1">
      <c r="A463" s="44"/>
      <c r="B463" s="61"/>
    </row>
    <row r="464" ht="15.75" customHeight="1">
      <c r="A464" s="44"/>
      <c r="B464" s="61"/>
    </row>
    <row r="465" ht="15.75" customHeight="1">
      <c r="A465" s="44"/>
      <c r="B465" s="61"/>
    </row>
    <row r="466" ht="15.75" customHeight="1">
      <c r="A466" s="44"/>
      <c r="B466" s="61"/>
    </row>
    <row r="467" ht="15.75" customHeight="1">
      <c r="A467" s="44"/>
      <c r="B467" s="61"/>
    </row>
    <row r="468" ht="15.75" customHeight="1">
      <c r="A468" s="44"/>
      <c r="B468" s="61"/>
    </row>
    <row r="469" ht="15.75" customHeight="1">
      <c r="A469" s="44"/>
      <c r="B469" s="61"/>
    </row>
    <row r="470" ht="15.75" customHeight="1">
      <c r="A470" s="44"/>
      <c r="B470" s="61"/>
    </row>
    <row r="471" ht="15.75" customHeight="1">
      <c r="A471" s="44"/>
      <c r="B471" s="61"/>
    </row>
    <row r="472" ht="15.75" customHeight="1">
      <c r="A472" s="44"/>
      <c r="B472" s="61"/>
    </row>
    <row r="473" ht="15.75" customHeight="1">
      <c r="A473" s="44"/>
      <c r="B473" s="61"/>
    </row>
    <row r="474" ht="15.75" customHeight="1">
      <c r="A474" s="44"/>
      <c r="B474" s="61"/>
    </row>
    <row r="475" ht="15.75" customHeight="1">
      <c r="A475" s="44"/>
      <c r="B475" s="61"/>
    </row>
    <row r="476" ht="15.75" customHeight="1">
      <c r="A476" s="44"/>
      <c r="B476" s="61"/>
    </row>
    <row r="477" ht="15.75" customHeight="1">
      <c r="A477" s="44"/>
      <c r="B477" s="61"/>
    </row>
    <row r="478" ht="15.75" customHeight="1">
      <c r="A478" s="44"/>
      <c r="B478" s="61"/>
    </row>
    <row r="479" ht="15.75" customHeight="1">
      <c r="A479" s="44"/>
      <c r="B479" s="61"/>
    </row>
    <row r="480" ht="15.75" customHeight="1">
      <c r="A480" s="44"/>
      <c r="B480" s="61"/>
    </row>
    <row r="481" ht="15.75" customHeight="1">
      <c r="A481" s="44"/>
      <c r="B481" s="61"/>
    </row>
    <row r="482" ht="15.75" customHeight="1">
      <c r="A482" s="44"/>
      <c r="B482" s="61"/>
    </row>
    <row r="483" ht="15.75" customHeight="1">
      <c r="A483" s="44"/>
      <c r="B483" s="61"/>
    </row>
    <row r="484" ht="15.75" customHeight="1">
      <c r="A484" s="44"/>
      <c r="B484" s="61"/>
    </row>
    <row r="485" ht="15.75" customHeight="1">
      <c r="A485" s="44"/>
      <c r="B485" s="61"/>
    </row>
    <row r="486" ht="15.75" customHeight="1">
      <c r="A486" s="44"/>
      <c r="B486" s="61"/>
    </row>
    <row r="487" ht="15.75" customHeight="1">
      <c r="A487" s="44"/>
      <c r="B487" s="61"/>
    </row>
    <row r="488" ht="15.75" customHeight="1">
      <c r="A488" s="44"/>
      <c r="B488" s="61"/>
    </row>
    <row r="489" ht="15.75" customHeight="1">
      <c r="A489" s="44"/>
      <c r="B489" s="61"/>
    </row>
    <row r="490" ht="15.75" customHeight="1">
      <c r="A490" s="44"/>
      <c r="B490" s="61"/>
    </row>
    <row r="491" ht="15.75" customHeight="1">
      <c r="A491" s="44"/>
      <c r="B491" s="61"/>
    </row>
    <row r="492" ht="15.75" customHeight="1">
      <c r="A492" s="44"/>
      <c r="B492" s="61"/>
    </row>
    <row r="493" ht="15.75" customHeight="1">
      <c r="A493" s="44"/>
      <c r="B493" s="61"/>
    </row>
    <row r="494" ht="15.75" customHeight="1">
      <c r="A494" s="44"/>
      <c r="B494" s="61"/>
    </row>
    <row r="495" ht="15.75" customHeight="1">
      <c r="A495" s="44"/>
      <c r="B495" s="61"/>
    </row>
    <row r="496" ht="15.75" customHeight="1">
      <c r="A496" s="44"/>
      <c r="B496" s="61"/>
    </row>
    <row r="497" ht="15.75" customHeight="1">
      <c r="A497" s="44"/>
      <c r="B497" s="61"/>
    </row>
    <row r="498" ht="15.75" customHeight="1">
      <c r="A498" s="44"/>
      <c r="B498" s="61"/>
    </row>
    <row r="499" ht="15.75" customHeight="1">
      <c r="A499" s="44"/>
      <c r="B499" s="61"/>
    </row>
    <row r="500" ht="15.75" customHeight="1">
      <c r="A500" s="44"/>
      <c r="B500" s="61"/>
    </row>
    <row r="501" ht="15.75" customHeight="1">
      <c r="A501" s="44"/>
      <c r="B501" s="61"/>
    </row>
    <row r="502" ht="15.75" customHeight="1">
      <c r="A502" s="44"/>
      <c r="B502" s="61"/>
    </row>
    <row r="503" ht="15.75" customHeight="1">
      <c r="A503" s="44"/>
      <c r="B503" s="61"/>
    </row>
    <row r="504" ht="15.75" customHeight="1">
      <c r="A504" s="44"/>
      <c r="B504" s="61"/>
    </row>
    <row r="505" ht="15.75" customHeight="1">
      <c r="A505" s="44"/>
      <c r="B505" s="61"/>
    </row>
    <row r="506" ht="15.75" customHeight="1">
      <c r="A506" s="44"/>
      <c r="B506" s="61"/>
    </row>
    <row r="507" ht="15.75" customHeight="1">
      <c r="A507" s="44"/>
      <c r="B507" s="61"/>
    </row>
    <row r="508" ht="15.75" customHeight="1">
      <c r="A508" s="44"/>
      <c r="B508" s="61"/>
    </row>
    <row r="509" ht="15.75" customHeight="1">
      <c r="A509" s="44"/>
      <c r="B509" s="61"/>
    </row>
    <row r="510" ht="15.75" customHeight="1">
      <c r="A510" s="44"/>
      <c r="B510" s="61"/>
    </row>
    <row r="511" ht="15.75" customHeight="1">
      <c r="A511" s="44"/>
      <c r="B511" s="61"/>
    </row>
    <row r="512" ht="15.75" customHeight="1">
      <c r="A512" s="44"/>
      <c r="B512" s="61"/>
    </row>
    <row r="513" ht="15.75" customHeight="1">
      <c r="A513" s="44"/>
      <c r="B513" s="61"/>
    </row>
    <row r="514" ht="15.75" customHeight="1">
      <c r="A514" s="44"/>
      <c r="B514" s="61"/>
    </row>
    <row r="515" ht="15.75" customHeight="1">
      <c r="A515" s="44"/>
      <c r="B515" s="61"/>
    </row>
    <row r="516" ht="15.75" customHeight="1">
      <c r="A516" s="44"/>
      <c r="B516" s="61"/>
    </row>
    <row r="517" ht="15.75" customHeight="1">
      <c r="A517" s="44"/>
      <c r="B517" s="61"/>
    </row>
    <row r="518" ht="15.75" customHeight="1">
      <c r="A518" s="44"/>
      <c r="B518" s="61"/>
    </row>
    <row r="519" ht="15.75" customHeight="1">
      <c r="A519" s="44"/>
      <c r="B519" s="61"/>
    </row>
    <row r="520" ht="15.75" customHeight="1">
      <c r="A520" s="44"/>
      <c r="B520" s="61"/>
    </row>
    <row r="521" ht="15.75" customHeight="1">
      <c r="A521" s="44"/>
      <c r="B521" s="61"/>
    </row>
    <row r="522" ht="15.75" customHeight="1">
      <c r="A522" s="44"/>
      <c r="B522" s="61"/>
    </row>
    <row r="523" ht="15.75" customHeight="1">
      <c r="A523" s="44"/>
      <c r="B523" s="61"/>
    </row>
    <row r="524" ht="15.75" customHeight="1">
      <c r="A524" s="44"/>
      <c r="B524" s="61"/>
    </row>
    <row r="525" ht="15.75" customHeight="1">
      <c r="A525" s="44"/>
      <c r="B525" s="61"/>
    </row>
    <row r="526" ht="15.75" customHeight="1">
      <c r="A526" s="44"/>
      <c r="B526" s="61"/>
    </row>
    <row r="527" ht="15.75" customHeight="1">
      <c r="A527" s="44"/>
      <c r="B527" s="61"/>
    </row>
    <row r="528" ht="15.75" customHeight="1">
      <c r="A528" s="44"/>
      <c r="B528" s="61"/>
    </row>
    <row r="529" ht="15.75" customHeight="1">
      <c r="A529" s="44"/>
      <c r="B529" s="61"/>
    </row>
    <row r="530" ht="15.75" customHeight="1">
      <c r="A530" s="44"/>
      <c r="B530" s="61"/>
    </row>
    <row r="531" ht="15.75" customHeight="1">
      <c r="A531" s="44"/>
      <c r="B531" s="61"/>
    </row>
    <row r="532" ht="15.75" customHeight="1">
      <c r="A532" s="44"/>
      <c r="B532" s="61"/>
    </row>
    <row r="533" ht="15.75" customHeight="1">
      <c r="A533" s="44"/>
      <c r="B533" s="61"/>
    </row>
    <row r="534" ht="15.75" customHeight="1">
      <c r="A534" s="44"/>
      <c r="B534" s="61"/>
    </row>
    <row r="535" ht="15.75" customHeight="1">
      <c r="A535" s="44"/>
      <c r="B535" s="61"/>
    </row>
    <row r="536" ht="15.75" customHeight="1">
      <c r="A536" s="44"/>
      <c r="B536" s="61"/>
    </row>
    <row r="537" ht="15.75" customHeight="1">
      <c r="A537" s="44"/>
      <c r="B537" s="61"/>
    </row>
    <row r="538" ht="15.75" customHeight="1">
      <c r="A538" s="44"/>
      <c r="B538" s="61"/>
    </row>
    <row r="539" ht="15.75" customHeight="1">
      <c r="A539" s="44"/>
      <c r="B539" s="61"/>
    </row>
    <row r="540" ht="15.75" customHeight="1">
      <c r="A540" s="44"/>
      <c r="B540" s="61"/>
    </row>
    <row r="541" ht="15.75" customHeight="1">
      <c r="A541" s="44"/>
      <c r="B541" s="61"/>
    </row>
    <row r="542" ht="15.75" customHeight="1">
      <c r="A542" s="44"/>
      <c r="B542" s="61"/>
    </row>
    <row r="543" ht="15.75" customHeight="1">
      <c r="A543" s="44"/>
      <c r="B543" s="61"/>
    </row>
    <row r="544" ht="15.75" customHeight="1">
      <c r="A544" s="44"/>
      <c r="B544" s="61"/>
    </row>
    <row r="545" ht="15.75" customHeight="1">
      <c r="A545" s="44"/>
      <c r="B545" s="61"/>
    </row>
    <row r="546" ht="15.75" customHeight="1">
      <c r="A546" s="44"/>
      <c r="B546" s="61"/>
    </row>
    <row r="547" ht="15.75" customHeight="1">
      <c r="A547" s="44"/>
      <c r="B547" s="61"/>
    </row>
    <row r="548" ht="15.75" customHeight="1">
      <c r="A548" s="44"/>
      <c r="B548" s="61"/>
    </row>
    <row r="549" ht="15.75" customHeight="1">
      <c r="A549" s="44"/>
      <c r="B549" s="61"/>
    </row>
    <row r="550" ht="15.75" customHeight="1">
      <c r="A550" s="44"/>
      <c r="B550" s="61"/>
    </row>
    <row r="551" ht="15.75" customHeight="1">
      <c r="A551" s="44"/>
      <c r="B551" s="61"/>
    </row>
    <row r="552" ht="15.75" customHeight="1">
      <c r="A552" s="44"/>
      <c r="B552" s="61"/>
    </row>
    <row r="553" ht="15.75" customHeight="1">
      <c r="A553" s="44"/>
      <c r="B553" s="61"/>
    </row>
    <row r="554" ht="15.75" customHeight="1">
      <c r="A554" s="44"/>
      <c r="B554" s="61"/>
    </row>
    <row r="555" ht="15.75" customHeight="1">
      <c r="A555" s="44"/>
      <c r="B555" s="61"/>
    </row>
    <row r="556" ht="15.75" customHeight="1">
      <c r="A556" s="44"/>
      <c r="B556" s="61"/>
    </row>
    <row r="557" ht="15.75" customHeight="1">
      <c r="A557" s="44"/>
      <c r="B557" s="61"/>
    </row>
    <row r="558" ht="15.75" customHeight="1">
      <c r="A558" s="44"/>
      <c r="B558" s="61"/>
    </row>
    <row r="559" ht="15.75" customHeight="1">
      <c r="A559" s="44"/>
      <c r="B559" s="61"/>
    </row>
    <row r="560" ht="15.75" customHeight="1">
      <c r="A560" s="44"/>
      <c r="B560" s="61"/>
    </row>
    <row r="561" ht="15.75" customHeight="1">
      <c r="A561" s="44"/>
      <c r="B561" s="61"/>
    </row>
    <row r="562" ht="15.75" customHeight="1">
      <c r="A562" s="44"/>
      <c r="B562" s="61"/>
    </row>
    <row r="563" ht="15.75" customHeight="1">
      <c r="A563" s="44"/>
      <c r="B563" s="61"/>
    </row>
    <row r="564" ht="15.75" customHeight="1">
      <c r="A564" s="44"/>
      <c r="B564" s="61"/>
    </row>
    <row r="565" ht="15.75" customHeight="1">
      <c r="A565" s="44"/>
      <c r="B565" s="61"/>
    </row>
    <row r="566" ht="15.75" customHeight="1">
      <c r="A566" s="44"/>
      <c r="B566" s="61"/>
    </row>
    <row r="567" ht="15.75" customHeight="1">
      <c r="A567" s="44"/>
      <c r="B567" s="61"/>
    </row>
    <row r="568" ht="15.75" customHeight="1">
      <c r="A568" s="44"/>
      <c r="B568" s="61"/>
    </row>
    <row r="569" ht="15.75" customHeight="1">
      <c r="A569" s="44"/>
      <c r="B569" s="61"/>
    </row>
    <row r="570" ht="15.75" customHeight="1">
      <c r="A570" s="44"/>
      <c r="B570" s="61"/>
    </row>
    <row r="571" ht="15.75" customHeight="1">
      <c r="A571" s="44"/>
      <c r="B571" s="61"/>
    </row>
    <row r="572" ht="15.75" customHeight="1">
      <c r="A572" s="44"/>
      <c r="B572" s="61"/>
    </row>
    <row r="573" ht="15.75" customHeight="1">
      <c r="A573" s="44"/>
      <c r="B573" s="61"/>
    </row>
    <row r="574" ht="15.75" customHeight="1">
      <c r="A574" s="44"/>
      <c r="B574" s="61"/>
    </row>
    <row r="575" ht="15.75" customHeight="1">
      <c r="A575" s="44"/>
      <c r="B575" s="61"/>
    </row>
    <row r="576" ht="15.75" customHeight="1">
      <c r="A576" s="44"/>
      <c r="B576" s="61"/>
    </row>
    <row r="577" ht="15.75" customHeight="1">
      <c r="A577" s="44"/>
      <c r="B577" s="61"/>
    </row>
    <row r="578" ht="15.75" customHeight="1">
      <c r="A578" s="44"/>
      <c r="B578" s="61"/>
    </row>
    <row r="579" ht="15.75" customHeight="1">
      <c r="A579" s="44"/>
      <c r="B579" s="61"/>
    </row>
    <row r="580" ht="15.75" customHeight="1">
      <c r="A580" s="44"/>
      <c r="B580" s="61"/>
    </row>
    <row r="581" ht="15.75" customHeight="1">
      <c r="A581" s="44"/>
      <c r="B581" s="61"/>
    </row>
    <row r="582" ht="15.75" customHeight="1">
      <c r="A582" s="44"/>
      <c r="B582" s="61"/>
    </row>
    <row r="583" ht="15.75" customHeight="1">
      <c r="A583" s="44"/>
      <c r="B583" s="61"/>
    </row>
    <row r="584" ht="15.75" customHeight="1">
      <c r="A584" s="44"/>
      <c r="B584" s="61"/>
    </row>
    <row r="585" ht="15.75" customHeight="1">
      <c r="A585" s="44"/>
      <c r="B585" s="61"/>
    </row>
    <row r="586" ht="15.75" customHeight="1">
      <c r="A586" s="44"/>
      <c r="B586" s="61"/>
    </row>
    <row r="587" ht="15.75" customHeight="1">
      <c r="A587" s="44"/>
      <c r="B587" s="61"/>
    </row>
    <row r="588" ht="15.75" customHeight="1">
      <c r="A588" s="44"/>
      <c r="B588" s="61"/>
    </row>
    <row r="589" ht="15.75" customHeight="1">
      <c r="A589" s="44"/>
      <c r="B589" s="61"/>
    </row>
    <row r="590" ht="15.75" customHeight="1">
      <c r="A590" s="44"/>
      <c r="B590" s="61"/>
    </row>
    <row r="591" ht="15.75" customHeight="1">
      <c r="A591" s="44"/>
      <c r="B591" s="61"/>
    </row>
    <row r="592" ht="15.75" customHeight="1">
      <c r="A592" s="44"/>
      <c r="B592" s="61"/>
    </row>
    <row r="593" ht="15.75" customHeight="1">
      <c r="A593" s="44"/>
      <c r="B593" s="61"/>
    </row>
    <row r="594" ht="15.75" customHeight="1">
      <c r="A594" s="44"/>
      <c r="B594" s="61"/>
    </row>
    <row r="595" ht="15.75" customHeight="1">
      <c r="A595" s="44"/>
      <c r="B595" s="61"/>
    </row>
    <row r="596" ht="15.75" customHeight="1">
      <c r="A596" s="44"/>
      <c r="B596" s="61"/>
    </row>
    <row r="597" ht="15.75" customHeight="1">
      <c r="A597" s="44"/>
      <c r="B597" s="61"/>
    </row>
    <row r="598" ht="15.75" customHeight="1">
      <c r="A598" s="44"/>
      <c r="B598" s="61"/>
    </row>
    <row r="599" ht="15.75" customHeight="1">
      <c r="A599" s="44"/>
      <c r="B599" s="61"/>
    </row>
    <row r="600" ht="15.75" customHeight="1">
      <c r="A600" s="44"/>
      <c r="B600" s="61"/>
    </row>
    <row r="601" ht="15.75" customHeight="1">
      <c r="A601" s="44"/>
      <c r="B601" s="61"/>
    </row>
    <row r="602" ht="15.75" customHeight="1">
      <c r="A602" s="44"/>
      <c r="B602" s="61"/>
    </row>
    <row r="603" ht="15.75" customHeight="1">
      <c r="A603" s="44"/>
      <c r="B603" s="61"/>
    </row>
    <row r="604" ht="15.75" customHeight="1">
      <c r="A604" s="44"/>
      <c r="B604" s="61"/>
    </row>
    <row r="605" ht="15.75" customHeight="1">
      <c r="A605" s="44"/>
      <c r="B605" s="61"/>
    </row>
    <row r="606" ht="15.75" customHeight="1">
      <c r="A606" s="44"/>
      <c r="B606" s="61"/>
    </row>
    <row r="607" ht="15.75" customHeight="1">
      <c r="A607" s="44"/>
      <c r="B607" s="61"/>
    </row>
    <row r="608" ht="15.75" customHeight="1">
      <c r="A608" s="44"/>
      <c r="B608" s="61"/>
    </row>
    <row r="609" ht="15.75" customHeight="1">
      <c r="A609" s="44"/>
      <c r="B609" s="61"/>
    </row>
    <row r="610" ht="15.75" customHeight="1">
      <c r="A610" s="44"/>
      <c r="B610" s="61"/>
    </row>
    <row r="611" ht="15.75" customHeight="1">
      <c r="A611" s="44"/>
      <c r="B611" s="61"/>
    </row>
    <row r="612" ht="15.75" customHeight="1">
      <c r="A612" s="44"/>
      <c r="B612" s="61"/>
    </row>
    <row r="613" ht="15.75" customHeight="1">
      <c r="A613" s="44"/>
      <c r="B613" s="61"/>
    </row>
    <row r="614" ht="15.75" customHeight="1">
      <c r="A614" s="44"/>
      <c r="B614" s="61"/>
    </row>
    <row r="615" ht="15.75" customHeight="1">
      <c r="A615" s="44"/>
      <c r="B615" s="61"/>
    </row>
    <row r="616" ht="15.75" customHeight="1">
      <c r="A616" s="44"/>
      <c r="B616" s="61"/>
    </row>
    <row r="617" ht="15.75" customHeight="1">
      <c r="A617" s="44"/>
      <c r="B617" s="61"/>
    </row>
    <row r="618" ht="15.75" customHeight="1">
      <c r="A618" s="44"/>
      <c r="B618" s="61"/>
    </row>
    <row r="619" ht="15.75" customHeight="1">
      <c r="A619" s="44"/>
      <c r="B619" s="61"/>
    </row>
    <row r="620" ht="15.75" customHeight="1">
      <c r="A620" s="44"/>
      <c r="B620" s="61"/>
    </row>
    <row r="621" ht="15.75" customHeight="1">
      <c r="A621" s="44"/>
      <c r="B621" s="61"/>
    </row>
    <row r="622" ht="15.75" customHeight="1">
      <c r="A622" s="44"/>
      <c r="B622" s="61"/>
    </row>
    <row r="623" ht="15.75" customHeight="1">
      <c r="A623" s="44"/>
      <c r="B623" s="61"/>
    </row>
    <row r="624" ht="15.75" customHeight="1">
      <c r="A624" s="44"/>
      <c r="B624" s="61"/>
    </row>
    <row r="625" ht="15.75" customHeight="1">
      <c r="A625" s="44"/>
      <c r="B625" s="61"/>
    </row>
    <row r="626" ht="15.75" customHeight="1">
      <c r="A626" s="44"/>
      <c r="B626" s="61"/>
    </row>
    <row r="627" ht="15.75" customHeight="1">
      <c r="A627" s="44"/>
      <c r="B627" s="61"/>
    </row>
    <row r="628" ht="15.75" customHeight="1">
      <c r="A628" s="44"/>
      <c r="B628" s="61"/>
    </row>
    <row r="629" ht="15.75" customHeight="1">
      <c r="A629" s="44"/>
      <c r="B629" s="61"/>
    </row>
    <row r="630" ht="15.75" customHeight="1">
      <c r="A630" s="44"/>
      <c r="B630" s="61"/>
    </row>
    <row r="631" ht="15.75" customHeight="1">
      <c r="A631" s="44"/>
      <c r="B631" s="61"/>
    </row>
    <row r="632" ht="15.75" customHeight="1">
      <c r="A632" s="44"/>
      <c r="B632" s="61"/>
    </row>
    <row r="633" ht="15.75" customHeight="1">
      <c r="A633" s="44"/>
      <c r="B633" s="61"/>
    </row>
    <row r="634" ht="15.75" customHeight="1">
      <c r="A634" s="44"/>
      <c r="B634" s="61"/>
    </row>
    <row r="635" ht="15.75" customHeight="1">
      <c r="A635" s="44"/>
      <c r="B635" s="61"/>
    </row>
    <row r="636" ht="15.75" customHeight="1">
      <c r="A636" s="44"/>
      <c r="B636" s="61"/>
    </row>
    <row r="637" ht="15.75" customHeight="1">
      <c r="A637" s="44"/>
      <c r="B637" s="61"/>
    </row>
    <row r="638" ht="15.75" customHeight="1">
      <c r="A638" s="44"/>
      <c r="B638" s="61"/>
    </row>
    <row r="639" ht="15.75" customHeight="1">
      <c r="A639" s="44"/>
      <c r="B639" s="61"/>
    </row>
    <row r="640" ht="15.75" customHeight="1">
      <c r="A640" s="44"/>
      <c r="B640" s="61"/>
    </row>
    <row r="641" ht="15.75" customHeight="1">
      <c r="A641" s="44"/>
      <c r="B641" s="61"/>
    </row>
    <row r="642" ht="15.75" customHeight="1">
      <c r="A642" s="44"/>
      <c r="B642" s="61"/>
    </row>
    <row r="643" ht="15.75" customHeight="1">
      <c r="A643" s="44"/>
      <c r="B643" s="61"/>
    </row>
    <row r="644" ht="15.75" customHeight="1">
      <c r="A644" s="44"/>
      <c r="B644" s="61"/>
    </row>
    <row r="645" ht="15.75" customHeight="1">
      <c r="A645" s="44"/>
      <c r="B645" s="61"/>
    </row>
    <row r="646" ht="15.75" customHeight="1">
      <c r="A646" s="44"/>
      <c r="B646" s="61"/>
    </row>
    <row r="647" ht="15.75" customHeight="1">
      <c r="A647" s="44"/>
      <c r="B647" s="61"/>
    </row>
    <row r="648" ht="15.75" customHeight="1">
      <c r="A648" s="44"/>
      <c r="B648" s="61"/>
    </row>
    <row r="649" ht="15.75" customHeight="1">
      <c r="A649" s="44"/>
      <c r="B649" s="61"/>
    </row>
    <row r="650" ht="15.75" customHeight="1">
      <c r="A650" s="44"/>
      <c r="B650" s="61"/>
    </row>
    <row r="651" ht="15.75" customHeight="1">
      <c r="A651" s="44"/>
      <c r="B651" s="61"/>
    </row>
    <row r="652" ht="15.75" customHeight="1">
      <c r="A652" s="44"/>
      <c r="B652" s="61"/>
    </row>
    <row r="653" ht="15.75" customHeight="1">
      <c r="A653" s="44"/>
      <c r="B653" s="61"/>
    </row>
    <row r="654" ht="15.75" customHeight="1">
      <c r="A654" s="44"/>
      <c r="B654" s="61"/>
    </row>
    <row r="655" ht="15.75" customHeight="1">
      <c r="A655" s="44"/>
      <c r="B655" s="61"/>
    </row>
    <row r="656" ht="15.75" customHeight="1">
      <c r="A656" s="44"/>
      <c r="B656" s="61"/>
    </row>
    <row r="657" ht="15.75" customHeight="1">
      <c r="A657" s="44"/>
      <c r="B657" s="61"/>
    </row>
    <row r="658" ht="15.75" customHeight="1">
      <c r="A658" s="44"/>
      <c r="B658" s="61"/>
    </row>
    <row r="659" ht="15.75" customHeight="1">
      <c r="A659" s="44"/>
      <c r="B659" s="61"/>
    </row>
    <row r="660" ht="15.75" customHeight="1">
      <c r="A660" s="44"/>
      <c r="B660" s="61"/>
    </row>
    <row r="661" ht="15.75" customHeight="1">
      <c r="A661" s="44"/>
      <c r="B661" s="61"/>
    </row>
    <row r="662" ht="15.75" customHeight="1">
      <c r="A662" s="44"/>
      <c r="B662" s="61"/>
    </row>
    <row r="663" ht="15.75" customHeight="1">
      <c r="A663" s="44"/>
      <c r="B663" s="61"/>
    </row>
    <row r="664" ht="15.75" customHeight="1">
      <c r="A664" s="44"/>
      <c r="B664" s="61"/>
    </row>
    <row r="665" ht="15.75" customHeight="1">
      <c r="A665" s="44"/>
      <c r="B665" s="61"/>
    </row>
    <row r="666" ht="15.75" customHeight="1">
      <c r="A666" s="44"/>
      <c r="B666" s="61"/>
    </row>
    <row r="667" ht="15.75" customHeight="1">
      <c r="A667" s="44"/>
      <c r="B667" s="61"/>
    </row>
    <row r="668" ht="15.75" customHeight="1">
      <c r="A668" s="44"/>
      <c r="B668" s="61"/>
    </row>
    <row r="669" ht="15.75" customHeight="1">
      <c r="A669" s="44"/>
      <c r="B669" s="61"/>
    </row>
    <row r="670" ht="15.75" customHeight="1">
      <c r="A670" s="44"/>
      <c r="B670" s="61"/>
    </row>
    <row r="671" ht="15.75" customHeight="1">
      <c r="A671" s="44"/>
      <c r="B671" s="61"/>
    </row>
    <row r="672" ht="15.75" customHeight="1">
      <c r="A672" s="44"/>
      <c r="B672" s="61"/>
    </row>
    <row r="673" ht="15.75" customHeight="1">
      <c r="A673" s="44"/>
      <c r="B673" s="61"/>
    </row>
    <row r="674" ht="15.75" customHeight="1">
      <c r="A674" s="44"/>
      <c r="B674" s="61"/>
    </row>
    <row r="675" ht="15.75" customHeight="1">
      <c r="A675" s="44"/>
      <c r="B675" s="61"/>
    </row>
    <row r="676" ht="15.75" customHeight="1">
      <c r="A676" s="44"/>
      <c r="B676" s="61"/>
    </row>
    <row r="677" ht="15.75" customHeight="1">
      <c r="A677" s="44"/>
      <c r="B677" s="61"/>
    </row>
    <row r="678" ht="15.75" customHeight="1">
      <c r="A678" s="44"/>
      <c r="B678" s="61"/>
    </row>
    <row r="679" ht="15.75" customHeight="1">
      <c r="A679" s="44"/>
      <c r="B679" s="61"/>
    </row>
    <row r="680" ht="15.75" customHeight="1">
      <c r="A680" s="44"/>
      <c r="B680" s="61"/>
    </row>
    <row r="681" ht="15.75" customHeight="1">
      <c r="A681" s="44"/>
      <c r="B681" s="61"/>
    </row>
    <row r="682" ht="15.75" customHeight="1">
      <c r="A682" s="44"/>
      <c r="B682" s="61"/>
    </row>
    <row r="683" ht="15.75" customHeight="1">
      <c r="A683" s="44"/>
      <c r="B683" s="61"/>
    </row>
    <row r="684" ht="15.75" customHeight="1">
      <c r="A684" s="44"/>
      <c r="B684" s="61"/>
    </row>
    <row r="685" ht="15.75" customHeight="1">
      <c r="A685" s="44"/>
      <c r="B685" s="61"/>
    </row>
    <row r="686" ht="15.75" customHeight="1">
      <c r="A686" s="44"/>
      <c r="B686" s="61"/>
    </row>
    <row r="687" ht="15.75" customHeight="1">
      <c r="A687" s="44"/>
      <c r="B687" s="61"/>
    </row>
    <row r="688" ht="15.75" customHeight="1">
      <c r="A688" s="44"/>
      <c r="B688" s="61"/>
    </row>
    <row r="689" ht="15.75" customHeight="1">
      <c r="A689" s="44"/>
      <c r="B689" s="61"/>
    </row>
    <row r="690" ht="15.75" customHeight="1">
      <c r="A690" s="44"/>
      <c r="B690" s="61"/>
    </row>
    <row r="691" ht="15.75" customHeight="1">
      <c r="A691" s="44"/>
      <c r="B691" s="61"/>
    </row>
    <row r="692" ht="15.75" customHeight="1">
      <c r="A692" s="44"/>
      <c r="B692" s="61"/>
    </row>
    <row r="693" ht="15.75" customHeight="1">
      <c r="A693" s="44"/>
      <c r="B693" s="61"/>
    </row>
    <row r="694" ht="15.75" customHeight="1">
      <c r="A694" s="44"/>
      <c r="B694" s="61"/>
    </row>
    <row r="695" ht="15.75" customHeight="1">
      <c r="A695" s="44"/>
      <c r="B695" s="61"/>
    </row>
    <row r="696" ht="15.75" customHeight="1">
      <c r="A696" s="44"/>
      <c r="B696" s="61"/>
    </row>
    <row r="697" ht="15.75" customHeight="1">
      <c r="A697" s="44"/>
      <c r="B697" s="61"/>
    </row>
    <row r="698" ht="15.75" customHeight="1">
      <c r="A698" s="44"/>
      <c r="B698" s="61"/>
    </row>
    <row r="699" ht="15.75" customHeight="1">
      <c r="A699" s="44"/>
      <c r="B699" s="61"/>
    </row>
    <row r="700" ht="15.75" customHeight="1">
      <c r="A700" s="44"/>
      <c r="B700" s="61"/>
    </row>
    <row r="701" ht="15.75" customHeight="1">
      <c r="A701" s="44"/>
      <c r="B701" s="61"/>
    </row>
    <row r="702" ht="15.75" customHeight="1">
      <c r="A702" s="44"/>
      <c r="B702" s="61"/>
    </row>
    <row r="703" ht="15.75" customHeight="1">
      <c r="A703" s="44"/>
      <c r="B703" s="61"/>
    </row>
    <row r="704" ht="15.75" customHeight="1">
      <c r="A704" s="44"/>
      <c r="B704" s="61"/>
    </row>
    <row r="705" ht="15.75" customHeight="1">
      <c r="A705" s="44"/>
      <c r="B705" s="61"/>
    </row>
    <row r="706" ht="15.75" customHeight="1">
      <c r="A706" s="44"/>
      <c r="B706" s="61"/>
    </row>
    <row r="707" ht="15.75" customHeight="1">
      <c r="A707" s="44"/>
      <c r="B707" s="61"/>
    </row>
    <row r="708" ht="15.75" customHeight="1">
      <c r="A708" s="44"/>
      <c r="B708" s="61"/>
    </row>
    <row r="709" ht="15.75" customHeight="1">
      <c r="A709" s="44"/>
      <c r="B709" s="61"/>
    </row>
    <row r="710" ht="15.75" customHeight="1">
      <c r="A710" s="44"/>
      <c r="B710" s="61"/>
    </row>
    <row r="711" ht="15.75" customHeight="1">
      <c r="A711" s="44"/>
      <c r="B711" s="61"/>
    </row>
    <row r="712" ht="15.75" customHeight="1">
      <c r="A712" s="44"/>
      <c r="B712" s="61"/>
    </row>
    <row r="713" ht="15.75" customHeight="1">
      <c r="A713" s="44"/>
      <c r="B713" s="61"/>
    </row>
    <row r="714" ht="15.75" customHeight="1">
      <c r="A714" s="44"/>
      <c r="B714" s="61"/>
    </row>
    <row r="715" ht="15.75" customHeight="1">
      <c r="A715" s="44"/>
      <c r="B715" s="61"/>
    </row>
    <row r="716" ht="15.75" customHeight="1">
      <c r="A716" s="44"/>
      <c r="B716" s="61"/>
    </row>
    <row r="717" ht="15.75" customHeight="1">
      <c r="A717" s="44"/>
      <c r="B717" s="61"/>
    </row>
    <row r="718" ht="15.75" customHeight="1">
      <c r="A718" s="44"/>
      <c r="B718" s="61"/>
    </row>
    <row r="719" ht="15.75" customHeight="1">
      <c r="A719" s="44"/>
      <c r="B719" s="61"/>
    </row>
    <row r="720" ht="15.75" customHeight="1">
      <c r="A720" s="44"/>
      <c r="B720" s="61"/>
    </row>
    <row r="721" ht="15.75" customHeight="1">
      <c r="A721" s="44"/>
      <c r="B721" s="61"/>
    </row>
    <row r="722" ht="15.75" customHeight="1">
      <c r="A722" s="44"/>
      <c r="B722" s="61"/>
    </row>
    <row r="723" ht="15.75" customHeight="1">
      <c r="A723" s="44"/>
      <c r="B723" s="61"/>
    </row>
    <row r="724" ht="15.75" customHeight="1">
      <c r="A724" s="44"/>
      <c r="B724" s="61"/>
    </row>
    <row r="725" ht="15.75" customHeight="1">
      <c r="A725" s="44"/>
      <c r="B725" s="61"/>
    </row>
    <row r="726" ht="15.75" customHeight="1">
      <c r="A726" s="44"/>
      <c r="B726" s="61"/>
    </row>
    <row r="727" ht="15.75" customHeight="1">
      <c r="A727" s="44"/>
      <c r="B727" s="61"/>
    </row>
    <row r="728" ht="15.75" customHeight="1">
      <c r="A728" s="44"/>
      <c r="B728" s="61"/>
    </row>
    <row r="729" ht="15.75" customHeight="1">
      <c r="A729" s="44"/>
      <c r="B729" s="61"/>
    </row>
    <row r="730" ht="15.75" customHeight="1">
      <c r="A730" s="44"/>
      <c r="B730" s="61"/>
    </row>
    <row r="731" ht="15.75" customHeight="1">
      <c r="A731" s="44"/>
      <c r="B731" s="61"/>
    </row>
    <row r="732" ht="15.75" customHeight="1">
      <c r="A732" s="44"/>
      <c r="B732" s="61"/>
    </row>
    <row r="733" ht="15.75" customHeight="1">
      <c r="A733" s="44"/>
      <c r="B733" s="61"/>
    </row>
    <row r="734" ht="15.75" customHeight="1">
      <c r="A734" s="44"/>
      <c r="B734" s="61"/>
    </row>
    <row r="735" ht="15.75" customHeight="1">
      <c r="A735" s="44"/>
      <c r="B735" s="61"/>
    </row>
    <row r="736" ht="15.75" customHeight="1">
      <c r="A736" s="44"/>
      <c r="B736" s="61"/>
    </row>
    <row r="737" ht="15.75" customHeight="1">
      <c r="A737" s="44"/>
      <c r="B737" s="61"/>
    </row>
    <row r="738" ht="15.75" customHeight="1">
      <c r="A738" s="44"/>
      <c r="B738" s="61"/>
    </row>
    <row r="739" ht="15.75" customHeight="1">
      <c r="A739" s="44"/>
      <c r="B739" s="61"/>
    </row>
    <row r="740" ht="15.75" customHeight="1">
      <c r="A740" s="44"/>
      <c r="B740" s="61"/>
    </row>
    <row r="741" ht="15.75" customHeight="1">
      <c r="A741" s="44"/>
      <c r="B741" s="61"/>
    </row>
    <row r="742" ht="15.75" customHeight="1">
      <c r="A742" s="44"/>
      <c r="B742" s="61"/>
    </row>
    <row r="743" ht="15.75" customHeight="1">
      <c r="A743" s="44"/>
      <c r="B743" s="61"/>
    </row>
    <row r="744" ht="15.75" customHeight="1">
      <c r="A744" s="44"/>
      <c r="B744" s="61"/>
    </row>
    <row r="745" ht="15.75" customHeight="1">
      <c r="A745" s="44"/>
      <c r="B745" s="61"/>
    </row>
    <row r="746" ht="15.75" customHeight="1">
      <c r="A746" s="44"/>
      <c r="B746" s="61"/>
    </row>
    <row r="747" ht="15.75" customHeight="1">
      <c r="A747" s="44"/>
      <c r="B747" s="61"/>
    </row>
    <row r="748" ht="15.75" customHeight="1">
      <c r="A748" s="44"/>
      <c r="B748" s="61"/>
    </row>
    <row r="749" ht="15.75" customHeight="1">
      <c r="A749" s="44"/>
      <c r="B749" s="61"/>
    </row>
    <row r="750" ht="15.75" customHeight="1">
      <c r="A750" s="44"/>
      <c r="B750" s="61"/>
    </row>
    <row r="751" ht="15.75" customHeight="1">
      <c r="A751" s="44"/>
      <c r="B751" s="61"/>
    </row>
    <row r="752" ht="15.75" customHeight="1">
      <c r="A752" s="44"/>
      <c r="B752" s="61"/>
    </row>
    <row r="753" ht="15.75" customHeight="1">
      <c r="A753" s="44"/>
      <c r="B753" s="61"/>
    </row>
    <row r="754" ht="15.75" customHeight="1">
      <c r="A754" s="44"/>
      <c r="B754" s="61"/>
    </row>
    <row r="755" ht="15.75" customHeight="1">
      <c r="A755" s="44"/>
      <c r="B755" s="61"/>
    </row>
    <row r="756" ht="15.75" customHeight="1">
      <c r="A756" s="44"/>
      <c r="B756" s="61"/>
    </row>
    <row r="757" ht="15.75" customHeight="1">
      <c r="A757" s="44"/>
      <c r="B757" s="61"/>
    </row>
    <row r="758" ht="15.75" customHeight="1">
      <c r="A758" s="44"/>
      <c r="B758" s="61"/>
    </row>
    <row r="759" ht="15.75" customHeight="1">
      <c r="A759" s="44"/>
      <c r="B759" s="61"/>
    </row>
    <row r="760" ht="15.75" customHeight="1">
      <c r="A760" s="44"/>
      <c r="B760" s="61"/>
    </row>
    <row r="761" ht="15.75" customHeight="1">
      <c r="A761" s="44"/>
      <c r="B761" s="61"/>
    </row>
    <row r="762" ht="15.75" customHeight="1">
      <c r="A762" s="44"/>
      <c r="B762" s="61"/>
    </row>
    <row r="763" ht="15.75" customHeight="1">
      <c r="A763" s="44"/>
      <c r="B763" s="61"/>
    </row>
    <row r="764" ht="15.75" customHeight="1">
      <c r="A764" s="44"/>
      <c r="B764" s="61"/>
    </row>
    <row r="765" ht="15.75" customHeight="1">
      <c r="A765" s="44"/>
      <c r="B765" s="61"/>
    </row>
    <row r="766" ht="15.75" customHeight="1">
      <c r="A766" s="44"/>
      <c r="B766" s="61"/>
    </row>
    <row r="767" ht="15.75" customHeight="1">
      <c r="A767" s="44"/>
      <c r="B767" s="61"/>
    </row>
    <row r="768" ht="15.75" customHeight="1">
      <c r="A768" s="44"/>
      <c r="B768" s="61"/>
    </row>
    <row r="769" ht="15.75" customHeight="1">
      <c r="A769" s="44"/>
      <c r="B769" s="61"/>
    </row>
    <row r="770" ht="15.75" customHeight="1">
      <c r="A770" s="44"/>
      <c r="B770" s="61"/>
    </row>
    <row r="771" ht="15.75" customHeight="1">
      <c r="A771" s="44"/>
      <c r="B771" s="61"/>
    </row>
    <row r="772" ht="15.75" customHeight="1">
      <c r="A772" s="44"/>
      <c r="B772" s="61"/>
    </row>
    <row r="773" ht="15.75" customHeight="1">
      <c r="A773" s="44"/>
      <c r="B773" s="61"/>
    </row>
    <row r="774" ht="15.75" customHeight="1">
      <c r="A774" s="44"/>
      <c r="B774" s="61"/>
    </row>
    <row r="775" ht="15.75" customHeight="1">
      <c r="A775" s="44"/>
      <c r="B775" s="61"/>
    </row>
    <row r="776" ht="15.75" customHeight="1">
      <c r="A776" s="44"/>
      <c r="B776" s="61"/>
    </row>
    <row r="777" ht="15.75" customHeight="1">
      <c r="A777" s="44"/>
      <c r="B777" s="61"/>
    </row>
    <row r="778" ht="15.75" customHeight="1">
      <c r="A778" s="44"/>
      <c r="B778" s="61"/>
    </row>
    <row r="779" ht="15.75" customHeight="1">
      <c r="A779" s="44"/>
      <c r="B779" s="61"/>
    </row>
    <row r="780" ht="15.75" customHeight="1">
      <c r="A780" s="44"/>
      <c r="B780" s="61"/>
    </row>
    <row r="781" ht="15.75" customHeight="1">
      <c r="A781" s="44"/>
      <c r="B781" s="61"/>
    </row>
    <row r="782" ht="15.75" customHeight="1">
      <c r="A782" s="44"/>
      <c r="B782" s="61"/>
    </row>
    <row r="783" ht="15.75" customHeight="1">
      <c r="A783" s="44"/>
      <c r="B783" s="61"/>
    </row>
    <row r="784" ht="15.75" customHeight="1">
      <c r="A784" s="44"/>
      <c r="B784" s="61"/>
    </row>
    <row r="785" ht="15.75" customHeight="1">
      <c r="A785" s="44"/>
      <c r="B785" s="61"/>
    </row>
    <row r="786" ht="15.75" customHeight="1">
      <c r="A786" s="44"/>
      <c r="B786" s="61"/>
    </row>
    <row r="787" ht="15.75" customHeight="1">
      <c r="A787" s="44"/>
      <c r="B787" s="61"/>
    </row>
    <row r="788" ht="15.75" customHeight="1">
      <c r="A788" s="44"/>
      <c r="B788" s="61"/>
    </row>
    <row r="789" ht="15.75" customHeight="1">
      <c r="A789" s="44"/>
      <c r="B789" s="61"/>
    </row>
    <row r="790" ht="15.75" customHeight="1">
      <c r="A790" s="44"/>
      <c r="B790" s="61"/>
    </row>
    <row r="791" ht="15.75" customHeight="1">
      <c r="A791" s="44"/>
      <c r="B791" s="61"/>
    </row>
    <row r="792" ht="15.75" customHeight="1">
      <c r="A792" s="44"/>
      <c r="B792" s="61"/>
    </row>
    <row r="793" ht="15.75" customHeight="1">
      <c r="A793" s="44"/>
      <c r="B793" s="61"/>
    </row>
    <row r="794" ht="15.75" customHeight="1">
      <c r="A794" s="44"/>
      <c r="B794" s="61"/>
    </row>
    <row r="795" ht="15.75" customHeight="1">
      <c r="A795" s="44"/>
      <c r="B795" s="61"/>
    </row>
    <row r="796" ht="15.75" customHeight="1">
      <c r="A796" s="44"/>
      <c r="B796" s="61"/>
    </row>
    <row r="797" ht="15.75" customHeight="1">
      <c r="A797" s="44"/>
      <c r="B797" s="61"/>
    </row>
    <row r="798" ht="15.75" customHeight="1">
      <c r="A798" s="44"/>
      <c r="B798" s="61"/>
    </row>
    <row r="799" ht="15.75" customHeight="1">
      <c r="A799" s="44"/>
      <c r="B799" s="61"/>
    </row>
    <row r="800" ht="15.75" customHeight="1">
      <c r="A800" s="44"/>
      <c r="B800" s="61"/>
    </row>
    <row r="801" ht="15.75" customHeight="1">
      <c r="A801" s="44"/>
      <c r="B801" s="61"/>
    </row>
    <row r="802" ht="15.75" customHeight="1">
      <c r="A802" s="44"/>
      <c r="B802" s="61"/>
    </row>
    <row r="803" ht="15.75" customHeight="1">
      <c r="A803" s="44"/>
      <c r="B803" s="61"/>
    </row>
    <row r="804" ht="15.75" customHeight="1">
      <c r="A804" s="44"/>
      <c r="B804" s="61"/>
    </row>
    <row r="805" ht="15.75" customHeight="1">
      <c r="A805" s="44"/>
      <c r="B805" s="61"/>
    </row>
    <row r="806" ht="15.75" customHeight="1">
      <c r="A806" s="44"/>
      <c r="B806" s="61"/>
    </row>
    <row r="807" ht="15.75" customHeight="1">
      <c r="A807" s="44"/>
      <c r="B807" s="61"/>
    </row>
    <row r="808" ht="15.75" customHeight="1">
      <c r="A808" s="44"/>
      <c r="B808" s="61"/>
    </row>
    <row r="809" ht="15.75" customHeight="1">
      <c r="A809" s="44"/>
      <c r="B809" s="61"/>
    </row>
    <row r="810" ht="15.75" customHeight="1">
      <c r="A810" s="44"/>
      <c r="B810" s="61"/>
    </row>
    <row r="811" ht="15.75" customHeight="1">
      <c r="A811" s="44"/>
      <c r="B811" s="61"/>
    </row>
    <row r="812" ht="15.75" customHeight="1">
      <c r="A812" s="44"/>
      <c r="B812" s="61"/>
    </row>
    <row r="813" ht="15.75" customHeight="1">
      <c r="A813" s="44"/>
      <c r="B813" s="61"/>
    </row>
    <row r="814" ht="15.75" customHeight="1">
      <c r="A814" s="44"/>
      <c r="B814" s="61"/>
    </row>
    <row r="815" ht="15.75" customHeight="1">
      <c r="A815" s="44"/>
      <c r="B815" s="61"/>
    </row>
    <row r="816" ht="15.75" customHeight="1">
      <c r="A816" s="44"/>
      <c r="B816" s="61"/>
    </row>
    <row r="817" ht="15.75" customHeight="1">
      <c r="A817" s="44"/>
      <c r="B817" s="61"/>
    </row>
    <row r="818" ht="15.75" customHeight="1">
      <c r="A818" s="44"/>
      <c r="B818" s="61"/>
    </row>
    <row r="819" ht="15.75" customHeight="1">
      <c r="A819" s="44"/>
      <c r="B819" s="61"/>
    </row>
    <row r="820" ht="15.75" customHeight="1">
      <c r="A820" s="44"/>
      <c r="B820" s="61"/>
    </row>
    <row r="821" ht="15.75" customHeight="1">
      <c r="A821" s="44"/>
      <c r="B821" s="61"/>
    </row>
    <row r="822" ht="15.75" customHeight="1">
      <c r="A822" s="44"/>
      <c r="B822" s="61"/>
    </row>
    <row r="823" ht="15.75" customHeight="1">
      <c r="A823" s="44"/>
      <c r="B823" s="61"/>
    </row>
    <row r="824" ht="15.75" customHeight="1">
      <c r="A824" s="44"/>
      <c r="B824" s="61"/>
    </row>
    <row r="825" ht="15.75" customHeight="1">
      <c r="A825" s="44"/>
      <c r="B825" s="61"/>
    </row>
    <row r="826" ht="15.75" customHeight="1">
      <c r="A826" s="44"/>
      <c r="B826" s="61"/>
    </row>
    <row r="827" ht="15.75" customHeight="1">
      <c r="A827" s="44"/>
      <c r="B827" s="61"/>
    </row>
    <row r="828" ht="15.75" customHeight="1">
      <c r="A828" s="44"/>
      <c r="B828" s="61"/>
    </row>
    <row r="829" ht="15.75" customHeight="1">
      <c r="A829" s="44"/>
      <c r="B829" s="61"/>
    </row>
    <row r="830" ht="15.75" customHeight="1">
      <c r="A830" s="44"/>
      <c r="B830" s="61"/>
    </row>
    <row r="831" ht="15.75" customHeight="1">
      <c r="A831" s="44"/>
      <c r="B831" s="61"/>
    </row>
    <row r="832" ht="15.75" customHeight="1">
      <c r="A832" s="44"/>
      <c r="B832" s="61"/>
    </row>
    <row r="833" ht="15.75" customHeight="1">
      <c r="A833" s="44"/>
      <c r="B833" s="61"/>
    </row>
    <row r="834" ht="15.75" customHeight="1">
      <c r="A834" s="44"/>
      <c r="B834" s="61"/>
    </row>
    <row r="835" ht="15.75" customHeight="1">
      <c r="A835" s="44"/>
      <c r="B835" s="61"/>
    </row>
    <row r="836" ht="15.75" customHeight="1">
      <c r="A836" s="44"/>
      <c r="B836" s="61"/>
    </row>
    <row r="837" ht="15.75" customHeight="1">
      <c r="A837" s="44"/>
      <c r="B837" s="61"/>
    </row>
    <row r="838" ht="15.75" customHeight="1">
      <c r="A838" s="44"/>
      <c r="B838" s="61"/>
    </row>
    <row r="839" ht="15.75" customHeight="1">
      <c r="A839" s="44"/>
      <c r="B839" s="61"/>
    </row>
    <row r="840" ht="15.75" customHeight="1">
      <c r="A840" s="44"/>
      <c r="B840" s="61"/>
    </row>
    <row r="841" ht="15.75" customHeight="1">
      <c r="A841" s="44"/>
      <c r="B841" s="61"/>
    </row>
    <row r="842" ht="15.75" customHeight="1">
      <c r="A842" s="44"/>
      <c r="B842" s="61"/>
    </row>
    <row r="843" ht="15.75" customHeight="1">
      <c r="A843" s="44"/>
      <c r="B843" s="61"/>
    </row>
    <row r="844" ht="15.75" customHeight="1">
      <c r="A844" s="44"/>
      <c r="B844" s="61"/>
    </row>
    <row r="845" ht="15.75" customHeight="1">
      <c r="A845" s="44"/>
      <c r="B845" s="61"/>
    </row>
    <row r="846" ht="15.75" customHeight="1">
      <c r="A846" s="44"/>
      <c r="B846" s="61"/>
    </row>
    <row r="847" ht="15.75" customHeight="1">
      <c r="A847" s="44"/>
      <c r="B847" s="61"/>
    </row>
    <row r="848" ht="15.75" customHeight="1">
      <c r="A848" s="44"/>
      <c r="B848" s="61"/>
    </row>
    <row r="849" ht="15.75" customHeight="1">
      <c r="A849" s="44"/>
      <c r="B849" s="61"/>
    </row>
    <row r="850" ht="15.75" customHeight="1">
      <c r="A850" s="44"/>
      <c r="B850" s="61"/>
    </row>
    <row r="851" ht="15.75" customHeight="1">
      <c r="A851" s="44"/>
      <c r="B851" s="61"/>
    </row>
    <row r="852" ht="15.75" customHeight="1">
      <c r="A852" s="44"/>
      <c r="B852" s="61"/>
    </row>
    <row r="853" ht="15.75" customHeight="1">
      <c r="A853" s="44"/>
      <c r="B853" s="61"/>
    </row>
    <row r="854" ht="15.75" customHeight="1">
      <c r="A854" s="44"/>
      <c r="B854" s="61"/>
    </row>
    <row r="855" ht="15.75" customHeight="1">
      <c r="A855" s="44"/>
      <c r="B855" s="61"/>
    </row>
    <row r="856" ht="15.75" customHeight="1">
      <c r="A856" s="44"/>
      <c r="B856" s="61"/>
    </row>
    <row r="857" ht="15.75" customHeight="1">
      <c r="A857" s="44"/>
      <c r="B857" s="61"/>
    </row>
    <row r="858" ht="15.75" customHeight="1">
      <c r="A858" s="44"/>
      <c r="B858" s="61"/>
    </row>
    <row r="859" ht="15.75" customHeight="1">
      <c r="A859" s="44"/>
      <c r="B859" s="61"/>
    </row>
    <row r="860" ht="15.75" customHeight="1">
      <c r="A860" s="44"/>
      <c r="B860" s="61"/>
    </row>
    <row r="861" ht="15.75" customHeight="1">
      <c r="A861" s="44"/>
      <c r="B861" s="61"/>
    </row>
    <row r="862" ht="15.75" customHeight="1">
      <c r="A862" s="44"/>
      <c r="B862" s="61"/>
    </row>
    <row r="863" ht="15.75" customHeight="1">
      <c r="A863" s="44"/>
      <c r="B863" s="61"/>
    </row>
    <row r="864" ht="15.75" customHeight="1">
      <c r="A864" s="44"/>
      <c r="B864" s="61"/>
    </row>
    <row r="865" ht="15.75" customHeight="1">
      <c r="A865" s="44"/>
      <c r="B865" s="61"/>
    </row>
    <row r="866" ht="15.75" customHeight="1">
      <c r="A866" s="44"/>
      <c r="B866" s="61"/>
    </row>
    <row r="867" ht="15.75" customHeight="1">
      <c r="A867" s="44"/>
      <c r="B867" s="61"/>
    </row>
    <row r="868" ht="15.75" customHeight="1">
      <c r="A868" s="44"/>
      <c r="B868" s="61"/>
    </row>
    <row r="869" ht="15.75" customHeight="1">
      <c r="A869" s="44"/>
      <c r="B869" s="61"/>
    </row>
    <row r="870" ht="15.75" customHeight="1">
      <c r="A870" s="44"/>
      <c r="B870" s="61"/>
    </row>
    <row r="871" ht="15.75" customHeight="1">
      <c r="A871" s="44"/>
      <c r="B871" s="61"/>
    </row>
    <row r="872" ht="15.75" customHeight="1">
      <c r="A872" s="44"/>
      <c r="B872" s="61"/>
    </row>
    <row r="873" ht="15.75" customHeight="1">
      <c r="A873" s="44"/>
      <c r="B873" s="61"/>
    </row>
    <row r="874" ht="15.75" customHeight="1">
      <c r="A874" s="44"/>
      <c r="B874" s="61"/>
    </row>
    <row r="875" ht="15.75" customHeight="1">
      <c r="A875" s="44"/>
      <c r="B875" s="61"/>
    </row>
    <row r="876" ht="15.75" customHeight="1">
      <c r="A876" s="44"/>
      <c r="B876" s="61"/>
    </row>
    <row r="877" ht="15.75" customHeight="1">
      <c r="A877" s="44"/>
      <c r="B877" s="61"/>
    </row>
    <row r="878" ht="15.75" customHeight="1">
      <c r="A878" s="44"/>
      <c r="B878" s="61"/>
    </row>
    <row r="879" ht="15.75" customHeight="1">
      <c r="A879" s="44"/>
      <c r="B879" s="61"/>
    </row>
    <row r="880" ht="15.75" customHeight="1">
      <c r="A880" s="44"/>
      <c r="B880" s="61"/>
    </row>
    <row r="881" ht="15.75" customHeight="1">
      <c r="A881" s="44"/>
      <c r="B881" s="61"/>
    </row>
    <row r="882" ht="15.75" customHeight="1">
      <c r="A882" s="44"/>
      <c r="B882" s="61"/>
    </row>
    <row r="883" ht="15.75" customHeight="1">
      <c r="A883" s="44"/>
      <c r="B883" s="61"/>
    </row>
    <row r="884" ht="15.75" customHeight="1">
      <c r="A884" s="44"/>
      <c r="B884" s="61"/>
    </row>
    <row r="885" ht="15.75" customHeight="1">
      <c r="A885" s="44"/>
      <c r="B885" s="61"/>
    </row>
    <row r="886" ht="15.75" customHeight="1">
      <c r="A886" s="44"/>
      <c r="B886" s="61"/>
    </row>
    <row r="887" ht="15.75" customHeight="1">
      <c r="A887" s="44"/>
      <c r="B887" s="61"/>
    </row>
    <row r="888" ht="15.75" customHeight="1">
      <c r="A888" s="44"/>
      <c r="B888" s="61"/>
    </row>
    <row r="889" ht="15.75" customHeight="1">
      <c r="A889" s="44"/>
      <c r="B889" s="61"/>
    </row>
    <row r="890" ht="15.75" customHeight="1">
      <c r="A890" s="44"/>
      <c r="B890" s="61"/>
    </row>
    <row r="891" ht="15.75" customHeight="1">
      <c r="A891" s="44"/>
      <c r="B891" s="61"/>
    </row>
    <row r="892" ht="15.75" customHeight="1">
      <c r="A892" s="44"/>
      <c r="B892" s="61"/>
    </row>
    <row r="893" ht="15.75" customHeight="1">
      <c r="A893" s="44"/>
      <c r="B893" s="61"/>
    </row>
    <row r="894" ht="15.75" customHeight="1">
      <c r="A894" s="44"/>
      <c r="B894" s="61"/>
    </row>
    <row r="895" ht="15.75" customHeight="1">
      <c r="A895" s="44"/>
      <c r="B895" s="61"/>
    </row>
    <row r="896" ht="15.75" customHeight="1">
      <c r="A896" s="44"/>
      <c r="B896" s="61"/>
    </row>
    <row r="897" ht="15.75" customHeight="1">
      <c r="A897" s="44"/>
      <c r="B897" s="61"/>
    </row>
    <row r="898" ht="15.75" customHeight="1">
      <c r="A898" s="44"/>
      <c r="B898" s="61"/>
    </row>
    <row r="899" ht="15.75" customHeight="1">
      <c r="A899" s="44"/>
      <c r="B899" s="61"/>
    </row>
    <row r="900" ht="15.75" customHeight="1">
      <c r="A900" s="44"/>
      <c r="B900" s="61"/>
    </row>
    <row r="901" ht="15.75" customHeight="1">
      <c r="A901" s="44"/>
      <c r="B901" s="61"/>
    </row>
    <row r="902" ht="15.75" customHeight="1">
      <c r="A902" s="44"/>
      <c r="B902" s="61"/>
    </row>
    <row r="903" ht="15.75" customHeight="1">
      <c r="A903" s="44"/>
      <c r="B903" s="61"/>
    </row>
    <row r="904" ht="15.75" customHeight="1">
      <c r="A904" s="44"/>
      <c r="B904" s="61"/>
    </row>
    <row r="905" ht="15.75" customHeight="1">
      <c r="A905" s="44"/>
      <c r="B905" s="61"/>
    </row>
    <row r="906" ht="15.75" customHeight="1">
      <c r="A906" s="44"/>
      <c r="B906" s="61"/>
    </row>
    <row r="907" ht="15.75" customHeight="1">
      <c r="A907" s="44"/>
      <c r="B907" s="61"/>
    </row>
    <row r="908" ht="15.75" customHeight="1">
      <c r="A908" s="44"/>
      <c r="B908" s="61"/>
    </row>
    <row r="909" ht="15.75" customHeight="1">
      <c r="A909" s="44"/>
      <c r="B909" s="61"/>
    </row>
    <row r="910" ht="15.75" customHeight="1">
      <c r="A910" s="44"/>
      <c r="B910" s="61"/>
    </row>
    <row r="911" ht="15.75" customHeight="1">
      <c r="A911" s="44"/>
      <c r="B911" s="61"/>
    </row>
    <row r="912" ht="15.75" customHeight="1">
      <c r="A912" s="44"/>
      <c r="B912" s="61"/>
    </row>
    <row r="913" ht="15.75" customHeight="1">
      <c r="A913" s="44"/>
      <c r="B913" s="61"/>
    </row>
    <row r="914" ht="15.75" customHeight="1">
      <c r="A914" s="44"/>
      <c r="B914" s="61"/>
    </row>
    <row r="915" ht="15.75" customHeight="1">
      <c r="A915" s="44"/>
      <c r="B915" s="61"/>
    </row>
    <row r="916" ht="15.75" customHeight="1">
      <c r="A916" s="44"/>
      <c r="B916" s="61"/>
    </row>
    <row r="917" ht="15.75" customHeight="1">
      <c r="A917" s="44"/>
      <c r="B917" s="61"/>
    </row>
    <row r="918" ht="15.75" customHeight="1">
      <c r="A918" s="44"/>
      <c r="B918" s="61"/>
    </row>
    <row r="919" ht="15.75" customHeight="1">
      <c r="A919" s="44"/>
      <c r="B919" s="61"/>
    </row>
    <row r="920" ht="15.75" customHeight="1">
      <c r="A920" s="44"/>
      <c r="B920" s="61"/>
    </row>
    <row r="921" ht="15.75" customHeight="1">
      <c r="A921" s="44"/>
      <c r="B921" s="61"/>
    </row>
    <row r="922" ht="15.75" customHeight="1">
      <c r="A922" s="44"/>
      <c r="B922" s="61"/>
    </row>
    <row r="923" ht="15.75" customHeight="1">
      <c r="A923" s="44"/>
      <c r="B923" s="61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5"/>
    <col customWidth="1" min="2" max="2" width="19.25"/>
    <col customWidth="1" min="3" max="3" width="44.38"/>
  </cols>
  <sheetData>
    <row r="1" ht="15.75" customHeight="1">
      <c r="A1" s="80" t="s">
        <v>7</v>
      </c>
      <c r="B1" s="81" t="s">
        <v>58</v>
      </c>
      <c r="C1" s="82"/>
    </row>
    <row r="2" ht="15.75" customHeight="1">
      <c r="A2" s="64" t="str">
        <f>IFERROR(__xludf.DUMMYFUNCTION("FILTER('Master Codes'!A1:B909,'Master Codes'!C:C=""Packing"")"),"PP Liquid Box (750 x 455 x 390)")</f>
        <v>PP Liquid Box (750 x 455 x 390)</v>
      </c>
      <c r="B2" s="57" t="str">
        <f>IFERROR(__xludf.DUMMYFUNCTION("""COMPUTED_VALUE"""),"PK-PP15-BX")</f>
        <v>PK-PP15-BX</v>
      </c>
      <c r="C2" s="60" t="str">
        <f t="shared" ref="C2:C68" si="1">B2&amp;" "&amp;A2</f>
        <v>PK-PP15-BX PP Liquid Box (750 x 455 x 390)</v>
      </c>
    </row>
    <row r="3" ht="15.75" customHeight="1">
      <c r="A3" s="64" t="str">
        <f>IFERROR(__xludf.DUMMYFUNCTION("""COMPUTED_VALUE"""),"PP Liquid Partition")</f>
        <v>PP Liquid Partition</v>
      </c>
      <c r="B3" s="57" t="str">
        <f>IFERROR(__xludf.DUMMYFUNCTION("""COMPUTED_VALUE"""),"PK-PP15-PT")</f>
        <v>PK-PP15-PT</v>
      </c>
      <c r="C3" s="60" t="str">
        <f t="shared" si="1"/>
        <v>PK-PP15-PT PP Liquid Partition</v>
      </c>
    </row>
    <row r="4" ht="15.75" customHeight="1">
      <c r="A4" s="64" t="str">
        <f>IFERROR(__xludf.DUMMYFUNCTION("""COMPUTED_VALUE"""),"1.0Ltr SG Box (26.50 x 10.50 x 16.25)")</f>
        <v>1.0Ltr SG Box (26.50 x 10.50 x 16.25)</v>
      </c>
      <c r="B4" s="57" t="str">
        <f>IFERROR(__xludf.DUMMYFUNCTION("""COMPUTED_VALUE"""),"PK-PP10-BX")</f>
        <v>PK-PP10-BX</v>
      </c>
      <c r="C4" s="60" t="str">
        <f t="shared" si="1"/>
        <v>PK-PP10-BX 1.0Ltr SG Box (26.50 x 10.50 x 16.25)</v>
      </c>
    </row>
    <row r="5" ht="15.75" customHeight="1">
      <c r="A5" s="64" t="str">
        <f>IFERROR(__xludf.DUMMYFUNCTION("""COMPUTED_VALUE"""),"PP Dry Box (PP1000) (750 x 455 x 340)")</f>
        <v>PP Dry Box (PP1000) (750 x 455 x 340)</v>
      </c>
      <c r="B5" s="57" t="str">
        <f>IFERROR(__xludf.DUMMYFUNCTION("""COMPUTED_VALUE"""),"PK-PP10-BX")</f>
        <v>PK-PP10-BX</v>
      </c>
      <c r="C5" s="60" t="str">
        <f t="shared" si="1"/>
        <v>PK-PP10-BX PP Dry Box (PP1000) (750 x 455 x 340)</v>
      </c>
    </row>
    <row r="6" ht="15.75" customHeight="1">
      <c r="A6" s="64" t="str">
        <f>IFERROR(__xludf.DUMMYFUNCTION("""COMPUTED_VALUE"""),"PP Dry Partition")</f>
        <v>PP Dry Partition</v>
      </c>
      <c r="B6" s="57" t="str">
        <f>IFERROR(__xludf.DUMMYFUNCTION("""COMPUTED_VALUE"""),"PK-PP10-PT")</f>
        <v>PK-PP10-PT</v>
      </c>
      <c r="C6" s="60" t="str">
        <f t="shared" si="1"/>
        <v>PK-PP10-PT PP Dry Partition</v>
      </c>
    </row>
    <row r="7" ht="15.75" customHeight="1">
      <c r="A7" s="64" t="str">
        <f>IFERROR(__xludf.DUMMYFUNCTION("""COMPUTED_VALUE"""),"Flat Jar Box (FJ1000) (750 x 455 x 340)")</f>
        <v>Flat Jar Box (FJ1000) (750 x 455 x 340)</v>
      </c>
      <c r="B7" s="57" t="str">
        <f>IFERROR(__xludf.DUMMYFUNCTION("""COMPUTED_VALUE"""),"PK-FJ10-BX")</f>
        <v>PK-FJ10-BX</v>
      </c>
      <c r="C7" s="60" t="str">
        <f t="shared" si="1"/>
        <v>PK-FJ10-BX Flat Jar Box (FJ1000) (750 x 455 x 340)</v>
      </c>
    </row>
    <row r="8" ht="15.75" customHeight="1">
      <c r="A8" s="64" t="str">
        <f>IFERROR(__xludf.DUMMYFUNCTION("""COMPUTED_VALUE"""),"Flat Jar Partition")</f>
        <v>Flat Jar Partition</v>
      </c>
      <c r="B8" s="57" t="str">
        <f>IFERROR(__xludf.DUMMYFUNCTION("""COMPUTED_VALUE"""),"PK-FJ10-PT")</f>
        <v>PK-FJ10-PT</v>
      </c>
      <c r="C8" s="60" t="str">
        <f t="shared" si="1"/>
        <v>PK-FJ10-PT Flat Jar Partition</v>
      </c>
    </row>
    <row r="9" ht="15.75" customHeight="1">
      <c r="A9" s="64" t="str">
        <f>IFERROR(__xludf.DUMMYFUNCTION("""COMPUTED_VALUE"""),"Grinder Jar Box (16 x 16 x 20 1/8) (126pcs)")</f>
        <v>Grinder Jar Box (16 x 16 x 20 1/8) (126pcs)</v>
      </c>
      <c r="B9" s="57" t="str">
        <f>IFERROR(__xludf.DUMMYFUNCTION("""COMPUTED_VALUE"""),"PK-GJ10-BX")</f>
        <v>PK-GJ10-BX</v>
      </c>
      <c r="C9" s="60" t="str">
        <f t="shared" si="1"/>
        <v>PK-GJ10-BX Grinder Jar Box (16 x 16 x 20 1/8) (126pcs)</v>
      </c>
    </row>
    <row r="10" ht="15.75" customHeight="1">
      <c r="A10" s="64" t="str">
        <f>IFERROR(__xludf.DUMMYFUNCTION("""COMPUTED_VALUE"""),"Grinder Jar Partition")</f>
        <v>Grinder Jar Partition</v>
      </c>
      <c r="B10" s="57" t="str">
        <f>IFERROR(__xludf.DUMMYFUNCTION("""COMPUTED_VALUE"""),"PK-GJ10-PT")</f>
        <v>PK-GJ10-PT</v>
      </c>
      <c r="C10" s="60" t="str">
        <f t="shared" si="1"/>
        <v>PK-GJ10-PT Grinder Jar Partition</v>
      </c>
    </row>
    <row r="11" ht="15.75" customHeight="1">
      <c r="A11" s="64" t="str">
        <f>IFERROR(__xludf.DUMMYFUNCTION("""COMPUTED_VALUE"""),"PP Chutney Box (26 x 15 1/4 x 14.5)")</f>
        <v>PP Chutney Box (26 x 15 1/4 x 14.5)</v>
      </c>
      <c r="B11" s="57" t="str">
        <f>IFERROR(__xludf.DUMMYFUNCTION("""COMPUTED_VALUE"""),"PK-PP04-BX")</f>
        <v>PK-PP04-BX</v>
      </c>
      <c r="C11" s="60" t="str">
        <f t="shared" si="1"/>
        <v>PK-PP04-BX PP Chutney Box (26 x 15 1/4 x 14.5)</v>
      </c>
    </row>
    <row r="12" ht="15.75" customHeight="1">
      <c r="A12" s="64" t="str">
        <f>IFERROR(__xludf.DUMMYFUNCTION("""COMPUTED_VALUE"""),"PP Chutney Partition")</f>
        <v>PP Chutney Partition</v>
      </c>
      <c r="B12" s="57" t="str">
        <f>IFERROR(__xludf.DUMMYFUNCTION("""COMPUTED_VALUE"""),"PK-PP04-PT")</f>
        <v>PK-PP04-PT</v>
      </c>
      <c r="C12" s="60" t="str">
        <f t="shared" si="1"/>
        <v>PK-PP04-PT PP Chutney Partition</v>
      </c>
    </row>
    <row r="13" ht="15.75" customHeight="1">
      <c r="A13" s="64" t="str">
        <f>IFERROR(__xludf.DUMMYFUNCTION("""COMPUTED_VALUE"""),"Dome Jar Box (810 x 475 x 370)")</f>
        <v>Dome Jar Box (810 x 475 x 370)</v>
      </c>
      <c r="B13" s="57" t="str">
        <f>IFERROR(__xludf.DUMMYFUNCTION("""COMPUTED_VALUE"""),"PK-DJ15-BX")</f>
        <v>PK-DJ15-BX</v>
      </c>
      <c r="C13" s="60" t="str">
        <f t="shared" si="1"/>
        <v>PK-DJ15-BX Dome Jar Box (810 x 475 x 370)</v>
      </c>
    </row>
    <row r="14" ht="15.75" customHeight="1">
      <c r="A14" s="64" t="str">
        <f>IFERROR(__xludf.DUMMYFUNCTION("""COMPUTED_VALUE"""),"Dome Jar Partition")</f>
        <v>Dome Jar Partition</v>
      </c>
      <c r="B14" s="57" t="str">
        <f>IFERROR(__xludf.DUMMYFUNCTION("""COMPUTED_VALUE"""),"PK-DJ15-PT")</f>
        <v>PK-DJ15-PT</v>
      </c>
      <c r="C14" s="60" t="str">
        <f t="shared" si="1"/>
        <v>PK-DJ15-PT Dome Jar Partition</v>
      </c>
    </row>
    <row r="15" ht="15.75" customHeight="1">
      <c r="A15" s="64" t="str">
        <f>IFERROR(__xludf.DUMMYFUNCTION("""COMPUTED_VALUE"""),"Chutney Katori Box (29 x 14.5 x 23)")</f>
        <v>Chutney Katori Box (29 x 14.5 x 23)</v>
      </c>
      <c r="B15" s="57" t="str">
        <f>IFERROR(__xludf.DUMMYFUNCTION("""COMPUTED_VALUE"""),"PK-CK06-BX")</f>
        <v>PK-CK06-BX</v>
      </c>
      <c r="C15" s="60" t="str">
        <f t="shared" si="1"/>
        <v>PK-CK06-BX Chutney Katori Box (29 x 14.5 x 23)</v>
      </c>
    </row>
    <row r="16" ht="15.75" customHeight="1">
      <c r="A16" s="64" t="str">
        <f>IFERROR(__xludf.DUMMYFUNCTION("""COMPUTED_VALUE"""),"Chutney Katori Partition")</f>
        <v>Chutney Katori Partition</v>
      </c>
      <c r="B16" s="57" t="str">
        <f>IFERROR(__xludf.DUMMYFUNCTION("""COMPUTED_VALUE"""),"PK-CK06-PT")</f>
        <v>PK-CK06-PT</v>
      </c>
      <c r="C16" s="60" t="str">
        <f t="shared" si="1"/>
        <v>PK-CK06-PT Chutney Katori Partition</v>
      </c>
    </row>
    <row r="17" ht="15.75" customHeight="1">
      <c r="A17" s="64" t="str">
        <f>IFERROR(__xludf.DUMMYFUNCTION("""COMPUTED_VALUE"""),"1.5Ltr SG Box (30 x 12.25 x 17.38)")</f>
        <v>1.5Ltr SG Box (30 x 12.25 x 17.38)</v>
      </c>
      <c r="B17" s="57" t="str">
        <f>IFERROR(__xludf.DUMMYFUNCTION("""COMPUTED_VALUE"""),"PK-SG15-BX")</f>
        <v>PK-SG15-BX</v>
      </c>
      <c r="C17" s="60" t="str">
        <f t="shared" si="1"/>
        <v>PK-SG15-BX 1.5Ltr SG Box (30 x 12.25 x 17.38)</v>
      </c>
    </row>
    <row r="18" ht="15.75" customHeight="1">
      <c r="A18" s="64" t="str">
        <f>IFERROR(__xludf.DUMMYFUNCTION("""COMPUTED_VALUE"""),"1.5Ltr SG Partition")</f>
        <v>1.5Ltr SG Partition</v>
      </c>
      <c r="B18" s="57" t="str">
        <f>IFERROR(__xludf.DUMMYFUNCTION("""COMPUTED_VALUE"""),"PK-SG15-PT")</f>
        <v>PK-SG15-PT</v>
      </c>
      <c r="C18" s="60" t="str">
        <f t="shared" si="1"/>
        <v>PK-SG15-PT 1.5Ltr SG Partition</v>
      </c>
    </row>
    <row r="19" ht="15.75" customHeight="1">
      <c r="A19" s="64" t="str">
        <f>IFERROR(__xludf.DUMMYFUNCTION("""COMPUTED_VALUE"""),"1.0Ltr SG Box (26.50 x 10.50 x 16.25)")</f>
        <v>1.0Ltr SG Box (26.50 x 10.50 x 16.25)</v>
      </c>
      <c r="B19" s="57" t="str">
        <f>IFERROR(__xludf.DUMMYFUNCTION("""COMPUTED_VALUE"""),"PK-SG10-BX")</f>
        <v>PK-SG10-BX</v>
      </c>
      <c r="C19" s="60" t="str">
        <f t="shared" si="1"/>
        <v>PK-SG10-BX 1.0Ltr SG Box (26.50 x 10.50 x 16.25)</v>
      </c>
    </row>
    <row r="20" ht="15.75" customHeight="1">
      <c r="A20" s="64" t="str">
        <f>IFERROR(__xludf.DUMMYFUNCTION("""COMPUTED_VALUE"""),"1.0Ltr SG Partition")</f>
        <v>1.0Ltr SG Partition</v>
      </c>
      <c r="B20" s="57" t="str">
        <f>IFERROR(__xludf.DUMMYFUNCTION("""COMPUTED_VALUE"""),"PK-SG10-PT")</f>
        <v>PK-SG10-PT</v>
      </c>
      <c r="C20" s="60" t="str">
        <f t="shared" si="1"/>
        <v>PK-SG10-PT 1.0Ltr SG Partition</v>
      </c>
    </row>
    <row r="21" ht="15.75" customHeight="1">
      <c r="A21" s="64" t="str">
        <f>IFERROR(__xludf.DUMMYFUNCTION("""COMPUTED_VALUE"""),"1.0Ltr Tapper Jar Dry (27.50 x 11.50 x 16.5)")</f>
        <v>1.0Ltr Tapper Jar Dry (27.50 x 11.50 x 16.5)</v>
      </c>
      <c r="B21" s="57" t="str">
        <f>IFERROR(__xludf.DUMMYFUNCTION("""COMPUTED_VALUE"""),"PK-TD10-BX")</f>
        <v>PK-TD10-BX</v>
      </c>
      <c r="C21" s="60" t="str">
        <f t="shared" si="1"/>
        <v>PK-TD10-BX 1.0Ltr Tapper Jar Dry (27.50 x 11.50 x 16.5)</v>
      </c>
    </row>
    <row r="22" ht="15.75" customHeight="1">
      <c r="A22" s="64" t="str">
        <f>IFERROR(__xludf.DUMMYFUNCTION("""COMPUTED_VALUE"""),"1.5Ltr Tapper Jar Wet (30 x 12.50 x 18)")</f>
        <v>1.5Ltr Tapper Jar Wet (30 x 12.50 x 18)</v>
      </c>
      <c r="B22" s="57" t="str">
        <f>IFERROR(__xludf.DUMMYFUNCTION("""COMPUTED_VALUE"""),"PK-TL15-BX")</f>
        <v>PK-TL15-BX</v>
      </c>
      <c r="C22" s="60" t="str">
        <f t="shared" si="1"/>
        <v>PK-TL15-BX 1.5Ltr Tapper Jar Wet (30 x 12.50 x 18)</v>
      </c>
    </row>
    <row r="23" ht="15.75" customHeight="1">
      <c r="A23" s="64" t="str">
        <f>IFERROR(__xludf.DUMMYFUNCTION("""COMPUTED_VALUE"""),"1.0Ltr Tapper Jar Dry Partition")</f>
        <v>1.0Ltr Tapper Jar Dry Partition</v>
      </c>
      <c r="B23" s="57" t="str">
        <f>IFERROR(__xludf.DUMMYFUNCTION("""COMPUTED_VALUE"""),"PK-TD10-PT")</f>
        <v>PK-TD10-PT</v>
      </c>
      <c r="C23" s="60" t="str">
        <f t="shared" si="1"/>
        <v>PK-TD10-PT 1.0Ltr Tapper Jar Dry Partition</v>
      </c>
    </row>
    <row r="24" ht="15.75" customHeight="1">
      <c r="A24" s="64" t="str">
        <f>IFERROR(__xludf.DUMMYFUNCTION("""COMPUTED_VALUE"""),"1.5Ltr Tapper Jar Wet Partition")</f>
        <v>1.5Ltr Tapper Jar Wet Partition</v>
      </c>
      <c r="B24" s="57" t="str">
        <f>IFERROR(__xludf.DUMMYFUNCTION("""COMPUTED_VALUE"""),"PK-TL15-PT")</f>
        <v>PK-TL15-PT</v>
      </c>
      <c r="C24" s="60" t="str">
        <f t="shared" si="1"/>
        <v>PK-TL15-PT 1.5Ltr Tapper Jar Wet Partition</v>
      </c>
    </row>
    <row r="25" ht="15.75" customHeight="1">
      <c r="A25" s="64" t="str">
        <f>IFERROR(__xludf.DUMMYFUNCTION("""COMPUTED_VALUE"""),"Bowl Box (602 x 602 x 540)")</f>
        <v>Bowl Box (602 x 602 x 540)</v>
      </c>
      <c r="B25" s="57" t="str">
        <f>IFERROR(__xludf.DUMMYFUNCTION("""COMPUTED_VALUE"""),"PK-BW00-BX")</f>
        <v>PK-BW00-BX</v>
      </c>
      <c r="C25" s="60" t="str">
        <f t="shared" si="1"/>
        <v>PK-BW00-BX Bowl Box (602 x 602 x 540)</v>
      </c>
    </row>
    <row r="26" ht="15.75" customHeight="1">
      <c r="A26" s="64" t="str">
        <f>IFERROR(__xludf.DUMMYFUNCTION("""COMPUTED_VALUE"""),"Bowl Partition")</f>
        <v>Bowl Partition</v>
      </c>
      <c r="B26" s="57" t="str">
        <f>IFERROR(__xludf.DUMMYFUNCTION("""COMPUTED_VALUE"""),"PK-BW00-PT")</f>
        <v>PK-BW00-PT</v>
      </c>
      <c r="C26" s="60" t="str">
        <f t="shared" si="1"/>
        <v>PK-BW00-PT Bowl Partition</v>
      </c>
    </row>
    <row r="27" ht="15.75" customHeight="1">
      <c r="A27" s="64" t="str">
        <f>IFERROR(__xludf.DUMMYFUNCTION("""COMPUTED_VALUE"""),"1.65 Ltr MG Box (650 x 330 x 380)")</f>
        <v>1.65 Ltr MG Box (650 x 330 x 380)</v>
      </c>
      <c r="B27" s="57" t="str">
        <f>IFERROR(__xludf.DUMMYFUNCTION("""COMPUTED_VALUE"""),"PK--MG165-BX")</f>
        <v>PK--MG165-BX</v>
      </c>
      <c r="C27" s="60" t="str">
        <f t="shared" si="1"/>
        <v>PK--MG165-BX 1.65 Ltr MG Box (650 x 330 x 380)</v>
      </c>
    </row>
    <row r="28" ht="15.75" customHeight="1">
      <c r="A28" s="64" t="str">
        <f>IFERROR(__xludf.DUMMYFUNCTION("""COMPUTED_VALUE"""),"1.65 Ltr MG Partition")</f>
        <v>1.65 Ltr MG Partition</v>
      </c>
      <c r="B28" s="57" t="str">
        <f>IFERROR(__xludf.DUMMYFUNCTION("""COMPUTED_VALUE"""),"PK--MG165-PT")</f>
        <v>PK--MG165-PT</v>
      </c>
      <c r="C28" s="60" t="str">
        <f t="shared" si="1"/>
        <v>PK--MG165-PT 1.65 Ltr MG Partition</v>
      </c>
    </row>
    <row r="29" ht="15.75" customHeight="1">
      <c r="A29" s="64" t="str">
        <f>IFERROR(__xludf.DUMMYFUNCTION("""COMPUTED_VALUE"""),"1.1 Ltr MG Box (592 x 447 x 368)")</f>
        <v>1.1 Ltr MG Box (592 x 447 x 368)</v>
      </c>
      <c r="B29" s="57" t="str">
        <f>IFERROR(__xludf.DUMMYFUNCTION("""COMPUTED_VALUE"""),"PK--MG11-BX")</f>
        <v>PK--MG11-BX</v>
      </c>
      <c r="C29" s="60" t="str">
        <f t="shared" si="1"/>
        <v>PK--MG11-BX 1.1 Ltr MG Box (592 x 447 x 368)</v>
      </c>
    </row>
    <row r="30" ht="15.75" customHeight="1">
      <c r="A30" s="64" t="str">
        <f>IFERROR(__xludf.DUMMYFUNCTION("""COMPUTED_VALUE"""),"1.1 Ltr MG Partition")</f>
        <v>1.1 Ltr MG Partition</v>
      </c>
      <c r="B30" s="57" t="str">
        <f>IFERROR(__xludf.DUMMYFUNCTION("""COMPUTED_VALUE"""),"PK--MG11-PT")</f>
        <v>PK--MG11-PT</v>
      </c>
      <c r="C30" s="60" t="str">
        <f t="shared" si="1"/>
        <v>PK--MG11-PT 1.1 Ltr MG Partition</v>
      </c>
    </row>
    <row r="31" ht="15.75" customHeight="1">
      <c r="A31" s="64" t="str">
        <f>IFERROR(__xludf.DUMMYFUNCTION("""COMPUTED_VALUE"""),"0.5 Ltr MG Box (592 x 447 x 340)")</f>
        <v>0.5 Ltr MG Box (592 x 447 x 340)</v>
      </c>
      <c r="B31" s="57" t="str">
        <f>IFERROR(__xludf.DUMMYFUNCTION("""COMPUTED_VALUE"""),"PK--MG05-BX")</f>
        <v>PK--MG05-BX</v>
      </c>
      <c r="C31" s="60" t="str">
        <f t="shared" si="1"/>
        <v>PK--MG05-BX 0.5 Ltr MG Box (592 x 447 x 340)</v>
      </c>
    </row>
    <row r="32" ht="15.75" customHeight="1">
      <c r="A32" s="64" t="str">
        <f>IFERROR(__xludf.DUMMYFUNCTION("""COMPUTED_VALUE"""),"0.5 Ltr MG Partition")</f>
        <v>0.5 Ltr MG Partition</v>
      </c>
      <c r="B32" s="57" t="str">
        <f>IFERROR(__xludf.DUMMYFUNCTION("""COMPUTED_VALUE"""),"PK--MG05-PT")</f>
        <v>PK--MG05-PT</v>
      </c>
      <c r="C32" s="60" t="str">
        <f t="shared" si="1"/>
        <v>PK--MG05-PT 0.5 Ltr MG Partition</v>
      </c>
    </row>
    <row r="33" ht="15.75" customHeight="1">
      <c r="A33" s="64" t="str">
        <f>IFERROR(__xludf.DUMMYFUNCTION("""COMPUTED_VALUE"""),"Paper Cone 1.00""")</f>
        <v>Paper Cone 1.00"</v>
      </c>
      <c r="B33" s="57" t="str">
        <f>IFERROR(__xludf.DUMMYFUNCTION("""COMPUTED_VALUE"""),"PK-PC-01-00")</f>
        <v>PK-PC-01-00</v>
      </c>
      <c r="C33" s="60" t="str">
        <f t="shared" si="1"/>
        <v>PK-PC-01-00 Paper Cone 1.00"</v>
      </c>
    </row>
    <row r="34" ht="15.75" customHeight="1">
      <c r="A34" s="64" t="str">
        <f>IFERROR(__xludf.DUMMYFUNCTION("""COMPUTED_VALUE"""),"Paper Cone 1.25""")</f>
        <v>Paper Cone 1.25"</v>
      </c>
      <c r="B34" s="57" t="str">
        <f>IFERROR(__xludf.DUMMYFUNCTION("""COMPUTED_VALUE"""),"PK-PC-01-25")</f>
        <v>PK-PC-01-25</v>
      </c>
      <c r="C34" s="60" t="str">
        <f t="shared" si="1"/>
        <v>PK-PC-01-25 Paper Cone 1.25"</v>
      </c>
    </row>
    <row r="35" ht="15.75" customHeight="1">
      <c r="A35" s="64" t="str">
        <f>IFERROR(__xludf.DUMMYFUNCTION("""COMPUTED_VALUE"""),"Paper Cone 65 mm X 54 mm")</f>
        <v>Paper Cone 65 mm X 54 mm</v>
      </c>
      <c r="B35" s="57" t="str">
        <f>IFERROR(__xludf.DUMMYFUNCTION("""COMPUTED_VALUE"""),"PK-PC-02-56")</f>
        <v>PK-PC-02-56</v>
      </c>
      <c r="C35" s="60" t="str">
        <f t="shared" si="1"/>
        <v>PK-PC-02-56 Paper Cone 65 mm X 54 mm</v>
      </c>
    </row>
    <row r="36" ht="15.75" customHeight="1">
      <c r="A36" s="64" t="str">
        <f>IFERROR(__xludf.DUMMYFUNCTION("""COMPUTED_VALUE"""),"Paper Cone 65 mm X 80 mm")</f>
        <v>Paper Cone 65 mm X 80 mm</v>
      </c>
      <c r="B36" s="57" t="str">
        <f>IFERROR(__xludf.DUMMYFUNCTION("""COMPUTED_VALUE"""),"PK-PC-65-80")</f>
        <v>PK-PC-65-80</v>
      </c>
      <c r="C36" s="60" t="str">
        <f t="shared" si="1"/>
        <v>PK-PC-65-80 Paper Cone 65 mm X 80 mm</v>
      </c>
    </row>
    <row r="37" ht="15.75" customHeight="1">
      <c r="A37" s="64" t="str">
        <f>IFERROR(__xludf.DUMMYFUNCTION("""COMPUTED_VALUE"""),"White Tape")</f>
        <v>White Tape</v>
      </c>
      <c r="B37" s="57" t="str">
        <f>IFERROR(__xludf.DUMMYFUNCTION("""COMPUTED_VALUE"""),"PK-WT-00-00")</f>
        <v>PK-WT-00-00</v>
      </c>
      <c r="C37" s="60" t="str">
        <f t="shared" si="1"/>
        <v>PK-WT-00-00 White Tape</v>
      </c>
    </row>
    <row r="38" ht="15.75" customHeight="1">
      <c r="A38" s="64" t="str">
        <f>IFERROR(__xludf.DUMMYFUNCTION("""COMPUTED_VALUE"""),"Brown Tape")</f>
        <v>Brown Tape</v>
      </c>
      <c r="B38" s="57" t="str">
        <f>IFERROR(__xludf.DUMMYFUNCTION("""COMPUTED_VALUE"""),"PK-BT-00-00")</f>
        <v>PK-BT-00-00</v>
      </c>
      <c r="C38" s="60" t="str">
        <f t="shared" si="1"/>
        <v>PK-BT-00-00 Brown Tape</v>
      </c>
    </row>
    <row r="39" ht="15.75" customHeight="1">
      <c r="A39" s="64" t="str">
        <f>IFERROR(__xludf.DUMMYFUNCTION("""COMPUTED_VALUE"""),"Plastic Bag Old (White Goni) (55 x 36)")</f>
        <v>Plastic Bag Old (White Goni) (55 x 36)</v>
      </c>
      <c r="B39" s="57" t="str">
        <f>IFERROR(__xludf.DUMMYFUNCTION("""COMPUTED_VALUE"""),"PK-WB-55-36")</f>
        <v>PK-WB-55-36</v>
      </c>
      <c r="C39" s="60" t="str">
        <f t="shared" si="1"/>
        <v>PK-WB-55-36 Plastic Bag Old (White Goni) (55 x 36)</v>
      </c>
    </row>
    <row r="40" ht="15.75" customHeight="1">
      <c r="A40" s="64" t="str">
        <f>IFERROR(__xludf.DUMMYFUNCTION("""COMPUTED_VALUE"""),"Plastic Bag Old (White Goni) (52 x 44)")</f>
        <v>Plastic Bag Old (White Goni) (52 x 44)</v>
      </c>
      <c r="B40" s="57" t="str">
        <f>IFERROR(__xludf.DUMMYFUNCTION("""COMPUTED_VALUE"""),"PK-WB-52-44")</f>
        <v>PK-WB-52-44</v>
      </c>
      <c r="C40" s="60" t="str">
        <f t="shared" si="1"/>
        <v>PK-WB-52-44 Plastic Bag Old (White Goni) (52 x 44)</v>
      </c>
    </row>
    <row r="41" ht="15.75" customHeight="1">
      <c r="A41" s="64" t="str">
        <f>IFERROR(__xludf.DUMMYFUNCTION("""COMPUTED_VALUE"""),"Plastic Bag Old (White Goni) (52 x 46)")</f>
        <v>Plastic Bag Old (White Goni) (52 x 46)</v>
      </c>
      <c r="B41" s="57" t="str">
        <f>IFERROR(__xludf.DUMMYFUNCTION("""COMPUTED_VALUE"""),"PK-WB-52-46")</f>
        <v>PK-WB-52-46</v>
      </c>
      <c r="C41" s="60" t="str">
        <f t="shared" si="1"/>
        <v>PK-WB-52-46 Plastic Bag Old (White Goni) (52 x 46)</v>
      </c>
    </row>
    <row r="42" ht="15.75" customHeight="1">
      <c r="A42" s="64" t="str">
        <f>IFERROR(__xludf.DUMMYFUNCTION("""COMPUTED_VALUE"""),"Plastic Bag Old (White Goni) (44 x 36)")</f>
        <v>Plastic Bag Old (White Goni) (44 x 36)</v>
      </c>
      <c r="B42" s="57" t="str">
        <f>IFERROR(__xludf.DUMMYFUNCTION("""COMPUTED_VALUE"""),"PK-WB-44-36")</f>
        <v>PK-WB-44-36</v>
      </c>
      <c r="C42" s="60" t="str">
        <f t="shared" si="1"/>
        <v>PK-WB-44-36 Plastic Bag Old (White Goni) (44 x 36)</v>
      </c>
    </row>
    <row r="43" ht="15.75" customHeight="1">
      <c r="A43" s="64" t="str">
        <f>IFERROR(__xludf.DUMMYFUNCTION("""COMPUTED_VALUE"""),"Plastic bags (14 x 16)")</f>
        <v>Plastic bags (14 x 16)</v>
      </c>
      <c r="B43" s="57" t="str">
        <f>IFERROR(__xludf.DUMMYFUNCTION("""COMPUTED_VALUE"""),"PK-PB-14-16")</f>
        <v>PK-PB-14-16</v>
      </c>
      <c r="C43" s="60" t="str">
        <f t="shared" si="1"/>
        <v>PK-PB-14-16 Plastic bags (14 x 16)</v>
      </c>
    </row>
    <row r="44" ht="15.75" customHeight="1">
      <c r="A44" s="64" t="str">
        <f>IFERROR(__xludf.DUMMYFUNCTION("""COMPUTED_VALUE"""),"Plastic bags (10 x 12)")</f>
        <v>Plastic bags (10 x 12)</v>
      </c>
      <c r="B44" s="57" t="str">
        <f>IFERROR(__xludf.DUMMYFUNCTION("""COMPUTED_VALUE"""),"PK-PB-10-12")</f>
        <v>PK-PB-10-12</v>
      </c>
      <c r="C44" s="60" t="str">
        <f t="shared" si="1"/>
        <v>PK-PB-10-12 Plastic bags (10 x 12)</v>
      </c>
    </row>
    <row r="45" ht="15.75" customHeight="1">
      <c r="A45" s="64" t="str">
        <f>IFERROR(__xludf.DUMMYFUNCTION("""COMPUTED_VALUE"""),"Plastic bags (9 x 11)")</f>
        <v>Plastic bags (9 x 11)</v>
      </c>
      <c r="B45" s="57" t="str">
        <f>IFERROR(__xludf.DUMMYFUNCTION("""COMPUTED_VALUE"""),"PK-PB-09-11")</f>
        <v>PK-PB-09-11</v>
      </c>
      <c r="C45" s="60" t="str">
        <f t="shared" si="1"/>
        <v>PK-PB-09-11 Plastic bags (9 x 11)</v>
      </c>
    </row>
    <row r="46" ht="15.75" customHeight="1">
      <c r="A46" s="64" t="str">
        <f>IFERROR(__xludf.DUMMYFUNCTION("""COMPUTED_VALUE"""),"Plastic bags (8 x 9)")</f>
        <v>Plastic bags (8 x 9)</v>
      </c>
      <c r="B46" s="57" t="str">
        <f>IFERROR(__xludf.DUMMYFUNCTION("""COMPUTED_VALUE"""),"PK-PB-08-09")</f>
        <v>PK-PB-08-09</v>
      </c>
      <c r="C46" s="60" t="str">
        <f t="shared" si="1"/>
        <v>PK-PB-08-09 Plastic bags (8 x 9)</v>
      </c>
    </row>
    <row r="47" ht="15.75" customHeight="1">
      <c r="A47" s="64" t="str">
        <f>IFERROR(__xludf.DUMMYFUNCTION("""COMPUTED_VALUE"""),"Packing Sutli")</f>
        <v>Packing Sutli</v>
      </c>
      <c r="B47" s="57" t="str">
        <f>IFERROR(__xludf.DUMMYFUNCTION("""COMPUTED_VALUE"""),"PK-PS-00-00")</f>
        <v>PK-PS-00-00</v>
      </c>
      <c r="C47" s="60" t="str">
        <f t="shared" si="1"/>
        <v>PK-PS-00-00 Packing Sutli</v>
      </c>
    </row>
    <row r="48" ht="15.75" customHeight="1">
      <c r="A48" s="64" t="str">
        <f>IFERROR(__xludf.DUMMYFUNCTION("""COMPUTED_VALUE"""),"AGL Stickers A - Blue")</f>
        <v>AGL Stickers A - Blue</v>
      </c>
      <c r="B48" s="57" t="str">
        <f>IFERROR(__xludf.DUMMYFUNCTION("""COMPUTED_VALUE"""),"PK-ST-BL-01")</f>
        <v>PK-ST-BL-01</v>
      </c>
      <c r="C48" s="60" t="str">
        <f t="shared" si="1"/>
        <v>PK-ST-BL-01 AGL Stickers A - Blue</v>
      </c>
    </row>
    <row r="49" ht="15.75" customHeight="1">
      <c r="A49" s="64" t="str">
        <f>IFERROR(__xludf.DUMMYFUNCTION("""COMPUTED_VALUE"""),"AGL Stickers B - Blue")</f>
        <v>AGL Stickers B - Blue</v>
      </c>
      <c r="B49" s="57" t="str">
        <f>IFERROR(__xludf.DUMMYFUNCTION("""COMPUTED_VALUE"""),"PK-ST-BL-02")</f>
        <v>PK-ST-BL-02</v>
      </c>
      <c r="C49" s="60" t="str">
        <f t="shared" si="1"/>
        <v>PK-ST-BL-02 AGL Stickers B - Blue</v>
      </c>
    </row>
    <row r="50" ht="15.75" customHeight="1">
      <c r="A50" s="64" t="str">
        <f>IFERROR(__xludf.DUMMYFUNCTION("""COMPUTED_VALUE"""),"AGL Stickers C - Blue")</f>
        <v>AGL Stickers C - Blue</v>
      </c>
      <c r="B50" s="57" t="str">
        <f>IFERROR(__xludf.DUMMYFUNCTION("""COMPUTED_VALUE"""),"PK-ST-BL-03")</f>
        <v>PK-ST-BL-03</v>
      </c>
      <c r="C50" s="60" t="str">
        <f t="shared" si="1"/>
        <v>PK-ST-BL-03 AGL Stickers C - Blue</v>
      </c>
    </row>
    <row r="51" ht="15.75" customHeight="1">
      <c r="A51" s="64" t="str">
        <f>IFERROR(__xludf.DUMMYFUNCTION("""COMPUTED_VALUE"""),"AGL Stickers D - Blue")</f>
        <v>AGL Stickers D - Blue</v>
      </c>
      <c r="B51" s="57" t="str">
        <f>IFERROR(__xludf.DUMMYFUNCTION("""COMPUTED_VALUE"""),"PK-ST-BL-04")</f>
        <v>PK-ST-BL-04</v>
      </c>
      <c r="C51" s="60" t="str">
        <f t="shared" si="1"/>
        <v>PK-ST-BL-04 AGL Stickers D - Blue</v>
      </c>
    </row>
    <row r="52" ht="15.75" customHeight="1">
      <c r="A52" s="64" t="str">
        <f>IFERROR(__xludf.DUMMYFUNCTION("""COMPUTED_VALUE"""),"AGL Stickers A - Orange")</f>
        <v>AGL Stickers A - Orange</v>
      </c>
      <c r="B52" s="57" t="str">
        <f>IFERROR(__xludf.DUMMYFUNCTION("""COMPUTED_VALUE"""),"PK-ST-OR-01")</f>
        <v>PK-ST-OR-01</v>
      </c>
      <c r="C52" s="60" t="str">
        <f t="shared" si="1"/>
        <v>PK-ST-OR-01 AGL Stickers A - Orange</v>
      </c>
    </row>
    <row r="53" ht="15.75" customHeight="1">
      <c r="A53" s="64" t="str">
        <f>IFERROR(__xludf.DUMMYFUNCTION("""COMPUTED_VALUE"""),"AGL Stickers B - Orange")</f>
        <v>AGL Stickers B - Orange</v>
      </c>
      <c r="B53" s="57" t="str">
        <f>IFERROR(__xludf.DUMMYFUNCTION("""COMPUTED_VALUE"""),"PK-ST-OR-02")</f>
        <v>PK-ST-OR-02</v>
      </c>
      <c r="C53" s="60" t="str">
        <f t="shared" si="1"/>
        <v>PK-ST-OR-02 AGL Stickers B - Orange</v>
      </c>
    </row>
    <row r="54" ht="15.75" customHeight="1">
      <c r="A54" s="64" t="str">
        <f>IFERROR(__xludf.DUMMYFUNCTION("""COMPUTED_VALUE"""),"AGL Stickers C - Orange")</f>
        <v>AGL Stickers C - Orange</v>
      </c>
      <c r="B54" s="57" t="str">
        <f>IFERROR(__xludf.DUMMYFUNCTION("""COMPUTED_VALUE"""),"PK-ST-OR-03")</f>
        <v>PK-ST-OR-03</v>
      </c>
      <c r="C54" s="60" t="str">
        <f t="shared" si="1"/>
        <v>PK-ST-OR-03 AGL Stickers C - Orange</v>
      </c>
    </row>
    <row r="55" ht="15.75" customHeight="1">
      <c r="A55" s="64" t="str">
        <f>IFERROR(__xludf.DUMMYFUNCTION("""COMPUTED_VALUE"""),"AGL Stickers D - Orange")</f>
        <v>AGL Stickers D - Orange</v>
      </c>
      <c r="B55" s="57" t="str">
        <f>IFERROR(__xludf.DUMMYFUNCTION("""COMPUTED_VALUE"""),"PK-ST-OR-04")</f>
        <v>PK-ST-OR-04</v>
      </c>
      <c r="C55" s="60" t="str">
        <f t="shared" si="1"/>
        <v>PK-ST-OR-04 AGL Stickers D - Orange</v>
      </c>
    </row>
    <row r="56" ht="15.75" customHeight="1">
      <c r="A56" s="64" t="str">
        <f>IFERROR(__xludf.DUMMYFUNCTION("""COMPUTED_VALUE"""),"Box Sticker")</f>
        <v>Box Sticker</v>
      </c>
      <c r="B56" s="57" t="str">
        <f>IFERROR(__xludf.DUMMYFUNCTION("""COMPUTED_VALUE"""),"PK-ST-BX-00")</f>
        <v>PK-ST-BX-00</v>
      </c>
      <c r="C56" s="60" t="str">
        <f t="shared" si="1"/>
        <v>PK-ST-BX-00 Box Sticker</v>
      </c>
    </row>
    <row r="57" ht="15.75" customHeight="1">
      <c r="A57" s="64" t="str">
        <f>IFERROR(__xludf.DUMMYFUNCTION("""COMPUTED_VALUE"""),"Arrow Stickers")</f>
        <v>Arrow Stickers</v>
      </c>
      <c r="B57" s="57" t="str">
        <f>IFERROR(__xludf.DUMMYFUNCTION("""COMPUTED_VALUE"""),"PK-ST-AR-00")</f>
        <v>PK-ST-AR-00</v>
      </c>
      <c r="C57" s="60" t="str">
        <f t="shared" si="1"/>
        <v>PK-ST-AR-00 Arrow Stickers</v>
      </c>
    </row>
    <row r="58" ht="15.75" customHeight="1">
      <c r="A58" s="64" t="str">
        <f>IFERROR(__xludf.DUMMYFUNCTION("""COMPUTED_VALUE"""),"Stapple Patti Role")</f>
        <v>Stapple Patti Role</v>
      </c>
      <c r="B58" s="57" t="str">
        <f>IFERROR(__xludf.DUMMYFUNCTION("""COMPUTED_VALUE"""),"PK-ST-PR-00")</f>
        <v>PK-ST-PR-00</v>
      </c>
      <c r="C58" s="60" t="str">
        <f t="shared" si="1"/>
        <v>PK-ST-PR-00 Stapple Patti Role</v>
      </c>
    </row>
    <row r="59" ht="15.75" customHeight="1">
      <c r="A59" s="64" t="str">
        <f>IFERROR(__xludf.DUMMYFUNCTION("""COMPUTED_VALUE"""),"PP Wrapping Roll")</f>
        <v>PP Wrapping Roll</v>
      </c>
      <c r="B59" s="57" t="str">
        <f>IFERROR(__xludf.DUMMYFUNCTION("""COMPUTED_VALUE"""),"PK-PP-WR-00")</f>
        <v>PK-PP-WR-00</v>
      </c>
      <c r="C59" s="60" t="str">
        <f t="shared" si="1"/>
        <v>PK-PP-WR-00 PP Wrapping Roll</v>
      </c>
    </row>
    <row r="60" ht="15.75" customHeight="1">
      <c r="A60" s="64" t="str">
        <f>IFERROR(__xludf.DUMMYFUNCTION("""COMPUTED_VALUE"""),"FlyWheel")</f>
        <v>FlyWheel</v>
      </c>
      <c r="B60" s="57" t="str">
        <f>IFERROR(__xludf.DUMMYFUNCTION("""COMPUTED_VALUE"""),"CO-FW-00-00")</f>
        <v>CO-FW-00-00</v>
      </c>
      <c r="C60" s="60" t="str">
        <f t="shared" si="1"/>
        <v>CO-FW-00-00 FlyWheel</v>
      </c>
    </row>
    <row r="61" ht="15.75" customHeight="1">
      <c r="A61" s="64" t="str">
        <f>IFERROR(__xludf.DUMMYFUNCTION("""COMPUTED_VALUE"""),"51"" Micron LD Plastic bags (8 x 9)")</f>
        <v>51" Micron LD Plastic bags (8 x 9)</v>
      </c>
      <c r="B61" s="57" t="str">
        <f>IFERROR(__xludf.DUMMYFUNCTION("""COMPUTED_VALUE"""),"ML-PB-08-09")</f>
        <v>ML-PB-08-09</v>
      </c>
      <c r="C61" s="60" t="str">
        <f t="shared" si="1"/>
        <v>ML-PB-08-09 51" Micron LD Plastic bags (8 x 9)</v>
      </c>
    </row>
    <row r="62" ht="15.75" customHeight="1">
      <c r="A62" s="64" t="str">
        <f>IFERROR(__xludf.DUMMYFUNCTION("""COMPUTED_VALUE"""),"51"" Micron LD Plastic bags (9 x 11)")</f>
        <v>51" Micron LD Plastic bags (9 x 11)</v>
      </c>
      <c r="B62" s="57" t="str">
        <f>IFERROR(__xludf.DUMMYFUNCTION("""COMPUTED_VALUE"""),"ML-PB-09-11")</f>
        <v>ML-PB-09-11</v>
      </c>
      <c r="C62" s="60" t="str">
        <f t="shared" si="1"/>
        <v>ML-PB-09-11 51" Micron LD Plastic bags (9 x 11)</v>
      </c>
    </row>
    <row r="63" ht="15.75" customHeight="1">
      <c r="A63" s="64" t="str">
        <f>IFERROR(__xludf.DUMMYFUNCTION("""COMPUTED_VALUE"""),"51"" Micron LD Plastic bags (10 x 12)")</f>
        <v>51" Micron LD Plastic bags (10 x 12)</v>
      </c>
      <c r="B63" s="57" t="str">
        <f>IFERROR(__xludf.DUMMYFUNCTION("""COMPUTED_VALUE"""),"ML-PB-10-12")</f>
        <v>ML-PB-10-12</v>
      </c>
      <c r="C63" s="60" t="str">
        <f t="shared" si="1"/>
        <v>ML-PB-10-12 51" Micron LD Plastic bags (10 x 12)</v>
      </c>
    </row>
    <row r="64" ht="15.75" customHeight="1">
      <c r="A64" s="64" t="str">
        <f>IFERROR(__xludf.DUMMYFUNCTION("""COMPUTED_VALUE"""),"MA Wet Box (605 x 310 x 392)")</f>
        <v>MA Wet Box (605 x 310 x 392)</v>
      </c>
      <c r="B64" s="57" t="str">
        <f>IFERROR(__xludf.DUMMYFUNCTION("""COMPUTED_VALUE"""),"PK-MA15-BX")</f>
        <v>PK-MA15-BX</v>
      </c>
      <c r="C64" s="60" t="str">
        <f t="shared" si="1"/>
        <v>PK-MA15-BX MA Wet Box (605 x 310 x 392)</v>
      </c>
    </row>
    <row r="65" ht="15.75" customHeight="1">
      <c r="A65" s="64" t="str">
        <f>IFERROR(__xludf.DUMMYFUNCTION("""COMPUTED_VALUE"""),"MA Wet Partition")</f>
        <v>MA Wet Partition</v>
      </c>
      <c r="B65" s="57" t="str">
        <f>IFERROR(__xludf.DUMMYFUNCTION("""COMPUTED_VALUE"""),"PK-MA15-PT")</f>
        <v>PK-MA15-PT</v>
      </c>
      <c r="C65" s="60" t="str">
        <f t="shared" si="1"/>
        <v>PK-MA15-PT MA Wet Partition</v>
      </c>
    </row>
    <row r="66" ht="15.75" customHeight="1">
      <c r="A66" s="64" t="str">
        <f>IFERROR(__xludf.DUMMYFUNCTION("""COMPUTED_VALUE"""),"MA Dry Box (532 x 400 x 390) ")</f>
        <v>MA Dry Box (532 x 400 x 390) </v>
      </c>
      <c r="B66" s="57" t="str">
        <f>IFERROR(__xludf.DUMMYFUNCTION("""COMPUTED_VALUE"""),"PK-MA10-BX")</f>
        <v>PK-MA10-BX</v>
      </c>
      <c r="C66" s="60" t="str">
        <f t="shared" si="1"/>
        <v>PK-MA10-BX MA Dry Box (532 x 400 x 390) </v>
      </c>
    </row>
    <row r="67" ht="15.75" customHeight="1">
      <c r="A67" s="64" t="str">
        <f>IFERROR(__xludf.DUMMYFUNCTION("""COMPUTED_VALUE"""),"MA Dry Partition")</f>
        <v>MA Dry Partition</v>
      </c>
      <c r="B67" s="57" t="str">
        <f>IFERROR(__xludf.DUMMYFUNCTION("""COMPUTED_VALUE"""),"PK-MA10-PT")</f>
        <v>PK-MA10-PT</v>
      </c>
      <c r="C67" s="60" t="str">
        <f t="shared" si="1"/>
        <v>PK-MA10-PT MA Dry Partition</v>
      </c>
    </row>
    <row r="68" ht="15.75" customHeight="1">
      <c r="A68" s="64" t="str">
        <f>IFERROR(__xludf.DUMMYFUNCTION("""COMPUTED_VALUE"""),"MA Chutney Box (532 x 400 x 405)")</f>
        <v>MA Chutney Box (532 x 400 x 405)</v>
      </c>
      <c r="B68" s="57" t="str">
        <f>IFERROR(__xludf.DUMMYFUNCTION("""COMPUTED_VALUE"""),"PK-MA04-BX")</f>
        <v>PK-MA04-BX</v>
      </c>
      <c r="C68" s="60" t="str">
        <f t="shared" si="1"/>
        <v>PK-MA04-BX MA Chutney Box (532 x 400 x 405)</v>
      </c>
    </row>
    <row r="69" ht="15.75" customHeight="1">
      <c r="A69" s="64" t="str">
        <f>IFERROR(__xludf.DUMMYFUNCTION("""COMPUTED_VALUE"""),"MA Chutney Partition")</f>
        <v>MA Chutney Partition</v>
      </c>
      <c r="B69" s="57" t="str">
        <f>IFERROR(__xludf.DUMMYFUNCTION("""COMPUTED_VALUE"""),"PK-MA04-PT")</f>
        <v>PK-MA04-PT</v>
      </c>
      <c r="C69" s="60"/>
    </row>
    <row r="70" ht="15.75" customHeight="1">
      <c r="A70" s="64" t="str">
        <f>IFERROR(__xludf.DUMMYFUNCTION("""COMPUTED_VALUE"""),"Plastic Blue Crates")</f>
        <v>Plastic Blue Crates</v>
      </c>
      <c r="B70" s="57" t="str">
        <f>IFERROR(__xludf.DUMMYFUNCTION("""COMPUTED_VALUE"""),"PK-PB-00-00")</f>
        <v>PK-PB-00-00</v>
      </c>
      <c r="C70" s="60"/>
    </row>
    <row r="71" ht="15.75" customHeight="1">
      <c r="A71" s="64" t="str">
        <f>IFERROR(__xludf.DUMMYFUNCTION("""COMPUTED_VALUE"""),"1.0Ltr Tapper Jar Dry (27.50 x 11.50 x 16.5)")</f>
        <v>1.0Ltr Tapper Jar Dry (27.50 x 11.50 x 16.5)</v>
      </c>
      <c r="B71" s="57" t="str">
        <f>IFERROR(__xludf.DUMMYFUNCTION("""COMPUTED_VALUE"""),"PK-TD10-BX")</f>
        <v>PK-TD10-BX</v>
      </c>
      <c r="C71" s="60"/>
    </row>
    <row r="72" ht="15.75" customHeight="1">
      <c r="A72" s="64" t="str">
        <f>IFERROR(__xludf.DUMMYFUNCTION("""COMPUTED_VALUE"""),"1.0Ltr Tapper Jar Dry Partition")</f>
        <v>1.0Ltr Tapper Jar Dry Partition</v>
      </c>
      <c r="B72" s="57" t="str">
        <f>IFERROR(__xludf.DUMMYFUNCTION("""COMPUTED_VALUE"""),"PK-TD10-PT")</f>
        <v>PK-TD10-PT</v>
      </c>
      <c r="C72" s="60"/>
    </row>
    <row r="73" ht="15.75" customHeight="1">
      <c r="A73" s="64" t="str">
        <f>IFERROR(__xludf.DUMMYFUNCTION("""COMPUTED_VALUE"""),"1.5Ltr Tapper Jar Wet (30 x 12.50 x 18)")</f>
        <v>1.5Ltr Tapper Jar Wet (30 x 12.50 x 18)</v>
      </c>
      <c r="B73" s="57" t="str">
        <f>IFERROR(__xludf.DUMMYFUNCTION("""COMPUTED_VALUE"""),"PK-TL15-BX")</f>
        <v>PK-TL15-BX</v>
      </c>
      <c r="C73" s="60"/>
    </row>
    <row r="74" ht="15.75" customHeight="1">
      <c r="A74" s="64" t="str">
        <f>IFERROR(__xludf.DUMMYFUNCTION("""COMPUTED_VALUE"""),"1.5Ltr Tapper Jar Wet Partition")</f>
        <v>1.5Ltr Tapper Jar Wet Partition</v>
      </c>
      <c r="B74" s="57" t="str">
        <f>IFERROR(__xludf.DUMMYFUNCTION("""COMPUTED_VALUE"""),"PK-TL15-PT")</f>
        <v>PK-TL15-PT</v>
      </c>
      <c r="C74" s="60"/>
    </row>
    <row r="75" ht="15.75" customHeight="1">
      <c r="A75" s="64" t="str">
        <f>IFERROR(__xludf.DUMMYFUNCTION("""COMPUTED_VALUE"""),"1.65 Ltr MG Box (650 x 330 x 380)")</f>
        <v>1.65 Ltr MG Box (650 x 330 x 380)</v>
      </c>
      <c r="B75" s="57"/>
      <c r="C75" s="60"/>
    </row>
    <row r="76" ht="15.75" customHeight="1">
      <c r="A76" s="64" t="str">
        <f>IFERROR(__xludf.DUMMYFUNCTION("""COMPUTED_VALUE"""),"1.65 Ltr MG Partition")</f>
        <v>1.65 Ltr MG Partition</v>
      </c>
      <c r="B76" s="57"/>
      <c r="C76" s="60"/>
    </row>
    <row r="77" ht="15.75" customHeight="1">
      <c r="A77" s="64" t="str">
        <f>IFERROR(__xludf.DUMMYFUNCTION("""COMPUTED_VALUE"""),"1.1 Ltr MG Box (592 x 447 x 368)")</f>
        <v>1.1 Ltr MG Box (592 x 447 x 368)</v>
      </c>
      <c r="B77" s="57"/>
      <c r="C77" s="60"/>
    </row>
    <row r="78" ht="15.75" customHeight="1">
      <c r="A78" s="64" t="str">
        <f>IFERROR(__xludf.DUMMYFUNCTION("""COMPUTED_VALUE"""),"1.1 Ltr MG Partition")</f>
        <v>1.1 Ltr MG Partition</v>
      </c>
      <c r="B78" s="57"/>
      <c r="C78" s="60"/>
    </row>
    <row r="79" ht="15.75" customHeight="1">
      <c r="A79" s="64" t="str">
        <f>IFERROR(__xludf.DUMMYFUNCTION("""COMPUTED_VALUE"""),"0.5 Ltr MG Box (592 x 447 x 340)")</f>
        <v>0.5 Ltr MG Box (592 x 447 x 340)</v>
      </c>
      <c r="B79" s="57"/>
      <c r="C79" s="60"/>
    </row>
    <row r="80" ht="15.75" customHeight="1">
      <c r="A80" s="64" t="str">
        <f>IFERROR(__xludf.DUMMYFUNCTION("""COMPUTED_VALUE"""),"0.5 Ltr MG Partition")</f>
        <v>0.5 Ltr MG Partition</v>
      </c>
      <c r="B80" s="57"/>
      <c r="C80" s="60"/>
    </row>
    <row r="81" ht="15.75" customHeight="1">
      <c r="A81" s="64"/>
      <c r="B81" s="57"/>
      <c r="C81" s="60"/>
    </row>
    <row r="82" ht="15.75" customHeight="1">
      <c r="A82" s="64"/>
      <c r="B82" s="57"/>
      <c r="C82" s="60"/>
    </row>
    <row r="83" ht="15.75" customHeight="1">
      <c r="A83" s="64"/>
      <c r="B83" s="57"/>
      <c r="C83" s="60"/>
    </row>
    <row r="84" ht="15.75" customHeight="1">
      <c r="A84" s="64"/>
      <c r="B84" s="57"/>
      <c r="C84" s="60"/>
    </row>
    <row r="85" ht="15.75" customHeight="1">
      <c r="A85" s="64"/>
      <c r="B85" s="57"/>
      <c r="C85" s="60"/>
    </row>
    <row r="86" ht="15.75" customHeight="1">
      <c r="A86" s="64"/>
      <c r="B86" s="57"/>
      <c r="C86" s="60"/>
    </row>
    <row r="87" ht="15.75" customHeight="1">
      <c r="A87" s="64"/>
      <c r="B87" s="57"/>
      <c r="C87" s="60"/>
    </row>
    <row r="88" ht="15.75" customHeight="1">
      <c r="A88" s="64"/>
      <c r="B88" s="57"/>
      <c r="C88" s="60"/>
    </row>
    <row r="89" ht="15.75" customHeight="1">
      <c r="A89" s="64"/>
      <c r="B89" s="57"/>
      <c r="C89" s="60"/>
    </row>
    <row r="90" ht="15.75" customHeight="1">
      <c r="A90" s="64"/>
      <c r="B90" s="57"/>
      <c r="C90" s="60"/>
    </row>
    <row r="91" ht="15.75" customHeight="1">
      <c r="A91" s="64"/>
      <c r="B91" s="57"/>
      <c r="C91" s="60"/>
    </row>
    <row r="92" ht="15.75" customHeight="1">
      <c r="A92" s="64"/>
      <c r="B92" s="57"/>
      <c r="C92" s="60"/>
    </row>
    <row r="93" ht="15.75" customHeight="1">
      <c r="A93" s="64"/>
      <c r="B93" s="57"/>
      <c r="C93" s="60"/>
    </row>
    <row r="94" ht="15.75" customHeight="1">
      <c r="A94" s="64"/>
      <c r="B94" s="57"/>
      <c r="C94" s="60"/>
    </row>
    <row r="95" ht="15.75" customHeight="1">
      <c r="A95" s="64"/>
      <c r="B95" s="57"/>
      <c r="C95" s="60"/>
    </row>
    <row r="96" ht="15.75" customHeight="1">
      <c r="A96" s="64"/>
      <c r="B96" s="57"/>
      <c r="C96" s="60"/>
    </row>
    <row r="97" ht="15.75" customHeight="1">
      <c r="A97" s="64"/>
      <c r="B97" s="57"/>
      <c r="C97" s="60"/>
    </row>
    <row r="98" ht="15.75" customHeight="1">
      <c r="A98" s="64"/>
      <c r="B98" s="57"/>
      <c r="C98" s="60"/>
    </row>
    <row r="99" ht="15.75" customHeight="1">
      <c r="A99" s="64"/>
      <c r="B99" s="57"/>
      <c r="C99" s="60"/>
    </row>
    <row r="100" ht="15.75" customHeight="1">
      <c r="A100" s="64"/>
      <c r="B100" s="57"/>
      <c r="C100" s="60"/>
    </row>
    <row r="101" ht="15.75" customHeight="1">
      <c r="A101" s="64"/>
      <c r="B101" s="57"/>
      <c r="C101" s="60"/>
    </row>
    <row r="102" ht="15.75" customHeight="1">
      <c r="A102" s="64"/>
      <c r="B102" s="57"/>
      <c r="C102" s="60"/>
    </row>
    <row r="103" ht="15.75" customHeight="1">
      <c r="A103" s="64"/>
      <c r="B103" s="57"/>
      <c r="C103" s="60"/>
    </row>
    <row r="104" ht="15.75" customHeight="1">
      <c r="A104" s="64"/>
      <c r="B104" s="57"/>
      <c r="C104" s="60"/>
    </row>
    <row r="105" ht="15.75" customHeight="1">
      <c r="A105" s="64"/>
      <c r="B105" s="57"/>
      <c r="C105" s="60"/>
    </row>
    <row r="106" ht="15.75" customHeight="1">
      <c r="A106" s="64"/>
      <c r="B106" s="57"/>
      <c r="C106" s="60"/>
    </row>
    <row r="107" ht="15.75" customHeight="1">
      <c r="A107" s="64"/>
      <c r="B107" s="57"/>
      <c r="C107" s="60"/>
    </row>
    <row r="108" ht="15.75" customHeight="1">
      <c r="A108" s="64"/>
      <c r="B108" s="57"/>
      <c r="C108" s="60"/>
    </row>
    <row r="109" ht="15.75" customHeight="1">
      <c r="A109" s="64"/>
      <c r="B109" s="57"/>
      <c r="C109" s="60"/>
    </row>
    <row r="110" ht="15.75" customHeight="1">
      <c r="A110" s="64"/>
      <c r="B110" s="57"/>
      <c r="C110" s="60"/>
    </row>
    <row r="111" ht="15.75" customHeight="1">
      <c r="A111" s="64"/>
      <c r="B111" s="57"/>
      <c r="C111" s="60"/>
    </row>
    <row r="112" ht="15.75" customHeight="1">
      <c r="A112" s="64"/>
      <c r="B112" s="57"/>
      <c r="C112" s="60"/>
    </row>
    <row r="113" ht="15.75" customHeight="1">
      <c r="A113" s="64"/>
      <c r="B113" s="57"/>
      <c r="C113" s="60"/>
    </row>
    <row r="114" ht="15.75" customHeight="1">
      <c r="A114" s="64"/>
      <c r="B114" s="57"/>
      <c r="C114" s="60"/>
    </row>
    <row r="115" ht="15.75" customHeight="1">
      <c r="A115" s="64"/>
      <c r="B115" s="57"/>
      <c r="C115" s="60"/>
    </row>
    <row r="116" ht="15.75" customHeight="1">
      <c r="A116" s="64"/>
      <c r="B116" s="57"/>
      <c r="C116" s="60"/>
    </row>
    <row r="117" ht="15.75" customHeight="1">
      <c r="A117" s="64"/>
      <c r="B117" s="57"/>
      <c r="C117" s="60"/>
    </row>
    <row r="118" ht="15.75" customHeight="1">
      <c r="A118" s="64"/>
      <c r="B118" s="57"/>
      <c r="C118" s="60"/>
    </row>
    <row r="119" ht="15.75" customHeight="1">
      <c r="A119" s="64"/>
      <c r="B119" s="57"/>
      <c r="C119" s="60"/>
    </row>
    <row r="120" ht="15.75" customHeight="1">
      <c r="A120" s="64"/>
      <c r="B120" s="57"/>
      <c r="C120" s="60"/>
    </row>
    <row r="121" ht="15.75" customHeight="1">
      <c r="A121" s="64"/>
      <c r="B121" s="57"/>
      <c r="C121" s="60"/>
    </row>
    <row r="122" ht="15.75" customHeight="1">
      <c r="A122" s="64"/>
      <c r="B122" s="57"/>
      <c r="C122" s="60"/>
    </row>
    <row r="123" ht="15.75" customHeight="1">
      <c r="A123" s="64"/>
      <c r="B123" s="57"/>
      <c r="C123" s="60"/>
    </row>
    <row r="124" ht="15.75" customHeight="1">
      <c r="A124" s="64"/>
      <c r="B124" s="57"/>
      <c r="C124" s="60"/>
    </row>
    <row r="125" ht="15.75" customHeight="1">
      <c r="A125" s="64"/>
      <c r="B125" s="57"/>
      <c r="C125" s="60"/>
    </row>
    <row r="126" ht="15.75" customHeight="1">
      <c r="A126" s="64"/>
      <c r="B126" s="57"/>
      <c r="C126" s="60"/>
    </row>
    <row r="127" ht="15.75" customHeight="1">
      <c r="A127" s="64"/>
      <c r="B127" s="57"/>
      <c r="C127" s="60"/>
    </row>
    <row r="128" ht="15.75" customHeight="1">
      <c r="A128" s="64"/>
      <c r="B128" s="57"/>
      <c r="C128" s="60"/>
    </row>
    <row r="129" ht="15.75" customHeight="1">
      <c r="A129" s="64"/>
      <c r="B129" s="57"/>
      <c r="C129" s="60"/>
    </row>
    <row r="130" ht="15.75" customHeight="1">
      <c r="A130" s="64"/>
      <c r="B130" s="57"/>
      <c r="C130" s="60"/>
    </row>
    <row r="131" ht="15.75" customHeight="1">
      <c r="A131" s="64"/>
      <c r="B131" s="57"/>
      <c r="C131" s="60"/>
    </row>
    <row r="132" ht="15.75" customHeight="1">
      <c r="A132" s="64"/>
      <c r="B132" s="57"/>
      <c r="C132" s="60"/>
    </row>
    <row r="133" ht="15.75" customHeight="1">
      <c r="A133" s="64"/>
      <c r="B133" s="57"/>
      <c r="C133" s="60"/>
    </row>
    <row r="134" ht="15.75" customHeight="1">
      <c r="A134" s="64"/>
      <c r="B134" s="57"/>
      <c r="C134" s="60"/>
    </row>
    <row r="135" ht="15.75" customHeight="1">
      <c r="A135" s="64"/>
      <c r="B135" s="57"/>
      <c r="C135" s="60"/>
    </row>
    <row r="136" ht="15.75" customHeight="1">
      <c r="A136" s="64"/>
      <c r="B136" s="57"/>
      <c r="C136" s="60"/>
    </row>
    <row r="137" ht="15.75" customHeight="1">
      <c r="A137" s="64"/>
      <c r="B137" s="57"/>
      <c r="C137" s="60"/>
    </row>
    <row r="138" ht="15.75" customHeight="1">
      <c r="A138" s="64"/>
      <c r="B138" s="57"/>
      <c r="C138" s="60"/>
    </row>
    <row r="139" ht="15.75" customHeight="1">
      <c r="A139" s="64"/>
      <c r="B139" s="57"/>
      <c r="C139" s="60"/>
    </row>
    <row r="140" ht="15.75" customHeight="1">
      <c r="A140" s="64"/>
      <c r="B140" s="57"/>
      <c r="C140" s="60"/>
    </row>
    <row r="141" ht="15.75" customHeight="1">
      <c r="A141" s="64"/>
      <c r="B141" s="57"/>
      <c r="C141" s="60"/>
    </row>
    <row r="142" ht="15.75" customHeight="1">
      <c r="A142" s="64"/>
      <c r="B142" s="57"/>
      <c r="C142" s="60"/>
    </row>
    <row r="143" ht="15.75" customHeight="1">
      <c r="A143" s="64"/>
      <c r="B143" s="57"/>
      <c r="C143" s="60"/>
    </row>
    <row r="144" ht="15.75" customHeight="1">
      <c r="A144" s="64"/>
      <c r="B144" s="57"/>
      <c r="C144" s="60"/>
    </row>
    <row r="145" ht="15.75" customHeight="1">
      <c r="A145" s="64"/>
      <c r="B145" s="57"/>
      <c r="C145" s="60"/>
    </row>
    <row r="146" ht="15.75" customHeight="1">
      <c r="A146" s="64"/>
      <c r="B146" s="57"/>
      <c r="C146" s="60"/>
    </row>
    <row r="147" ht="15.75" customHeight="1">
      <c r="A147" s="64"/>
      <c r="B147" s="57"/>
      <c r="C147" s="60"/>
    </row>
    <row r="148" ht="15.75" customHeight="1">
      <c r="A148" s="64"/>
      <c r="B148" s="57"/>
      <c r="C148" s="60"/>
    </row>
    <row r="149" ht="15.75" customHeight="1">
      <c r="A149" s="64"/>
      <c r="B149" s="57"/>
      <c r="C149" s="60"/>
    </row>
    <row r="150" ht="15.75" customHeight="1">
      <c r="A150" s="64"/>
      <c r="B150" s="57"/>
      <c r="C150" s="60"/>
    </row>
    <row r="151" ht="15.75" customHeight="1">
      <c r="A151" s="64"/>
      <c r="B151" s="57"/>
      <c r="C151" s="60"/>
    </row>
    <row r="152" ht="15.75" customHeight="1">
      <c r="A152" s="64"/>
      <c r="B152" s="57"/>
      <c r="C152" s="60"/>
    </row>
    <row r="153" ht="15.75" customHeight="1">
      <c r="A153" s="64"/>
      <c r="B153" s="57"/>
      <c r="C153" s="60"/>
    </row>
    <row r="154" ht="15.75" customHeight="1">
      <c r="A154" s="64"/>
      <c r="B154" s="57"/>
      <c r="C154" s="60"/>
    </row>
    <row r="155" ht="15.75" customHeight="1">
      <c r="A155" s="64"/>
      <c r="B155" s="57"/>
      <c r="C155" s="60"/>
    </row>
    <row r="156" ht="15.75" customHeight="1">
      <c r="A156" s="64"/>
      <c r="B156" s="57"/>
      <c r="C156" s="60"/>
    </row>
    <row r="157" ht="15.75" customHeight="1">
      <c r="A157" s="64"/>
      <c r="B157" s="57"/>
      <c r="C157" s="60"/>
    </row>
    <row r="158" ht="15.75" customHeight="1">
      <c r="A158" s="64"/>
      <c r="B158" s="57"/>
      <c r="C158" s="60"/>
    </row>
    <row r="159" ht="15.75" customHeight="1">
      <c r="A159" s="64"/>
      <c r="B159" s="57"/>
      <c r="C159" s="60"/>
    </row>
    <row r="160" ht="15.75" customHeight="1">
      <c r="A160" s="64"/>
      <c r="B160" s="57"/>
      <c r="C160" s="60"/>
    </row>
    <row r="161" ht="15.75" customHeight="1">
      <c r="A161" s="64"/>
      <c r="B161" s="57"/>
      <c r="C161" s="60"/>
    </row>
    <row r="162" ht="15.75" customHeight="1">
      <c r="A162" s="64"/>
      <c r="B162" s="57"/>
      <c r="C162" s="60"/>
    </row>
    <row r="163" ht="15.75" customHeight="1">
      <c r="A163" s="64"/>
      <c r="B163" s="57"/>
      <c r="C163" s="60"/>
    </row>
    <row r="164" ht="15.75" customHeight="1">
      <c r="A164" s="64"/>
      <c r="B164" s="57"/>
      <c r="C164" s="60"/>
    </row>
    <row r="165" ht="15.75" customHeight="1">
      <c r="A165" s="64"/>
      <c r="B165" s="57"/>
      <c r="C165" s="60"/>
    </row>
    <row r="166" ht="15.75" customHeight="1">
      <c r="A166" s="64"/>
      <c r="B166" s="57"/>
      <c r="C166" s="60"/>
    </row>
    <row r="167" ht="15.75" customHeight="1">
      <c r="A167" s="64"/>
      <c r="B167" s="57"/>
      <c r="C167" s="60"/>
    </row>
    <row r="168" ht="15.75" customHeight="1">
      <c r="A168" s="64"/>
      <c r="B168" s="57"/>
      <c r="C168" s="60"/>
    </row>
    <row r="169" ht="15.75" customHeight="1">
      <c r="A169" s="64"/>
      <c r="B169" s="57"/>
      <c r="C169" s="60"/>
    </row>
    <row r="170" ht="15.75" customHeight="1">
      <c r="A170" s="64"/>
      <c r="B170" s="57"/>
      <c r="C170" s="60"/>
    </row>
    <row r="171" ht="15.75" customHeight="1">
      <c r="A171" s="64"/>
      <c r="B171" s="57"/>
      <c r="C171" s="60"/>
    </row>
    <row r="172" ht="15.75" customHeight="1">
      <c r="A172" s="64"/>
      <c r="B172" s="57"/>
      <c r="C172" s="60"/>
    </row>
    <row r="173" ht="15.75" customHeight="1">
      <c r="A173" s="64"/>
      <c r="B173" s="57"/>
      <c r="C173" s="60"/>
    </row>
    <row r="174" ht="15.75" customHeight="1">
      <c r="A174" s="64"/>
      <c r="B174" s="57"/>
      <c r="C174" s="60"/>
    </row>
    <row r="175" ht="15.75" customHeight="1">
      <c r="A175" s="64"/>
      <c r="B175" s="57"/>
      <c r="C175" s="60"/>
    </row>
    <row r="176" ht="15.75" customHeight="1">
      <c r="A176" s="64"/>
      <c r="B176" s="57"/>
      <c r="C176" s="60"/>
    </row>
    <row r="177" ht="15.75" customHeight="1">
      <c r="A177" s="64"/>
      <c r="B177" s="57"/>
      <c r="C177" s="60"/>
    </row>
    <row r="178" ht="15.75" customHeight="1">
      <c r="A178" s="64"/>
      <c r="B178" s="57"/>
      <c r="C178" s="60"/>
    </row>
    <row r="179" ht="15.75" customHeight="1">
      <c r="A179" s="64"/>
      <c r="B179" s="57"/>
      <c r="C179" s="60"/>
    </row>
    <row r="180" ht="15.75" customHeight="1">
      <c r="A180" s="64"/>
      <c r="B180" s="57"/>
      <c r="C180" s="60"/>
    </row>
    <row r="181" ht="15.75" customHeight="1">
      <c r="A181" s="64"/>
      <c r="B181" s="57"/>
      <c r="C181" s="60"/>
    </row>
    <row r="182" ht="15.75" customHeight="1">
      <c r="A182" s="64"/>
      <c r="B182" s="57"/>
      <c r="C182" s="60"/>
    </row>
    <row r="183" ht="15.75" customHeight="1">
      <c r="A183" s="64"/>
      <c r="B183" s="57"/>
      <c r="C183" s="60"/>
    </row>
    <row r="184" ht="15.75" customHeight="1">
      <c r="A184" s="64"/>
      <c r="B184" s="57"/>
      <c r="C184" s="60"/>
    </row>
    <row r="185" ht="15.75" customHeight="1">
      <c r="A185" s="64"/>
      <c r="B185" s="57"/>
      <c r="C185" s="60"/>
    </row>
    <row r="186" ht="15.75" customHeight="1">
      <c r="A186" s="64"/>
      <c r="B186" s="57"/>
      <c r="C186" s="60"/>
    </row>
    <row r="187" ht="15.75" customHeight="1">
      <c r="A187" s="64"/>
      <c r="B187" s="57"/>
      <c r="C187" s="60"/>
    </row>
    <row r="188" ht="15.75" customHeight="1">
      <c r="A188" s="64"/>
      <c r="B188" s="57"/>
      <c r="C188" s="60"/>
    </row>
    <row r="189" ht="15.75" customHeight="1">
      <c r="A189" s="64"/>
      <c r="B189" s="57"/>
      <c r="C189" s="60"/>
    </row>
    <row r="190" ht="15.75" customHeight="1">
      <c r="A190" s="64"/>
      <c r="B190" s="57"/>
      <c r="C190" s="60"/>
    </row>
    <row r="191" ht="15.75" customHeight="1">
      <c r="A191" s="64"/>
      <c r="B191" s="57"/>
      <c r="C191" s="60"/>
    </row>
    <row r="192" ht="15.75" customHeight="1">
      <c r="A192" s="64"/>
      <c r="B192" s="57"/>
      <c r="C192" s="60"/>
    </row>
    <row r="193" ht="15.75" customHeight="1">
      <c r="A193" s="64"/>
      <c r="B193" s="57"/>
      <c r="C193" s="60"/>
    </row>
    <row r="194" ht="15.75" customHeight="1">
      <c r="A194" s="64"/>
      <c r="B194" s="57"/>
      <c r="C194" s="60"/>
    </row>
    <row r="195" ht="15.75" customHeight="1">
      <c r="A195" s="64"/>
      <c r="B195" s="57"/>
      <c r="C195" s="60"/>
    </row>
    <row r="196" ht="15.75" customHeight="1">
      <c r="A196" s="64"/>
      <c r="B196" s="57"/>
      <c r="C196" s="60"/>
    </row>
    <row r="197" ht="15.75" customHeight="1">
      <c r="A197" s="64"/>
      <c r="B197" s="57"/>
      <c r="C197" s="60"/>
    </row>
    <row r="198" ht="15.75" customHeight="1">
      <c r="A198" s="64"/>
      <c r="B198" s="57"/>
      <c r="C198" s="60"/>
    </row>
    <row r="199" ht="15.75" customHeight="1">
      <c r="A199" s="64"/>
      <c r="B199" s="57"/>
      <c r="C199" s="60"/>
    </row>
    <row r="200" ht="15.75" customHeight="1">
      <c r="A200" s="44"/>
      <c r="B200" s="61"/>
      <c r="C200" s="60"/>
    </row>
    <row r="201" ht="15.75" customHeight="1">
      <c r="A201" s="44"/>
      <c r="B201" s="61"/>
      <c r="C201" s="60"/>
    </row>
    <row r="202" ht="15.75" customHeight="1">
      <c r="A202" s="44"/>
      <c r="B202" s="61"/>
      <c r="C202" s="60"/>
    </row>
    <row r="203" ht="15.75" customHeight="1">
      <c r="A203" s="44"/>
      <c r="B203" s="61"/>
      <c r="C203" s="60"/>
    </row>
    <row r="204" ht="15.75" customHeight="1">
      <c r="A204" s="44"/>
      <c r="B204" s="61"/>
      <c r="C204" s="60"/>
    </row>
    <row r="205" ht="15.75" customHeight="1">
      <c r="A205" s="44"/>
      <c r="B205" s="61"/>
      <c r="C205" s="60"/>
    </row>
    <row r="206" ht="15.75" customHeight="1">
      <c r="A206" s="44"/>
      <c r="B206" s="61"/>
      <c r="C206" s="60"/>
    </row>
    <row r="207" ht="15.75" customHeight="1">
      <c r="A207" s="44"/>
      <c r="B207" s="61"/>
      <c r="C207" s="60"/>
    </row>
    <row r="208" ht="15.75" customHeight="1">
      <c r="A208" s="44"/>
      <c r="B208" s="61"/>
      <c r="C208" s="60"/>
    </row>
    <row r="209" ht="15.75" customHeight="1">
      <c r="A209" s="44"/>
      <c r="B209" s="61"/>
      <c r="C209" s="60"/>
    </row>
    <row r="210" ht="15.75" customHeight="1">
      <c r="A210" s="44"/>
      <c r="B210" s="61"/>
      <c r="C210" s="60"/>
    </row>
    <row r="211" ht="15.75" customHeight="1">
      <c r="A211" s="44"/>
      <c r="B211" s="61"/>
      <c r="C211" s="60"/>
    </row>
    <row r="212" ht="15.75" customHeight="1">
      <c r="A212" s="44"/>
      <c r="B212" s="61"/>
      <c r="C212" s="60"/>
    </row>
    <row r="213" ht="15.75" customHeight="1">
      <c r="A213" s="44"/>
      <c r="B213" s="61"/>
      <c r="C213" s="60"/>
    </row>
    <row r="214" ht="15.75" customHeight="1">
      <c r="A214" s="44"/>
      <c r="B214" s="61"/>
      <c r="C214" s="60"/>
    </row>
    <row r="215" ht="15.75" customHeight="1">
      <c r="A215" s="44"/>
      <c r="B215" s="61"/>
      <c r="C215" s="60"/>
    </row>
    <row r="216" ht="15.75" customHeight="1">
      <c r="A216" s="44"/>
      <c r="B216" s="61"/>
      <c r="C216" s="60"/>
    </row>
    <row r="217" ht="15.75" customHeight="1">
      <c r="A217" s="44"/>
      <c r="B217" s="61"/>
      <c r="C217" s="60"/>
    </row>
    <row r="218" ht="15.75" customHeight="1">
      <c r="A218" s="44"/>
      <c r="B218" s="61"/>
      <c r="C218" s="60"/>
    </row>
    <row r="219" ht="15.75" customHeight="1">
      <c r="A219" s="44"/>
      <c r="B219" s="61"/>
      <c r="C219" s="60"/>
    </row>
    <row r="220" ht="15.75" customHeight="1">
      <c r="A220" s="44"/>
      <c r="B220" s="61"/>
      <c r="C220" s="60"/>
    </row>
    <row r="221" ht="15.75" customHeight="1">
      <c r="A221" s="44"/>
      <c r="B221" s="61"/>
      <c r="C221" s="60"/>
    </row>
    <row r="222" ht="15.75" customHeight="1">
      <c r="A222" s="44"/>
      <c r="B222" s="61"/>
      <c r="C222" s="60"/>
    </row>
    <row r="223" ht="15.75" customHeight="1">
      <c r="A223" s="44"/>
      <c r="B223" s="61"/>
      <c r="C223" s="60"/>
    </row>
    <row r="224" ht="15.75" customHeight="1">
      <c r="A224" s="44"/>
      <c r="B224" s="61"/>
      <c r="C224" s="60"/>
    </row>
    <row r="225" ht="15.75" customHeight="1">
      <c r="A225" s="44"/>
      <c r="B225" s="61"/>
      <c r="C225" s="60"/>
    </row>
    <row r="226" ht="15.75" customHeight="1">
      <c r="A226" s="44"/>
      <c r="B226" s="61"/>
      <c r="C226" s="60"/>
    </row>
    <row r="227" ht="15.75" customHeight="1">
      <c r="A227" s="44"/>
      <c r="B227" s="61"/>
      <c r="C227" s="60"/>
    </row>
    <row r="228" ht="15.75" customHeight="1">
      <c r="A228" s="44"/>
      <c r="B228" s="61"/>
      <c r="C228" s="60"/>
    </row>
    <row r="229" ht="15.75" customHeight="1">
      <c r="A229" s="44"/>
      <c r="B229" s="61"/>
      <c r="C229" s="60"/>
    </row>
    <row r="230" ht="15.75" customHeight="1">
      <c r="A230" s="44"/>
      <c r="B230" s="61"/>
      <c r="C230" s="60"/>
    </row>
    <row r="231" ht="15.75" customHeight="1">
      <c r="A231" s="44"/>
      <c r="B231" s="61"/>
      <c r="C231" s="60"/>
    </row>
    <row r="232" ht="15.75" customHeight="1">
      <c r="A232" s="44"/>
      <c r="B232" s="61"/>
      <c r="C232" s="60"/>
    </row>
    <row r="233" ht="15.75" customHeight="1">
      <c r="A233" s="44"/>
      <c r="B233" s="61"/>
      <c r="C233" s="60"/>
    </row>
    <row r="234" ht="15.75" customHeight="1">
      <c r="A234" s="44"/>
      <c r="B234" s="61"/>
      <c r="C234" s="60"/>
    </row>
    <row r="235" ht="15.75" customHeight="1">
      <c r="A235" s="44"/>
      <c r="B235" s="61"/>
      <c r="C235" s="60"/>
    </row>
    <row r="236" ht="15.75" customHeight="1">
      <c r="A236" s="44"/>
      <c r="B236" s="61"/>
      <c r="C236" s="60"/>
    </row>
    <row r="237" ht="15.75" customHeight="1">
      <c r="A237" s="44"/>
      <c r="B237" s="61"/>
      <c r="C237" s="60"/>
    </row>
    <row r="238" ht="15.75" customHeight="1">
      <c r="A238" s="44"/>
      <c r="B238" s="61"/>
      <c r="C238" s="60"/>
    </row>
    <row r="239" ht="15.75" customHeight="1">
      <c r="A239" s="44"/>
      <c r="B239" s="61"/>
      <c r="C239" s="60"/>
    </row>
    <row r="240" ht="15.75" customHeight="1">
      <c r="A240" s="44"/>
      <c r="B240" s="61"/>
      <c r="C240" s="60"/>
    </row>
    <row r="241" ht="15.75" customHeight="1">
      <c r="A241" s="44"/>
      <c r="B241" s="61"/>
      <c r="C241" s="60"/>
    </row>
    <row r="242" ht="15.75" customHeight="1">
      <c r="A242" s="44"/>
      <c r="B242" s="61"/>
      <c r="C242" s="60"/>
    </row>
    <row r="243" ht="15.75" customHeight="1">
      <c r="A243" s="44"/>
      <c r="B243" s="61"/>
      <c r="C243" s="60"/>
    </row>
    <row r="244" ht="15.75" customHeight="1">
      <c r="A244" s="44"/>
      <c r="B244" s="61"/>
      <c r="C244" s="60"/>
    </row>
    <row r="245" ht="15.75" customHeight="1">
      <c r="A245" s="44"/>
      <c r="B245" s="61"/>
      <c r="C245" s="60"/>
    </row>
    <row r="246" ht="15.75" customHeight="1">
      <c r="A246" s="44"/>
      <c r="B246" s="61"/>
      <c r="C246" s="60"/>
    </row>
    <row r="247" ht="15.75" customHeight="1">
      <c r="A247" s="44"/>
      <c r="B247" s="61"/>
      <c r="C247" s="60"/>
    </row>
    <row r="248" ht="15.75" customHeight="1">
      <c r="A248" s="44"/>
      <c r="B248" s="61"/>
      <c r="C248" s="60"/>
    </row>
    <row r="249" ht="15.75" customHeight="1">
      <c r="A249" s="44"/>
      <c r="B249" s="61"/>
      <c r="C249" s="60"/>
    </row>
    <row r="250" ht="15.75" customHeight="1">
      <c r="A250" s="44"/>
      <c r="B250" s="61"/>
      <c r="C250" s="60"/>
    </row>
    <row r="251" ht="15.75" customHeight="1">
      <c r="A251" s="44"/>
      <c r="B251" s="61"/>
      <c r="C251" s="60"/>
    </row>
    <row r="252" ht="15.75" customHeight="1">
      <c r="A252" s="44"/>
      <c r="B252" s="61"/>
      <c r="C252" s="60"/>
    </row>
    <row r="253" ht="15.75" customHeight="1">
      <c r="A253" s="44"/>
      <c r="B253" s="61"/>
      <c r="C253" s="60"/>
    </row>
    <row r="254" ht="15.75" customHeight="1">
      <c r="A254" s="44"/>
      <c r="B254" s="61"/>
      <c r="C254" s="60"/>
    </row>
    <row r="255" ht="15.75" customHeight="1">
      <c r="A255" s="44"/>
      <c r="B255" s="61"/>
      <c r="C255" s="60"/>
    </row>
    <row r="256" ht="15.75" customHeight="1">
      <c r="A256" s="44"/>
      <c r="B256" s="61"/>
      <c r="C256" s="60"/>
    </row>
    <row r="257" ht="15.75" customHeight="1">
      <c r="A257" s="44"/>
      <c r="B257" s="61"/>
      <c r="C257" s="60"/>
    </row>
    <row r="258" ht="15.75" customHeight="1">
      <c r="A258" s="44"/>
      <c r="B258" s="61"/>
      <c r="C258" s="60"/>
    </row>
    <row r="259" ht="15.75" customHeight="1">
      <c r="A259" s="44"/>
      <c r="B259" s="61"/>
      <c r="C259" s="60"/>
    </row>
    <row r="260" ht="15.75" customHeight="1">
      <c r="A260" s="44"/>
      <c r="B260" s="61"/>
      <c r="C260" s="60"/>
    </row>
    <row r="261" ht="15.75" customHeight="1">
      <c r="A261" s="44"/>
      <c r="B261" s="61"/>
      <c r="C261" s="60"/>
    </row>
    <row r="262" ht="15.75" customHeight="1">
      <c r="A262" s="44"/>
      <c r="B262" s="61"/>
      <c r="C262" s="60"/>
    </row>
    <row r="263" ht="15.75" customHeight="1">
      <c r="A263" s="44"/>
      <c r="B263" s="61"/>
      <c r="C263" s="60"/>
    </row>
    <row r="264" ht="15.75" customHeight="1">
      <c r="A264" s="44"/>
      <c r="B264" s="61"/>
      <c r="C264" s="60"/>
    </row>
    <row r="265" ht="15.75" customHeight="1">
      <c r="A265" s="44"/>
      <c r="B265" s="61"/>
      <c r="C265" s="60"/>
    </row>
    <row r="266" ht="15.75" customHeight="1">
      <c r="A266" s="44"/>
      <c r="B266" s="61"/>
      <c r="C266" s="60"/>
    </row>
    <row r="267" ht="15.75" customHeight="1">
      <c r="A267" s="44"/>
      <c r="B267" s="61"/>
      <c r="C267" s="60"/>
    </row>
    <row r="268" ht="15.75" customHeight="1">
      <c r="A268" s="44"/>
      <c r="B268" s="61"/>
      <c r="C268" s="60"/>
    </row>
    <row r="269" ht="15.75" customHeight="1">
      <c r="A269" s="44"/>
      <c r="B269" s="61"/>
      <c r="C269" s="60"/>
    </row>
    <row r="270" ht="15.75" customHeight="1">
      <c r="A270" s="44"/>
      <c r="B270" s="61"/>
      <c r="C270" s="60"/>
    </row>
    <row r="271" ht="15.75" customHeight="1">
      <c r="A271" s="44"/>
      <c r="B271" s="61"/>
      <c r="C271" s="60"/>
    </row>
    <row r="272" ht="15.75" customHeight="1">
      <c r="A272" s="44"/>
      <c r="B272" s="61"/>
      <c r="C272" s="60"/>
    </row>
    <row r="273" ht="15.75" customHeight="1">
      <c r="A273" s="44"/>
      <c r="B273" s="61"/>
      <c r="C273" s="60"/>
    </row>
    <row r="274" ht="15.75" customHeight="1">
      <c r="A274" s="44"/>
      <c r="B274" s="61"/>
      <c r="C274" s="60"/>
    </row>
    <row r="275" ht="15.75" customHeight="1">
      <c r="A275" s="44"/>
      <c r="B275" s="61"/>
      <c r="C275" s="60"/>
    </row>
    <row r="276" ht="15.75" customHeight="1">
      <c r="A276" s="44"/>
      <c r="B276" s="61"/>
      <c r="C276" s="60"/>
    </row>
    <row r="277" ht="15.75" customHeight="1">
      <c r="A277" s="44"/>
      <c r="B277" s="61"/>
      <c r="C277" s="60"/>
    </row>
    <row r="278" ht="15.75" customHeight="1">
      <c r="A278" s="44"/>
      <c r="B278" s="61"/>
      <c r="C278" s="60"/>
    </row>
    <row r="279" ht="15.75" customHeight="1">
      <c r="A279" s="44"/>
      <c r="B279" s="61"/>
      <c r="C279" s="60"/>
    </row>
    <row r="280" ht="15.75" customHeight="1">
      <c r="A280" s="44"/>
      <c r="B280" s="61"/>
      <c r="C280" s="60"/>
    </row>
    <row r="281" ht="15.75" customHeight="1">
      <c r="A281" s="44"/>
      <c r="B281" s="61"/>
      <c r="C281" s="60"/>
    </row>
    <row r="282" ht="15.75" customHeight="1">
      <c r="A282" s="44"/>
      <c r="B282" s="61"/>
      <c r="C282" s="60"/>
    </row>
    <row r="283" ht="15.75" customHeight="1">
      <c r="A283" s="44"/>
      <c r="B283" s="61"/>
      <c r="C283" s="60"/>
    </row>
    <row r="284" ht="15.75" customHeight="1">
      <c r="A284" s="44"/>
      <c r="B284" s="61"/>
      <c r="C284" s="60"/>
    </row>
    <row r="285" ht="15.75" customHeight="1">
      <c r="A285" s="44"/>
      <c r="B285" s="61"/>
      <c r="C285" s="60"/>
    </row>
    <row r="286" ht="15.75" customHeight="1">
      <c r="A286" s="44"/>
      <c r="B286" s="61"/>
      <c r="C286" s="60"/>
    </row>
    <row r="287" ht="15.75" customHeight="1">
      <c r="A287" s="44"/>
      <c r="B287" s="61"/>
      <c r="C287" s="60"/>
    </row>
    <row r="288" ht="15.75" customHeight="1">
      <c r="A288" s="44"/>
      <c r="B288" s="61"/>
      <c r="C288" s="60"/>
    </row>
    <row r="289" ht="15.75" customHeight="1">
      <c r="A289" s="44"/>
      <c r="B289" s="61"/>
      <c r="C289" s="60"/>
    </row>
    <row r="290" ht="15.75" customHeight="1">
      <c r="A290" s="44"/>
      <c r="B290" s="61"/>
      <c r="C290" s="60"/>
    </row>
    <row r="291" ht="15.75" customHeight="1">
      <c r="A291" s="44"/>
      <c r="B291" s="61"/>
      <c r="C291" s="60"/>
    </row>
    <row r="292" ht="15.75" customHeight="1">
      <c r="A292" s="44"/>
      <c r="B292" s="61"/>
      <c r="C292" s="60"/>
    </row>
    <row r="293" ht="15.75" customHeight="1">
      <c r="A293" s="44"/>
      <c r="B293" s="61"/>
      <c r="C293" s="60"/>
    </row>
    <row r="294" ht="15.75" customHeight="1">
      <c r="A294" s="44"/>
      <c r="B294" s="61"/>
      <c r="C294" s="60"/>
    </row>
    <row r="295" ht="15.75" customHeight="1">
      <c r="A295" s="44"/>
      <c r="B295" s="61"/>
      <c r="C295" s="60"/>
    </row>
    <row r="296" ht="15.75" customHeight="1">
      <c r="A296" s="44"/>
      <c r="B296" s="61"/>
      <c r="C296" s="60"/>
    </row>
    <row r="297" ht="15.75" customHeight="1">
      <c r="A297" s="44"/>
      <c r="B297" s="61"/>
      <c r="C297" s="60"/>
    </row>
    <row r="298" ht="15.75" customHeight="1">
      <c r="A298" s="44"/>
      <c r="B298" s="61"/>
      <c r="C298" s="60"/>
    </row>
    <row r="299" ht="15.75" customHeight="1">
      <c r="A299" s="44"/>
      <c r="B299" s="61"/>
      <c r="C299" s="60"/>
    </row>
    <row r="300" ht="15.75" customHeight="1">
      <c r="A300" s="44"/>
      <c r="B300" s="61"/>
      <c r="C300" s="60"/>
    </row>
    <row r="301" ht="15.75" customHeight="1">
      <c r="A301" s="44"/>
      <c r="B301" s="61"/>
      <c r="C301" s="60"/>
    </row>
    <row r="302" ht="15.75" customHeight="1">
      <c r="A302" s="44"/>
      <c r="B302" s="61"/>
      <c r="C302" s="60"/>
    </row>
    <row r="303" ht="15.75" customHeight="1">
      <c r="A303" s="44"/>
      <c r="B303" s="61"/>
      <c r="C303" s="60"/>
    </row>
    <row r="304" ht="15.75" customHeight="1">
      <c r="A304" s="44"/>
      <c r="B304" s="61"/>
      <c r="C304" s="60"/>
    </row>
    <row r="305" ht="15.75" customHeight="1">
      <c r="A305" s="44"/>
      <c r="B305" s="61"/>
      <c r="C305" s="60"/>
    </row>
    <row r="306" ht="15.75" customHeight="1">
      <c r="A306" s="44"/>
      <c r="B306" s="61"/>
      <c r="C306" s="60"/>
    </row>
    <row r="307" ht="15.75" customHeight="1">
      <c r="A307" s="44"/>
      <c r="B307" s="61"/>
      <c r="C307" s="60"/>
    </row>
    <row r="308" ht="15.75" customHeight="1">
      <c r="A308" s="44"/>
      <c r="B308" s="61"/>
      <c r="C308" s="60"/>
    </row>
    <row r="309" ht="15.75" customHeight="1">
      <c r="A309" s="44"/>
      <c r="B309" s="61"/>
      <c r="C309" s="60"/>
    </row>
    <row r="310" ht="15.75" customHeight="1">
      <c r="A310" s="44"/>
      <c r="B310" s="61"/>
      <c r="C310" s="60"/>
    </row>
    <row r="311" ht="15.75" customHeight="1">
      <c r="A311" s="44"/>
      <c r="B311" s="61"/>
      <c r="C311" s="60"/>
    </row>
    <row r="312" ht="15.75" customHeight="1">
      <c r="A312" s="44"/>
      <c r="B312" s="61"/>
      <c r="C312" s="60"/>
    </row>
    <row r="313" ht="15.75" customHeight="1">
      <c r="A313" s="44"/>
      <c r="B313" s="61"/>
      <c r="C313" s="60"/>
    </row>
    <row r="314" ht="15.75" customHeight="1">
      <c r="A314" s="44"/>
      <c r="B314" s="61"/>
      <c r="C314" s="60"/>
    </row>
    <row r="315" ht="15.75" customHeight="1">
      <c r="A315" s="44"/>
      <c r="B315" s="61"/>
      <c r="C315" s="60"/>
    </row>
    <row r="316" ht="15.75" customHeight="1">
      <c r="A316" s="44"/>
      <c r="B316" s="61"/>
      <c r="C316" s="60"/>
    </row>
    <row r="317" ht="15.75" customHeight="1">
      <c r="A317" s="44"/>
      <c r="B317" s="61"/>
      <c r="C317" s="60"/>
    </row>
    <row r="318" ht="15.75" customHeight="1">
      <c r="A318" s="44"/>
      <c r="B318" s="61"/>
      <c r="C318" s="60"/>
    </row>
    <row r="319" ht="15.75" customHeight="1">
      <c r="A319" s="44"/>
      <c r="B319" s="61"/>
      <c r="C319" s="60"/>
    </row>
    <row r="320" ht="15.75" customHeight="1">
      <c r="A320" s="44"/>
      <c r="B320" s="61"/>
      <c r="C320" s="60"/>
    </row>
    <row r="321" ht="15.75" customHeight="1">
      <c r="A321" s="44"/>
      <c r="B321" s="61"/>
      <c r="C321" s="60"/>
    </row>
    <row r="322" ht="15.75" customHeight="1">
      <c r="A322" s="44"/>
      <c r="B322" s="61"/>
      <c r="C322" s="60"/>
    </row>
    <row r="323" ht="15.75" customHeight="1">
      <c r="A323" s="44"/>
      <c r="B323" s="61"/>
      <c r="C323" s="60"/>
    </row>
    <row r="324" ht="15.75" customHeight="1">
      <c r="A324" s="44"/>
      <c r="B324" s="61"/>
      <c r="C324" s="60"/>
    </row>
    <row r="325" ht="15.75" customHeight="1">
      <c r="A325" s="44"/>
      <c r="B325" s="61"/>
      <c r="C325" s="60"/>
    </row>
    <row r="326" ht="15.75" customHeight="1">
      <c r="A326" s="44"/>
      <c r="B326" s="61"/>
      <c r="C326" s="60"/>
    </row>
    <row r="327" ht="15.75" customHeight="1">
      <c r="A327" s="44"/>
      <c r="B327" s="61"/>
      <c r="C327" s="60"/>
    </row>
    <row r="328" ht="15.75" customHeight="1">
      <c r="A328" s="44"/>
      <c r="B328" s="61"/>
      <c r="C328" s="60"/>
    </row>
    <row r="329" ht="15.75" customHeight="1">
      <c r="A329" s="44"/>
      <c r="B329" s="61"/>
      <c r="C329" s="60"/>
    </row>
    <row r="330" ht="15.75" customHeight="1">
      <c r="A330" s="44"/>
      <c r="B330" s="61"/>
      <c r="C330" s="60"/>
    </row>
    <row r="331" ht="15.75" customHeight="1">
      <c r="A331" s="44"/>
      <c r="B331" s="61"/>
      <c r="C331" s="60"/>
    </row>
    <row r="332" ht="15.75" customHeight="1">
      <c r="A332" s="44"/>
      <c r="B332" s="61"/>
      <c r="C332" s="60"/>
    </row>
    <row r="333" ht="15.75" customHeight="1">
      <c r="A333" s="44"/>
      <c r="B333" s="61"/>
      <c r="C333" s="60"/>
    </row>
    <row r="334" ht="15.75" customHeight="1">
      <c r="A334" s="44"/>
      <c r="B334" s="61"/>
      <c r="C334" s="60"/>
    </row>
    <row r="335" ht="15.75" customHeight="1">
      <c r="A335" s="44"/>
      <c r="B335" s="61"/>
      <c r="C335" s="60"/>
    </row>
    <row r="336" ht="15.75" customHeight="1">
      <c r="A336" s="44"/>
      <c r="B336" s="61"/>
      <c r="C336" s="60"/>
    </row>
    <row r="337" ht="15.75" customHeight="1">
      <c r="A337" s="44"/>
      <c r="B337" s="61"/>
      <c r="C337" s="60"/>
    </row>
    <row r="338" ht="15.75" customHeight="1">
      <c r="A338" s="44"/>
      <c r="B338" s="61"/>
      <c r="C338" s="60"/>
    </row>
    <row r="339" ht="15.75" customHeight="1">
      <c r="A339" s="44"/>
      <c r="B339" s="61"/>
      <c r="C339" s="60"/>
    </row>
    <row r="340" ht="15.75" customHeight="1">
      <c r="A340" s="44"/>
      <c r="B340" s="61"/>
      <c r="C340" s="60"/>
    </row>
    <row r="341" ht="15.75" customHeight="1">
      <c r="A341" s="44"/>
      <c r="B341" s="61"/>
      <c r="C341" s="60"/>
    </row>
    <row r="342" ht="15.75" customHeight="1">
      <c r="A342" s="44"/>
      <c r="B342" s="61"/>
      <c r="C342" s="60"/>
    </row>
    <row r="343" ht="15.75" customHeight="1">
      <c r="A343" s="44"/>
      <c r="B343" s="61"/>
      <c r="C343" s="60"/>
    </row>
    <row r="344" ht="15.75" customHeight="1">
      <c r="A344" s="44"/>
      <c r="B344" s="61"/>
      <c r="C344" s="60"/>
    </row>
    <row r="345" ht="15.75" customHeight="1">
      <c r="A345" s="44"/>
      <c r="B345" s="61"/>
      <c r="C345" s="60"/>
    </row>
    <row r="346" ht="15.75" customHeight="1">
      <c r="A346" s="44"/>
      <c r="B346" s="61"/>
      <c r="C346" s="60"/>
    </row>
    <row r="347" ht="15.75" customHeight="1">
      <c r="A347" s="44"/>
      <c r="B347" s="61"/>
      <c r="C347" s="60"/>
    </row>
    <row r="348" ht="15.75" customHeight="1">
      <c r="A348" s="44"/>
      <c r="B348" s="61"/>
      <c r="C348" s="60"/>
    </row>
    <row r="349" ht="15.75" customHeight="1">
      <c r="A349" s="44"/>
      <c r="B349" s="61"/>
      <c r="C349" s="60"/>
    </row>
    <row r="350" ht="15.75" customHeight="1">
      <c r="A350" s="44"/>
      <c r="B350" s="61"/>
      <c r="C350" s="60"/>
    </row>
    <row r="351" ht="15.75" customHeight="1">
      <c r="A351" s="44"/>
      <c r="B351" s="61"/>
      <c r="C351" s="60"/>
    </row>
    <row r="352" ht="15.75" customHeight="1">
      <c r="A352" s="44"/>
      <c r="B352" s="61"/>
      <c r="C352" s="60"/>
    </row>
    <row r="353" ht="15.75" customHeight="1">
      <c r="A353" s="44"/>
      <c r="B353" s="61"/>
      <c r="C353" s="60"/>
    </row>
    <row r="354" ht="15.75" customHeight="1">
      <c r="A354" s="44"/>
      <c r="B354" s="61"/>
      <c r="C354" s="60"/>
    </row>
    <row r="355" ht="15.75" customHeight="1">
      <c r="A355" s="44"/>
      <c r="B355" s="61"/>
      <c r="C355" s="60"/>
    </row>
    <row r="356" ht="15.75" customHeight="1">
      <c r="A356" s="44"/>
      <c r="B356" s="61"/>
      <c r="C356" s="60"/>
    </row>
    <row r="357" ht="15.75" customHeight="1">
      <c r="A357" s="44"/>
      <c r="B357" s="61"/>
      <c r="C357" s="60"/>
    </row>
    <row r="358" ht="15.75" customHeight="1">
      <c r="A358" s="44"/>
      <c r="B358" s="61"/>
      <c r="C358" s="60"/>
    </row>
    <row r="359" ht="15.75" customHeight="1">
      <c r="A359" s="44"/>
      <c r="B359" s="61"/>
      <c r="C359" s="60"/>
    </row>
    <row r="360" ht="15.75" customHeight="1">
      <c r="A360" s="44"/>
      <c r="B360" s="61"/>
      <c r="C360" s="60"/>
    </row>
    <row r="361" ht="15.75" customHeight="1">
      <c r="A361" s="44"/>
      <c r="B361" s="61"/>
      <c r="C361" s="60"/>
    </row>
    <row r="362" ht="15.75" customHeight="1">
      <c r="A362" s="44"/>
      <c r="B362" s="61"/>
      <c r="C362" s="60"/>
    </row>
    <row r="363" ht="15.75" customHeight="1">
      <c r="A363" s="44"/>
      <c r="B363" s="61"/>
      <c r="C363" s="60"/>
    </row>
    <row r="364" ht="15.75" customHeight="1">
      <c r="A364" s="44"/>
      <c r="B364" s="61"/>
      <c r="C364" s="60"/>
    </row>
    <row r="365" ht="15.75" customHeight="1">
      <c r="A365" s="44"/>
      <c r="B365" s="61"/>
      <c r="C365" s="60"/>
    </row>
    <row r="366" ht="15.75" customHeight="1">
      <c r="A366" s="44"/>
      <c r="B366" s="61"/>
      <c r="C366" s="60"/>
    </row>
    <row r="367" ht="15.75" customHeight="1">
      <c r="A367" s="44"/>
      <c r="B367" s="61"/>
      <c r="C367" s="60"/>
    </row>
    <row r="368" ht="15.75" customHeight="1">
      <c r="A368" s="44"/>
      <c r="B368" s="61"/>
      <c r="C368" s="60"/>
    </row>
    <row r="369" ht="15.75" customHeight="1">
      <c r="A369" s="44"/>
      <c r="B369" s="61"/>
      <c r="C369" s="60"/>
    </row>
    <row r="370" ht="15.75" customHeight="1">
      <c r="A370" s="44"/>
      <c r="B370" s="61"/>
      <c r="C370" s="60"/>
    </row>
    <row r="371" ht="15.75" customHeight="1">
      <c r="A371" s="44"/>
      <c r="B371" s="61"/>
      <c r="C371" s="60"/>
    </row>
    <row r="372" ht="15.75" customHeight="1">
      <c r="A372" s="44"/>
      <c r="B372" s="61"/>
      <c r="C372" s="60"/>
    </row>
    <row r="373" ht="15.75" customHeight="1">
      <c r="A373" s="44"/>
      <c r="B373" s="61"/>
      <c r="C373" s="60"/>
    </row>
    <row r="374" ht="15.75" customHeight="1">
      <c r="A374" s="44"/>
      <c r="B374" s="61"/>
      <c r="C374" s="60"/>
    </row>
    <row r="375" ht="15.75" customHeight="1">
      <c r="A375" s="44"/>
      <c r="B375" s="61"/>
      <c r="C375" s="60"/>
    </row>
    <row r="376" ht="15.75" customHeight="1">
      <c r="A376" s="44"/>
      <c r="B376" s="61"/>
      <c r="C376" s="60"/>
    </row>
    <row r="377" ht="15.75" customHeight="1">
      <c r="A377" s="44"/>
      <c r="B377" s="61"/>
      <c r="C377" s="60"/>
    </row>
    <row r="378" ht="15.75" customHeight="1">
      <c r="A378" s="44"/>
      <c r="B378" s="61"/>
      <c r="C378" s="60"/>
    </row>
    <row r="379" ht="15.75" customHeight="1">
      <c r="A379" s="44"/>
      <c r="B379" s="61"/>
      <c r="C379" s="60"/>
    </row>
    <row r="380" ht="15.75" customHeight="1">
      <c r="A380" s="44"/>
      <c r="B380" s="61"/>
      <c r="C380" s="60"/>
    </row>
    <row r="381" ht="15.75" customHeight="1">
      <c r="A381" s="44"/>
      <c r="B381" s="61"/>
      <c r="C381" s="60"/>
    </row>
    <row r="382" ht="15.75" customHeight="1">
      <c r="A382" s="44"/>
      <c r="B382" s="61"/>
      <c r="C382" s="60"/>
    </row>
    <row r="383" ht="15.75" customHeight="1">
      <c r="A383" s="44"/>
      <c r="B383" s="61"/>
      <c r="C383" s="60"/>
    </row>
    <row r="384" ht="15.75" customHeight="1">
      <c r="A384" s="44"/>
      <c r="B384" s="61"/>
      <c r="C384" s="60"/>
    </row>
    <row r="385" ht="15.75" customHeight="1">
      <c r="A385" s="44"/>
      <c r="B385" s="61"/>
      <c r="C385" s="60"/>
    </row>
    <row r="386" ht="15.75" customHeight="1">
      <c r="A386" s="44"/>
      <c r="B386" s="61"/>
      <c r="C386" s="60"/>
    </row>
    <row r="387" ht="15.75" customHeight="1">
      <c r="A387" s="44"/>
      <c r="B387" s="61"/>
      <c r="C387" s="60"/>
    </row>
    <row r="388" ht="15.75" customHeight="1">
      <c r="A388" s="44"/>
      <c r="B388" s="61"/>
      <c r="C388" s="60"/>
    </row>
    <row r="389" ht="15.75" customHeight="1">
      <c r="A389" s="44"/>
      <c r="B389" s="61"/>
      <c r="C389" s="60"/>
    </row>
    <row r="390" ht="15.75" customHeight="1">
      <c r="A390" s="44"/>
      <c r="B390" s="61"/>
      <c r="C390" s="60"/>
    </row>
    <row r="391" ht="15.75" customHeight="1">
      <c r="A391" s="44"/>
      <c r="B391" s="61"/>
      <c r="C391" s="60"/>
    </row>
    <row r="392" ht="15.75" customHeight="1">
      <c r="A392" s="44"/>
      <c r="B392" s="61"/>
      <c r="C392" s="60"/>
    </row>
    <row r="393" ht="15.75" customHeight="1">
      <c r="A393" s="44"/>
      <c r="B393" s="61"/>
      <c r="C393" s="60"/>
    </row>
    <row r="394" ht="15.75" customHeight="1">
      <c r="A394" s="44"/>
      <c r="B394" s="61"/>
      <c r="C394" s="60"/>
    </row>
    <row r="395" ht="15.75" customHeight="1">
      <c r="A395" s="44"/>
      <c r="B395" s="61"/>
      <c r="C395" s="60"/>
    </row>
    <row r="396" ht="15.75" customHeight="1">
      <c r="A396" s="44"/>
      <c r="B396" s="61"/>
      <c r="C396" s="60"/>
    </row>
    <row r="397" ht="15.75" customHeight="1">
      <c r="A397" s="44"/>
      <c r="B397" s="61"/>
      <c r="C397" s="60"/>
    </row>
    <row r="398" ht="15.75" customHeight="1">
      <c r="A398" s="44"/>
      <c r="B398" s="61"/>
      <c r="C398" s="60"/>
    </row>
    <row r="399" ht="15.75" customHeight="1">
      <c r="A399" s="44"/>
      <c r="B399" s="61"/>
      <c r="C399" s="60"/>
    </row>
    <row r="400" ht="15.75" customHeight="1">
      <c r="A400" s="44"/>
      <c r="B400" s="61"/>
      <c r="C400" s="60"/>
    </row>
    <row r="401" ht="15.75" customHeight="1">
      <c r="A401" s="44"/>
      <c r="B401" s="61"/>
      <c r="C401" s="60"/>
    </row>
    <row r="402" ht="15.75" customHeight="1">
      <c r="A402" s="44"/>
      <c r="B402" s="61"/>
      <c r="C402" s="60"/>
    </row>
    <row r="403" ht="15.75" customHeight="1">
      <c r="A403" s="44"/>
      <c r="B403" s="61"/>
      <c r="C403" s="60"/>
    </row>
    <row r="404" ht="15.75" customHeight="1">
      <c r="A404" s="44"/>
      <c r="B404" s="61"/>
      <c r="C404" s="60"/>
    </row>
    <row r="405" ht="15.75" customHeight="1">
      <c r="A405" s="44"/>
      <c r="B405" s="61"/>
      <c r="C405" s="60"/>
    </row>
    <row r="406" ht="15.75" customHeight="1">
      <c r="A406" s="44"/>
      <c r="B406" s="61"/>
      <c r="C406" s="60"/>
    </row>
    <row r="407" ht="15.75" customHeight="1">
      <c r="A407" s="44"/>
      <c r="B407" s="61"/>
      <c r="C407" s="60"/>
    </row>
    <row r="408" ht="15.75" customHeight="1">
      <c r="A408" s="44"/>
      <c r="B408" s="61"/>
      <c r="C408" s="60"/>
    </row>
    <row r="409" ht="15.75" customHeight="1">
      <c r="A409" s="44"/>
      <c r="B409" s="61"/>
      <c r="C409" s="60"/>
    </row>
    <row r="410" ht="15.75" customHeight="1">
      <c r="A410" s="44"/>
      <c r="B410" s="61"/>
      <c r="C410" s="60"/>
    </row>
    <row r="411" ht="15.75" customHeight="1">
      <c r="A411" s="44"/>
      <c r="B411" s="61"/>
      <c r="C411" s="60"/>
    </row>
    <row r="412" ht="15.75" customHeight="1">
      <c r="A412" s="44"/>
      <c r="B412" s="61"/>
      <c r="C412" s="60"/>
    </row>
    <row r="413" ht="15.75" customHeight="1">
      <c r="A413" s="44"/>
      <c r="B413" s="61"/>
      <c r="C413" s="60"/>
    </row>
    <row r="414" ht="15.75" customHeight="1">
      <c r="A414" s="44"/>
      <c r="B414" s="61"/>
      <c r="C414" s="60"/>
    </row>
    <row r="415" ht="15.75" customHeight="1">
      <c r="A415" s="44"/>
      <c r="B415" s="61"/>
      <c r="C415" s="60"/>
    </row>
    <row r="416" ht="15.75" customHeight="1">
      <c r="A416" s="44"/>
      <c r="B416" s="61"/>
      <c r="C416" s="60"/>
    </row>
    <row r="417" ht="15.75" customHeight="1">
      <c r="A417" s="44"/>
      <c r="B417" s="61"/>
      <c r="C417" s="60"/>
    </row>
    <row r="418" ht="15.75" customHeight="1">
      <c r="A418" s="44"/>
      <c r="B418" s="61"/>
      <c r="C418" s="60"/>
    </row>
    <row r="419" ht="15.75" customHeight="1">
      <c r="A419" s="44"/>
      <c r="B419" s="61"/>
      <c r="C419" s="60"/>
    </row>
    <row r="420" ht="15.75" customHeight="1">
      <c r="A420" s="44"/>
      <c r="B420" s="61"/>
      <c r="C420" s="60"/>
    </row>
    <row r="421" ht="15.75" customHeight="1">
      <c r="A421" s="44"/>
      <c r="B421" s="61"/>
      <c r="C421" s="60"/>
    </row>
    <row r="422" ht="15.75" customHeight="1">
      <c r="A422" s="44"/>
      <c r="B422" s="61"/>
      <c r="C422" s="60"/>
    </row>
    <row r="423" ht="15.75" customHeight="1">
      <c r="A423" s="44"/>
      <c r="B423" s="61"/>
      <c r="C423" s="60"/>
    </row>
    <row r="424" ht="15.75" customHeight="1">
      <c r="A424" s="44"/>
      <c r="B424" s="61"/>
      <c r="C424" s="60"/>
    </row>
    <row r="425" ht="15.75" customHeight="1">
      <c r="A425" s="44"/>
      <c r="B425" s="61"/>
      <c r="C425" s="60"/>
    </row>
    <row r="426" ht="15.75" customHeight="1">
      <c r="A426" s="44"/>
      <c r="B426" s="61"/>
      <c r="C426" s="60"/>
    </row>
    <row r="427" ht="15.75" customHeight="1">
      <c r="A427" s="44"/>
      <c r="B427" s="61"/>
      <c r="C427" s="60"/>
    </row>
    <row r="428" ht="15.75" customHeight="1">
      <c r="A428" s="44"/>
      <c r="B428" s="61"/>
      <c r="C428" s="60"/>
    </row>
    <row r="429" ht="15.75" customHeight="1">
      <c r="A429" s="44"/>
      <c r="B429" s="61"/>
      <c r="C429" s="60"/>
    </row>
    <row r="430" ht="15.75" customHeight="1">
      <c r="A430" s="44"/>
      <c r="B430" s="61"/>
      <c r="C430" s="60"/>
    </row>
    <row r="431" ht="15.75" customHeight="1">
      <c r="A431" s="44"/>
      <c r="B431" s="61"/>
      <c r="C431" s="60"/>
    </row>
    <row r="432" ht="15.75" customHeight="1">
      <c r="A432" s="44"/>
      <c r="B432" s="61"/>
      <c r="C432" s="60"/>
    </row>
    <row r="433" ht="15.75" customHeight="1">
      <c r="A433" s="44"/>
      <c r="B433" s="61"/>
      <c r="C433" s="60"/>
    </row>
    <row r="434" ht="15.75" customHeight="1">
      <c r="A434" s="44"/>
      <c r="B434" s="61"/>
      <c r="C434" s="60"/>
    </row>
    <row r="435" ht="15.75" customHeight="1">
      <c r="A435" s="44"/>
      <c r="B435" s="61"/>
      <c r="C435" s="60"/>
    </row>
    <row r="436" ht="15.75" customHeight="1">
      <c r="A436" s="44"/>
      <c r="B436" s="61"/>
      <c r="C436" s="60"/>
    </row>
    <row r="437" ht="15.75" customHeight="1">
      <c r="A437" s="44"/>
      <c r="B437" s="61"/>
      <c r="C437" s="60"/>
    </row>
    <row r="438" ht="15.75" customHeight="1">
      <c r="A438" s="44"/>
      <c r="B438" s="61"/>
      <c r="C438" s="60"/>
    </row>
    <row r="439" ht="15.75" customHeight="1">
      <c r="A439" s="44"/>
      <c r="B439" s="61"/>
      <c r="C439" s="60"/>
    </row>
    <row r="440" ht="15.75" customHeight="1">
      <c r="A440" s="44"/>
      <c r="B440" s="61"/>
      <c r="C440" s="60"/>
    </row>
    <row r="441" ht="15.75" customHeight="1">
      <c r="A441" s="44"/>
      <c r="B441" s="61"/>
      <c r="C441" s="60"/>
    </row>
    <row r="442" ht="15.75" customHeight="1">
      <c r="A442" s="44"/>
      <c r="B442" s="61"/>
      <c r="C442" s="60"/>
    </row>
    <row r="443" ht="15.75" customHeight="1">
      <c r="A443" s="44"/>
      <c r="B443" s="61"/>
      <c r="C443" s="60"/>
    </row>
    <row r="444" ht="15.75" customHeight="1">
      <c r="A444" s="44"/>
      <c r="B444" s="61"/>
      <c r="C444" s="60"/>
    </row>
    <row r="445" ht="15.75" customHeight="1">
      <c r="A445" s="44"/>
      <c r="B445" s="61"/>
      <c r="C445" s="60"/>
    </row>
    <row r="446" ht="15.75" customHeight="1">
      <c r="A446" s="44"/>
      <c r="B446" s="61"/>
      <c r="C446" s="60"/>
    </row>
    <row r="447" ht="15.75" customHeight="1">
      <c r="A447" s="44"/>
      <c r="B447" s="61"/>
      <c r="C447" s="60"/>
    </row>
    <row r="448" ht="15.75" customHeight="1">
      <c r="A448" s="44"/>
      <c r="B448" s="61"/>
      <c r="C448" s="60"/>
    </row>
    <row r="449" ht="15.75" customHeight="1">
      <c r="A449" s="44"/>
      <c r="B449" s="61"/>
      <c r="C449" s="60"/>
    </row>
    <row r="450" ht="15.75" customHeight="1">
      <c r="A450" s="44"/>
      <c r="B450" s="61"/>
      <c r="C450" s="60"/>
    </row>
    <row r="451" ht="15.75" customHeight="1">
      <c r="A451" s="44"/>
      <c r="B451" s="61"/>
      <c r="C451" s="60"/>
    </row>
    <row r="452" ht="15.75" customHeight="1">
      <c r="A452" s="44"/>
      <c r="B452" s="61"/>
      <c r="C452" s="60"/>
    </row>
    <row r="453" ht="15.75" customHeight="1">
      <c r="A453" s="44"/>
      <c r="B453" s="61"/>
      <c r="C453" s="60"/>
    </row>
    <row r="454" ht="15.75" customHeight="1">
      <c r="A454" s="44"/>
      <c r="B454" s="61"/>
      <c r="C454" s="60"/>
    </row>
    <row r="455" ht="15.75" customHeight="1">
      <c r="A455" s="44"/>
      <c r="B455" s="61"/>
      <c r="C455" s="60"/>
    </row>
    <row r="456" ht="15.75" customHeight="1">
      <c r="A456" s="44"/>
      <c r="B456" s="61"/>
      <c r="C456" s="60"/>
    </row>
    <row r="457" ht="15.75" customHeight="1">
      <c r="A457" s="44"/>
      <c r="B457" s="61"/>
      <c r="C457" s="60"/>
    </row>
    <row r="458" ht="15.75" customHeight="1">
      <c r="A458" s="44"/>
      <c r="B458" s="61"/>
      <c r="C458" s="60"/>
    </row>
    <row r="459" ht="15.75" customHeight="1">
      <c r="A459" s="44"/>
      <c r="B459" s="61"/>
      <c r="C459" s="60"/>
    </row>
    <row r="460" ht="15.75" customHeight="1">
      <c r="A460" s="44"/>
      <c r="B460" s="61"/>
      <c r="C460" s="60"/>
    </row>
    <row r="461" ht="15.75" customHeight="1">
      <c r="A461" s="44"/>
      <c r="B461" s="61"/>
      <c r="C461" s="60"/>
    </row>
    <row r="462" ht="15.75" customHeight="1">
      <c r="A462" s="44"/>
      <c r="B462" s="61"/>
      <c r="C462" s="60"/>
    </row>
    <row r="463" ht="15.75" customHeight="1">
      <c r="A463" s="44"/>
      <c r="B463" s="61"/>
      <c r="C463" s="60"/>
    </row>
    <row r="464" ht="15.75" customHeight="1">
      <c r="A464" s="44"/>
      <c r="B464" s="61"/>
      <c r="C464" s="60"/>
    </row>
    <row r="465" ht="15.75" customHeight="1">
      <c r="A465" s="44"/>
      <c r="B465" s="61"/>
      <c r="C465" s="60"/>
    </row>
    <row r="466" ht="15.75" customHeight="1">
      <c r="A466" s="44"/>
      <c r="B466" s="61"/>
      <c r="C466" s="60"/>
    </row>
    <row r="467" ht="15.75" customHeight="1">
      <c r="A467" s="44"/>
      <c r="B467" s="61"/>
      <c r="C467" s="60"/>
    </row>
    <row r="468" ht="15.75" customHeight="1">
      <c r="A468" s="44"/>
      <c r="B468" s="61"/>
      <c r="C468" s="60"/>
    </row>
    <row r="469" ht="15.75" customHeight="1">
      <c r="A469" s="44"/>
      <c r="B469" s="61"/>
      <c r="C469" s="60"/>
    </row>
    <row r="470" ht="15.75" customHeight="1">
      <c r="A470" s="44"/>
      <c r="B470" s="61"/>
      <c r="C470" s="60"/>
    </row>
    <row r="471" ht="15.75" customHeight="1">
      <c r="A471" s="44"/>
      <c r="B471" s="61"/>
      <c r="C471" s="60"/>
    </row>
    <row r="472" ht="15.75" customHeight="1">
      <c r="A472" s="44"/>
      <c r="B472" s="61"/>
      <c r="C472" s="60"/>
    </row>
    <row r="473" ht="15.75" customHeight="1">
      <c r="A473" s="44"/>
      <c r="B473" s="61"/>
      <c r="C473" s="60"/>
    </row>
    <row r="474" ht="15.75" customHeight="1">
      <c r="A474" s="44"/>
      <c r="B474" s="61"/>
      <c r="C474" s="60"/>
    </row>
    <row r="475" ht="15.75" customHeight="1">
      <c r="A475" s="44"/>
      <c r="B475" s="61"/>
      <c r="C475" s="60"/>
    </row>
    <row r="476" ht="15.75" customHeight="1">
      <c r="A476" s="44"/>
      <c r="B476" s="61"/>
      <c r="C476" s="60"/>
    </row>
    <row r="477" ht="15.75" customHeight="1">
      <c r="A477" s="44"/>
      <c r="B477" s="61"/>
      <c r="C477" s="60"/>
    </row>
    <row r="478" ht="15.75" customHeight="1">
      <c r="A478" s="44"/>
      <c r="B478" s="61"/>
      <c r="C478" s="60"/>
    </row>
    <row r="479" ht="15.75" customHeight="1">
      <c r="A479" s="44"/>
      <c r="B479" s="61"/>
      <c r="C479" s="60"/>
    </row>
    <row r="480" ht="15.75" customHeight="1">
      <c r="A480" s="44"/>
      <c r="B480" s="61"/>
      <c r="C480" s="60"/>
    </row>
    <row r="481" ht="15.75" customHeight="1">
      <c r="A481" s="44"/>
      <c r="B481" s="61"/>
      <c r="C481" s="60"/>
    </row>
    <row r="482" ht="15.75" customHeight="1">
      <c r="A482" s="44"/>
      <c r="B482" s="61"/>
      <c r="C482" s="60"/>
    </row>
    <row r="483" ht="15.75" customHeight="1">
      <c r="A483" s="44"/>
      <c r="B483" s="61"/>
      <c r="C483" s="60"/>
    </row>
    <row r="484" ht="15.75" customHeight="1">
      <c r="A484" s="44"/>
      <c r="B484" s="61"/>
      <c r="C484" s="60"/>
    </row>
    <row r="485" ht="15.75" customHeight="1">
      <c r="A485" s="44"/>
      <c r="B485" s="61"/>
      <c r="C485" s="60"/>
    </row>
    <row r="486" ht="15.75" customHeight="1">
      <c r="A486" s="44"/>
      <c r="B486" s="61"/>
      <c r="C486" s="60"/>
    </row>
    <row r="487" ht="15.75" customHeight="1">
      <c r="A487" s="44"/>
      <c r="B487" s="61"/>
      <c r="C487" s="60"/>
    </row>
    <row r="488" ht="15.75" customHeight="1">
      <c r="A488" s="44"/>
      <c r="B488" s="61"/>
      <c r="C488" s="60"/>
    </row>
    <row r="489" ht="15.75" customHeight="1">
      <c r="A489" s="44"/>
      <c r="B489" s="61"/>
      <c r="C489" s="60"/>
    </row>
    <row r="490" ht="15.75" customHeight="1">
      <c r="A490" s="44"/>
      <c r="B490" s="61"/>
      <c r="C490" s="60"/>
    </row>
    <row r="491" ht="15.75" customHeight="1">
      <c r="A491" s="44"/>
      <c r="B491" s="61"/>
      <c r="C491" s="60"/>
    </row>
    <row r="492" ht="15.75" customHeight="1">
      <c r="A492" s="44"/>
      <c r="B492" s="61"/>
      <c r="C492" s="60"/>
    </row>
    <row r="493" ht="15.75" customHeight="1">
      <c r="A493" s="44"/>
      <c r="B493" s="61"/>
      <c r="C493" s="60"/>
    </row>
    <row r="494" ht="15.75" customHeight="1">
      <c r="A494" s="44"/>
      <c r="B494" s="61"/>
      <c r="C494" s="60"/>
    </row>
    <row r="495" ht="15.75" customHeight="1">
      <c r="A495" s="44"/>
      <c r="B495" s="61"/>
      <c r="C495" s="60"/>
    </row>
    <row r="496" ht="15.75" customHeight="1">
      <c r="A496" s="44"/>
      <c r="B496" s="61"/>
      <c r="C496" s="60"/>
    </row>
    <row r="497" ht="15.75" customHeight="1">
      <c r="A497" s="44"/>
      <c r="B497" s="61"/>
      <c r="C497" s="60"/>
    </row>
    <row r="498" ht="15.75" customHeight="1">
      <c r="A498" s="44"/>
      <c r="B498" s="61"/>
      <c r="C498" s="60"/>
    </row>
    <row r="499" ht="15.75" customHeight="1">
      <c r="A499" s="44"/>
      <c r="B499" s="61"/>
      <c r="C499" s="60"/>
    </row>
    <row r="500" ht="15.75" customHeight="1">
      <c r="A500" s="44"/>
      <c r="B500" s="61"/>
      <c r="C500" s="60"/>
    </row>
    <row r="501" ht="15.75" customHeight="1">
      <c r="A501" s="44"/>
      <c r="B501" s="61"/>
      <c r="C501" s="60"/>
    </row>
    <row r="502" ht="15.75" customHeight="1">
      <c r="A502" s="44"/>
      <c r="B502" s="61"/>
      <c r="C502" s="60"/>
    </row>
    <row r="503" ht="15.75" customHeight="1">
      <c r="A503" s="44"/>
      <c r="B503" s="61"/>
      <c r="C503" s="60"/>
    </row>
    <row r="504" ht="15.75" customHeight="1">
      <c r="A504" s="44"/>
      <c r="B504" s="61"/>
      <c r="C504" s="60"/>
    </row>
    <row r="505" ht="15.75" customHeight="1">
      <c r="A505" s="44"/>
      <c r="B505" s="61"/>
      <c r="C505" s="60"/>
    </row>
    <row r="506" ht="15.75" customHeight="1">
      <c r="A506" s="44"/>
      <c r="B506" s="61"/>
      <c r="C506" s="60"/>
    </row>
    <row r="507" ht="15.75" customHeight="1">
      <c r="A507" s="44"/>
      <c r="B507" s="61"/>
      <c r="C507" s="60"/>
    </row>
    <row r="508" ht="15.75" customHeight="1">
      <c r="A508" s="44"/>
      <c r="B508" s="61"/>
      <c r="C508" s="60"/>
    </row>
    <row r="509" ht="15.75" customHeight="1">
      <c r="A509" s="44"/>
      <c r="B509" s="61"/>
      <c r="C509" s="60"/>
    </row>
    <row r="510" ht="15.75" customHeight="1">
      <c r="A510" s="44"/>
      <c r="B510" s="61"/>
      <c r="C510" s="60"/>
    </row>
    <row r="511" ht="15.75" customHeight="1">
      <c r="A511" s="44"/>
      <c r="B511" s="61"/>
      <c r="C511" s="60"/>
    </row>
    <row r="512" ht="15.75" customHeight="1">
      <c r="A512" s="44"/>
      <c r="B512" s="61"/>
      <c r="C512" s="60"/>
    </row>
    <row r="513" ht="15.75" customHeight="1">
      <c r="A513" s="44"/>
      <c r="B513" s="61"/>
      <c r="C513" s="60"/>
    </row>
    <row r="514" ht="15.75" customHeight="1">
      <c r="A514" s="44"/>
      <c r="B514" s="61"/>
      <c r="C514" s="60"/>
    </row>
    <row r="515" ht="15.75" customHeight="1">
      <c r="A515" s="44"/>
      <c r="B515" s="61"/>
      <c r="C515" s="60"/>
    </row>
    <row r="516" ht="15.75" customHeight="1">
      <c r="A516" s="44"/>
      <c r="B516" s="61"/>
      <c r="C516" s="60"/>
    </row>
    <row r="517" ht="15.75" customHeight="1">
      <c r="A517" s="44"/>
      <c r="B517" s="61"/>
      <c r="C517" s="60"/>
    </row>
    <row r="518" ht="15.75" customHeight="1">
      <c r="A518" s="44"/>
      <c r="B518" s="61"/>
      <c r="C518" s="60"/>
    </row>
    <row r="519" ht="15.75" customHeight="1">
      <c r="A519" s="44"/>
      <c r="B519" s="61"/>
      <c r="C519" s="60"/>
    </row>
    <row r="520" ht="15.75" customHeight="1">
      <c r="A520" s="44"/>
      <c r="B520" s="61"/>
      <c r="C520" s="60"/>
    </row>
    <row r="521" ht="15.75" customHeight="1">
      <c r="A521" s="44"/>
      <c r="B521" s="61"/>
      <c r="C521" s="60"/>
    </row>
    <row r="522" ht="15.75" customHeight="1">
      <c r="A522" s="44"/>
      <c r="B522" s="61"/>
      <c r="C522" s="60"/>
    </row>
    <row r="523" ht="15.75" customHeight="1">
      <c r="A523" s="44"/>
      <c r="B523" s="61"/>
      <c r="C523" s="60"/>
    </row>
    <row r="524" ht="15.75" customHeight="1">
      <c r="A524" s="44"/>
      <c r="B524" s="61"/>
      <c r="C524" s="60"/>
    </row>
    <row r="525" ht="15.75" customHeight="1">
      <c r="A525" s="44"/>
      <c r="B525" s="61"/>
      <c r="C525" s="60"/>
    </row>
    <row r="526" ht="15.75" customHeight="1">
      <c r="A526" s="44"/>
      <c r="B526" s="61"/>
      <c r="C526" s="60"/>
    </row>
    <row r="527" ht="15.75" customHeight="1">
      <c r="A527" s="44"/>
      <c r="B527" s="61"/>
      <c r="C527" s="60"/>
    </row>
    <row r="528" ht="15.75" customHeight="1">
      <c r="A528" s="44"/>
      <c r="B528" s="61"/>
      <c r="C528" s="60"/>
    </row>
    <row r="529" ht="15.75" customHeight="1">
      <c r="A529" s="44"/>
      <c r="B529" s="61"/>
      <c r="C529" s="60"/>
    </row>
    <row r="530" ht="15.75" customHeight="1">
      <c r="A530" s="44"/>
      <c r="B530" s="61"/>
      <c r="C530" s="60"/>
    </row>
    <row r="531" ht="15.75" customHeight="1">
      <c r="A531" s="44"/>
      <c r="B531" s="61"/>
      <c r="C531" s="60"/>
    </row>
    <row r="532" ht="15.75" customHeight="1">
      <c r="A532" s="44"/>
      <c r="B532" s="61"/>
      <c r="C532" s="60"/>
    </row>
    <row r="533" ht="15.75" customHeight="1">
      <c r="A533" s="44"/>
      <c r="B533" s="61"/>
      <c r="C533" s="60"/>
    </row>
    <row r="534" ht="15.75" customHeight="1">
      <c r="A534" s="44"/>
      <c r="B534" s="61"/>
      <c r="C534" s="60"/>
    </row>
    <row r="535" ht="15.75" customHeight="1">
      <c r="A535" s="44"/>
      <c r="B535" s="61"/>
      <c r="C535" s="60"/>
    </row>
    <row r="536" ht="15.75" customHeight="1">
      <c r="A536" s="44"/>
      <c r="B536" s="61"/>
      <c r="C536" s="60"/>
    </row>
    <row r="537" ht="15.75" customHeight="1">
      <c r="A537" s="44"/>
      <c r="B537" s="61"/>
      <c r="C537" s="60"/>
    </row>
    <row r="538" ht="15.75" customHeight="1">
      <c r="A538" s="44"/>
      <c r="B538" s="61"/>
      <c r="C538" s="60"/>
    </row>
    <row r="539" ht="15.75" customHeight="1">
      <c r="A539" s="44"/>
      <c r="B539" s="61"/>
      <c r="C539" s="60"/>
    </row>
    <row r="540" ht="15.75" customHeight="1">
      <c r="A540" s="44"/>
      <c r="B540" s="61"/>
      <c r="C540" s="60"/>
    </row>
    <row r="541" ht="15.75" customHeight="1">
      <c r="A541" s="44"/>
      <c r="B541" s="61"/>
      <c r="C541" s="60"/>
    </row>
    <row r="542" ht="15.75" customHeight="1">
      <c r="A542" s="44"/>
      <c r="B542" s="61"/>
      <c r="C542" s="60"/>
    </row>
    <row r="543" ht="15.75" customHeight="1">
      <c r="A543" s="44"/>
      <c r="B543" s="61"/>
      <c r="C543" s="60"/>
    </row>
    <row r="544" ht="15.75" customHeight="1">
      <c r="A544" s="44"/>
      <c r="B544" s="61"/>
      <c r="C544" s="60"/>
    </row>
    <row r="545" ht="15.75" customHeight="1">
      <c r="A545" s="44"/>
      <c r="B545" s="61"/>
      <c r="C545" s="60"/>
    </row>
    <row r="546" ht="15.75" customHeight="1">
      <c r="A546" s="44"/>
      <c r="B546" s="61"/>
      <c r="C546" s="60"/>
    </row>
    <row r="547" ht="15.75" customHeight="1">
      <c r="A547" s="44"/>
      <c r="B547" s="61"/>
      <c r="C547" s="60"/>
    </row>
    <row r="548" ht="15.75" customHeight="1">
      <c r="A548" s="44"/>
      <c r="B548" s="61"/>
      <c r="C548" s="60"/>
    </row>
    <row r="549" ht="15.75" customHeight="1">
      <c r="A549" s="44"/>
      <c r="B549" s="61"/>
      <c r="C549" s="60"/>
    </row>
    <row r="550" ht="15.75" customHeight="1">
      <c r="A550" s="44"/>
      <c r="B550" s="61"/>
      <c r="C550" s="60"/>
    </row>
    <row r="551" ht="15.75" customHeight="1">
      <c r="A551" s="44"/>
      <c r="B551" s="61"/>
      <c r="C551" s="60"/>
    </row>
    <row r="552" ht="15.75" customHeight="1">
      <c r="A552" s="44"/>
      <c r="B552" s="61"/>
      <c r="C552" s="60"/>
    </row>
    <row r="553" ht="15.75" customHeight="1">
      <c r="A553" s="44"/>
      <c r="B553" s="61"/>
      <c r="C553" s="60"/>
    </row>
    <row r="554" ht="15.75" customHeight="1">
      <c r="A554" s="44"/>
      <c r="B554" s="61"/>
      <c r="C554" s="60"/>
    </row>
    <row r="555" ht="15.75" customHeight="1">
      <c r="A555" s="44"/>
      <c r="B555" s="61"/>
      <c r="C555" s="60"/>
    </row>
    <row r="556" ht="15.75" customHeight="1">
      <c r="A556" s="44"/>
      <c r="B556" s="61"/>
      <c r="C556" s="60"/>
    </row>
    <row r="557" ht="15.75" customHeight="1">
      <c r="A557" s="44"/>
      <c r="B557" s="61"/>
      <c r="C557" s="60"/>
    </row>
    <row r="558" ht="15.75" customHeight="1">
      <c r="A558" s="44"/>
      <c r="B558" s="61"/>
      <c r="C558" s="60"/>
    </row>
    <row r="559" ht="15.75" customHeight="1">
      <c r="A559" s="44"/>
      <c r="B559" s="61"/>
      <c r="C559" s="60"/>
    </row>
    <row r="560" ht="15.75" customHeight="1">
      <c r="A560" s="44"/>
      <c r="B560" s="61"/>
      <c r="C560" s="60"/>
    </row>
    <row r="561" ht="15.75" customHeight="1">
      <c r="A561" s="44"/>
      <c r="B561" s="61"/>
      <c r="C561" s="60"/>
    </row>
    <row r="562" ht="15.75" customHeight="1">
      <c r="A562" s="44"/>
      <c r="B562" s="61"/>
      <c r="C562" s="60"/>
    </row>
    <row r="563" ht="15.75" customHeight="1">
      <c r="A563" s="44"/>
      <c r="B563" s="61"/>
      <c r="C563" s="60"/>
    </row>
    <row r="564" ht="15.75" customHeight="1">
      <c r="A564" s="44"/>
      <c r="B564" s="61"/>
      <c r="C564" s="60"/>
    </row>
    <row r="565" ht="15.75" customHeight="1">
      <c r="A565" s="44"/>
      <c r="B565" s="61"/>
      <c r="C565" s="60"/>
    </row>
    <row r="566" ht="15.75" customHeight="1">
      <c r="A566" s="44"/>
      <c r="B566" s="61"/>
      <c r="C566" s="60"/>
    </row>
    <row r="567" ht="15.75" customHeight="1">
      <c r="A567" s="44"/>
      <c r="B567" s="61"/>
      <c r="C567" s="60"/>
    </row>
    <row r="568" ht="15.75" customHeight="1">
      <c r="A568" s="44"/>
      <c r="B568" s="61"/>
      <c r="C568" s="60"/>
    </row>
    <row r="569" ht="15.75" customHeight="1">
      <c r="A569" s="44"/>
      <c r="B569" s="61"/>
      <c r="C569" s="60"/>
    </row>
    <row r="570" ht="15.75" customHeight="1">
      <c r="A570" s="44"/>
      <c r="B570" s="61"/>
      <c r="C570" s="60"/>
    </row>
    <row r="571" ht="15.75" customHeight="1">
      <c r="A571" s="44"/>
      <c r="B571" s="61"/>
      <c r="C571" s="60"/>
    </row>
    <row r="572" ht="15.75" customHeight="1">
      <c r="A572" s="44"/>
      <c r="B572" s="61"/>
      <c r="C572" s="60"/>
    </row>
    <row r="573" ht="15.75" customHeight="1">
      <c r="A573" s="44"/>
      <c r="B573" s="61"/>
      <c r="C573" s="60"/>
    </row>
    <row r="574" ht="15.75" customHeight="1">
      <c r="A574" s="44"/>
      <c r="B574" s="61"/>
      <c r="C574" s="60"/>
    </row>
    <row r="575" ht="15.75" customHeight="1">
      <c r="A575" s="44"/>
      <c r="B575" s="61"/>
      <c r="C575" s="60"/>
    </row>
    <row r="576" ht="15.75" customHeight="1">
      <c r="A576" s="44"/>
      <c r="B576" s="61"/>
      <c r="C576" s="60"/>
    </row>
    <row r="577" ht="15.75" customHeight="1">
      <c r="A577" s="44"/>
      <c r="B577" s="61"/>
      <c r="C577" s="60"/>
    </row>
    <row r="578" ht="15.75" customHeight="1">
      <c r="A578" s="44"/>
      <c r="B578" s="61"/>
      <c r="C578" s="60"/>
    </row>
    <row r="579" ht="15.75" customHeight="1">
      <c r="A579" s="44"/>
      <c r="B579" s="61"/>
      <c r="C579" s="60"/>
    </row>
    <row r="580" ht="15.75" customHeight="1">
      <c r="A580" s="44"/>
      <c r="B580" s="61"/>
      <c r="C580" s="60"/>
    </row>
    <row r="581" ht="15.75" customHeight="1">
      <c r="A581" s="44"/>
      <c r="B581" s="61"/>
      <c r="C581" s="60"/>
    </row>
    <row r="582" ht="15.75" customHeight="1">
      <c r="A582" s="44"/>
      <c r="B582" s="61"/>
      <c r="C582" s="60"/>
    </row>
    <row r="583" ht="15.75" customHeight="1">
      <c r="A583" s="44"/>
      <c r="B583" s="61"/>
      <c r="C583" s="60"/>
    </row>
    <row r="584" ht="15.75" customHeight="1">
      <c r="A584" s="44"/>
      <c r="B584" s="61"/>
      <c r="C584" s="60"/>
    </row>
    <row r="585" ht="15.75" customHeight="1">
      <c r="A585" s="44"/>
      <c r="B585" s="61"/>
      <c r="C585" s="60"/>
    </row>
    <row r="586" ht="15.75" customHeight="1">
      <c r="A586" s="44"/>
      <c r="B586" s="61"/>
      <c r="C586" s="60"/>
    </row>
    <row r="587" ht="15.75" customHeight="1">
      <c r="A587" s="44"/>
      <c r="B587" s="61"/>
      <c r="C587" s="60"/>
    </row>
    <row r="588" ht="15.75" customHeight="1">
      <c r="A588" s="44"/>
      <c r="B588" s="61"/>
      <c r="C588" s="60"/>
    </row>
    <row r="589" ht="15.75" customHeight="1">
      <c r="A589" s="44"/>
      <c r="B589" s="61"/>
      <c r="C589" s="60"/>
    </row>
    <row r="590" ht="15.75" customHeight="1">
      <c r="A590" s="44"/>
      <c r="B590" s="61"/>
      <c r="C590" s="60"/>
    </row>
    <row r="591" ht="15.75" customHeight="1">
      <c r="A591" s="44"/>
      <c r="B591" s="61"/>
      <c r="C591" s="60"/>
    </row>
    <row r="592" ht="15.75" customHeight="1">
      <c r="A592" s="44"/>
      <c r="B592" s="61"/>
      <c r="C592" s="60"/>
    </row>
    <row r="593" ht="15.75" customHeight="1">
      <c r="A593" s="44"/>
      <c r="B593" s="61"/>
      <c r="C593" s="60"/>
    </row>
    <row r="594" ht="15.75" customHeight="1">
      <c r="A594" s="44"/>
      <c r="B594" s="61"/>
      <c r="C594" s="60"/>
    </row>
    <row r="595" ht="15.75" customHeight="1">
      <c r="A595" s="44"/>
      <c r="B595" s="61"/>
      <c r="C595" s="60"/>
    </row>
    <row r="596" ht="15.75" customHeight="1">
      <c r="A596" s="44"/>
      <c r="B596" s="61"/>
      <c r="C596" s="60"/>
    </row>
    <row r="597" ht="15.75" customHeight="1">
      <c r="A597" s="44"/>
      <c r="B597" s="61"/>
      <c r="C597" s="60"/>
    </row>
    <row r="598" ht="15.75" customHeight="1">
      <c r="A598" s="44"/>
      <c r="B598" s="61"/>
      <c r="C598" s="60"/>
    </row>
    <row r="599" ht="15.75" customHeight="1">
      <c r="A599" s="44"/>
      <c r="B599" s="61"/>
      <c r="C599" s="60"/>
    </row>
    <row r="600" ht="15.75" customHeight="1">
      <c r="A600" s="44"/>
      <c r="B600" s="61"/>
      <c r="C600" s="60"/>
    </row>
    <row r="601" ht="15.75" customHeight="1">
      <c r="A601" s="44"/>
      <c r="B601" s="61"/>
      <c r="C601" s="60"/>
    </row>
    <row r="602" ht="15.75" customHeight="1">
      <c r="A602" s="44"/>
      <c r="B602" s="61"/>
      <c r="C602" s="60"/>
    </row>
    <row r="603" ht="15.75" customHeight="1">
      <c r="A603" s="44"/>
      <c r="B603" s="61"/>
      <c r="C603" s="60"/>
    </row>
    <row r="604" ht="15.75" customHeight="1">
      <c r="A604" s="44"/>
      <c r="B604" s="61"/>
      <c r="C604" s="60"/>
    </row>
    <row r="605" ht="15.75" customHeight="1">
      <c r="A605" s="44"/>
      <c r="B605" s="61"/>
      <c r="C605" s="60"/>
    </row>
    <row r="606" ht="15.75" customHeight="1">
      <c r="A606" s="44"/>
      <c r="B606" s="61"/>
      <c r="C606" s="60"/>
    </row>
    <row r="607" ht="15.75" customHeight="1">
      <c r="A607" s="44"/>
      <c r="B607" s="61"/>
      <c r="C607" s="60"/>
    </row>
    <row r="608" ht="15.75" customHeight="1">
      <c r="A608" s="44"/>
      <c r="B608" s="61"/>
      <c r="C608" s="60"/>
    </row>
    <row r="609" ht="15.75" customHeight="1">
      <c r="A609" s="44"/>
      <c r="B609" s="61"/>
      <c r="C609" s="60"/>
    </row>
    <row r="610" ht="15.75" customHeight="1">
      <c r="A610" s="44"/>
      <c r="B610" s="61"/>
      <c r="C610" s="60"/>
    </row>
    <row r="611" ht="15.75" customHeight="1">
      <c r="A611" s="44"/>
      <c r="B611" s="61"/>
      <c r="C611" s="60"/>
    </row>
    <row r="612" ht="15.75" customHeight="1">
      <c r="A612" s="44"/>
      <c r="B612" s="61"/>
      <c r="C612" s="60"/>
    </row>
    <row r="613" ht="15.75" customHeight="1">
      <c r="A613" s="44"/>
      <c r="B613" s="61"/>
      <c r="C613" s="60"/>
    </row>
    <row r="614" ht="15.75" customHeight="1">
      <c r="A614" s="44"/>
      <c r="B614" s="61"/>
      <c r="C614" s="60"/>
    </row>
    <row r="615" ht="15.75" customHeight="1">
      <c r="A615" s="44"/>
      <c r="B615" s="61"/>
      <c r="C615" s="60"/>
    </row>
    <row r="616" ht="15.75" customHeight="1">
      <c r="A616" s="44"/>
      <c r="B616" s="61"/>
      <c r="C616" s="60"/>
    </row>
    <row r="617" ht="15.75" customHeight="1">
      <c r="A617" s="44"/>
      <c r="B617" s="61"/>
      <c r="C617" s="60"/>
    </row>
    <row r="618" ht="15.75" customHeight="1">
      <c r="A618" s="44"/>
      <c r="B618" s="61"/>
      <c r="C618" s="60"/>
    </row>
    <row r="619" ht="15.75" customHeight="1">
      <c r="A619" s="44"/>
      <c r="B619" s="61"/>
      <c r="C619" s="60"/>
    </row>
    <row r="620" ht="15.75" customHeight="1">
      <c r="A620" s="44"/>
      <c r="B620" s="61"/>
      <c r="C620" s="60"/>
    </row>
    <row r="621" ht="15.75" customHeight="1">
      <c r="A621" s="44"/>
      <c r="B621" s="61"/>
      <c r="C621" s="60"/>
    </row>
    <row r="622" ht="15.75" customHeight="1">
      <c r="A622" s="44"/>
      <c r="B622" s="61"/>
      <c r="C622" s="60"/>
    </row>
    <row r="623" ht="15.75" customHeight="1">
      <c r="A623" s="44"/>
      <c r="B623" s="61"/>
      <c r="C623" s="60"/>
    </row>
    <row r="624" ht="15.75" customHeight="1">
      <c r="A624" s="44"/>
      <c r="B624" s="61"/>
      <c r="C624" s="60"/>
    </row>
    <row r="625" ht="15.75" customHeight="1">
      <c r="A625" s="44"/>
      <c r="B625" s="61"/>
      <c r="C625" s="60"/>
    </row>
    <row r="626" ht="15.75" customHeight="1">
      <c r="A626" s="44"/>
      <c r="B626" s="61"/>
      <c r="C626" s="60"/>
    </row>
    <row r="627" ht="15.75" customHeight="1">
      <c r="A627" s="44"/>
      <c r="B627" s="61"/>
      <c r="C627" s="60"/>
    </row>
    <row r="628" ht="15.75" customHeight="1">
      <c r="A628" s="44"/>
      <c r="B628" s="61"/>
      <c r="C628" s="60"/>
    </row>
    <row r="629" ht="15.75" customHeight="1">
      <c r="A629" s="44"/>
      <c r="B629" s="61"/>
      <c r="C629" s="60"/>
    </row>
    <row r="630" ht="15.75" customHeight="1">
      <c r="A630" s="44"/>
      <c r="B630" s="61"/>
      <c r="C630" s="60"/>
    </row>
    <row r="631" ht="15.75" customHeight="1">
      <c r="A631" s="44"/>
      <c r="B631" s="61"/>
      <c r="C631" s="60"/>
    </row>
    <row r="632" ht="15.75" customHeight="1">
      <c r="A632" s="44"/>
      <c r="B632" s="61"/>
      <c r="C632" s="60"/>
    </row>
    <row r="633" ht="15.75" customHeight="1">
      <c r="A633" s="44"/>
      <c r="B633" s="61"/>
      <c r="C633" s="60"/>
    </row>
    <row r="634" ht="15.75" customHeight="1">
      <c r="A634" s="44"/>
      <c r="B634" s="61"/>
      <c r="C634" s="60"/>
    </row>
    <row r="635" ht="15.75" customHeight="1">
      <c r="A635" s="44"/>
      <c r="B635" s="61"/>
      <c r="C635" s="60"/>
    </row>
    <row r="636" ht="15.75" customHeight="1">
      <c r="A636" s="44"/>
      <c r="B636" s="61"/>
      <c r="C636" s="60"/>
    </row>
    <row r="637" ht="15.75" customHeight="1">
      <c r="A637" s="44"/>
      <c r="B637" s="61"/>
      <c r="C637" s="60"/>
    </row>
    <row r="638" ht="15.75" customHeight="1">
      <c r="A638" s="44"/>
      <c r="B638" s="61"/>
      <c r="C638" s="60"/>
    </row>
    <row r="639" ht="15.75" customHeight="1">
      <c r="A639" s="44"/>
      <c r="B639" s="61"/>
      <c r="C639" s="60"/>
    </row>
    <row r="640" ht="15.75" customHeight="1">
      <c r="A640" s="44"/>
      <c r="B640" s="61"/>
      <c r="C640" s="60"/>
    </row>
    <row r="641" ht="15.75" customHeight="1">
      <c r="A641" s="44"/>
      <c r="B641" s="61"/>
      <c r="C641" s="60"/>
    </row>
    <row r="642" ht="15.75" customHeight="1">
      <c r="A642" s="44"/>
      <c r="B642" s="61"/>
      <c r="C642" s="60"/>
    </row>
    <row r="643" ht="15.75" customHeight="1">
      <c r="A643" s="44"/>
      <c r="B643" s="61"/>
      <c r="C643" s="60"/>
    </row>
    <row r="644" ht="15.75" customHeight="1">
      <c r="A644" s="44"/>
      <c r="B644" s="61"/>
      <c r="C644" s="60"/>
    </row>
    <row r="645" ht="15.75" customHeight="1">
      <c r="A645" s="44"/>
      <c r="B645" s="61"/>
      <c r="C645" s="60"/>
    </row>
    <row r="646" ht="15.75" customHeight="1">
      <c r="A646" s="44"/>
      <c r="B646" s="61"/>
      <c r="C646" s="60"/>
    </row>
    <row r="647" ht="15.75" customHeight="1">
      <c r="A647" s="44"/>
      <c r="B647" s="61"/>
      <c r="C647" s="60"/>
    </row>
    <row r="648" ht="15.75" customHeight="1">
      <c r="A648" s="44"/>
      <c r="B648" s="61"/>
      <c r="C648" s="60"/>
    </row>
    <row r="649" ht="15.75" customHeight="1">
      <c r="A649" s="44"/>
      <c r="B649" s="61"/>
      <c r="C649" s="60"/>
    </row>
    <row r="650" ht="15.75" customHeight="1">
      <c r="A650" s="44"/>
      <c r="B650" s="61"/>
      <c r="C650" s="60"/>
    </row>
    <row r="651" ht="15.75" customHeight="1">
      <c r="A651" s="44"/>
      <c r="B651" s="61"/>
      <c r="C651" s="60"/>
    </row>
    <row r="652" ht="15.75" customHeight="1">
      <c r="A652" s="44"/>
      <c r="B652" s="61"/>
      <c r="C652" s="60"/>
    </row>
    <row r="653" ht="15.75" customHeight="1">
      <c r="A653" s="44"/>
      <c r="B653" s="61"/>
      <c r="C653" s="60"/>
    </row>
    <row r="654" ht="15.75" customHeight="1">
      <c r="A654" s="44"/>
      <c r="B654" s="61"/>
      <c r="C654" s="60"/>
    </row>
    <row r="655" ht="15.75" customHeight="1">
      <c r="A655" s="44"/>
      <c r="B655" s="61"/>
      <c r="C655" s="60"/>
    </row>
    <row r="656" ht="15.75" customHeight="1">
      <c r="A656" s="44"/>
      <c r="B656" s="61"/>
      <c r="C656" s="60"/>
    </row>
    <row r="657" ht="15.75" customHeight="1">
      <c r="A657" s="44"/>
      <c r="B657" s="61"/>
      <c r="C657" s="60"/>
    </row>
    <row r="658" ht="15.75" customHeight="1">
      <c r="A658" s="44"/>
      <c r="B658" s="61"/>
      <c r="C658" s="60"/>
    </row>
    <row r="659" ht="15.75" customHeight="1">
      <c r="A659" s="44"/>
      <c r="B659" s="61"/>
      <c r="C659" s="60"/>
    </row>
    <row r="660" ht="15.75" customHeight="1">
      <c r="A660" s="44"/>
      <c r="B660" s="61"/>
      <c r="C660" s="60"/>
    </row>
    <row r="661" ht="15.75" customHeight="1">
      <c r="A661" s="44"/>
      <c r="B661" s="61"/>
      <c r="C661" s="60"/>
    </row>
    <row r="662" ht="15.75" customHeight="1">
      <c r="A662" s="44"/>
      <c r="B662" s="61"/>
      <c r="C662" s="60"/>
    </row>
    <row r="663" ht="15.75" customHeight="1">
      <c r="A663" s="44"/>
      <c r="B663" s="61"/>
      <c r="C663" s="60"/>
    </row>
    <row r="664" ht="15.75" customHeight="1">
      <c r="A664" s="44"/>
      <c r="B664" s="61"/>
      <c r="C664" s="60"/>
    </row>
    <row r="665" ht="15.75" customHeight="1">
      <c r="A665" s="44"/>
      <c r="B665" s="61"/>
      <c r="C665" s="60"/>
    </row>
    <row r="666" ht="15.75" customHeight="1">
      <c r="A666" s="44"/>
      <c r="B666" s="61"/>
      <c r="C666" s="60"/>
    </row>
    <row r="667" ht="15.75" customHeight="1">
      <c r="A667" s="44"/>
      <c r="B667" s="61"/>
      <c r="C667" s="60"/>
    </row>
    <row r="668" ht="15.75" customHeight="1">
      <c r="A668" s="44"/>
      <c r="B668" s="61"/>
      <c r="C668" s="60"/>
    </row>
    <row r="669" ht="15.75" customHeight="1">
      <c r="A669" s="44"/>
      <c r="B669" s="61"/>
      <c r="C669" s="60"/>
    </row>
    <row r="670" ht="15.75" customHeight="1">
      <c r="A670" s="44"/>
      <c r="B670" s="61"/>
      <c r="C670" s="60"/>
    </row>
    <row r="671" ht="15.75" customHeight="1">
      <c r="A671" s="44"/>
      <c r="B671" s="61"/>
      <c r="C671" s="60"/>
    </row>
    <row r="672" ht="15.75" customHeight="1">
      <c r="A672" s="44"/>
      <c r="B672" s="61"/>
      <c r="C672" s="60"/>
    </row>
    <row r="673" ht="15.75" customHeight="1">
      <c r="A673" s="44"/>
      <c r="B673" s="61"/>
      <c r="C673" s="60"/>
    </row>
    <row r="674" ht="15.75" customHeight="1">
      <c r="A674" s="44"/>
      <c r="B674" s="61"/>
      <c r="C674" s="60"/>
    </row>
    <row r="675" ht="15.75" customHeight="1">
      <c r="A675" s="44"/>
      <c r="B675" s="61"/>
      <c r="C675" s="60"/>
    </row>
    <row r="676" ht="15.75" customHeight="1">
      <c r="A676" s="44"/>
      <c r="B676" s="61"/>
      <c r="C676" s="60"/>
    </row>
    <row r="677" ht="15.75" customHeight="1">
      <c r="A677" s="44"/>
      <c r="B677" s="61"/>
      <c r="C677" s="60"/>
    </row>
    <row r="678" ht="15.75" customHeight="1">
      <c r="A678" s="44"/>
      <c r="B678" s="61"/>
      <c r="C678" s="60"/>
    </row>
    <row r="679" ht="15.75" customHeight="1">
      <c r="A679" s="44"/>
      <c r="B679" s="61"/>
      <c r="C679" s="60"/>
    </row>
    <row r="680" ht="15.75" customHeight="1">
      <c r="A680" s="44"/>
      <c r="B680" s="61"/>
      <c r="C680" s="60"/>
    </row>
    <row r="681" ht="15.75" customHeight="1">
      <c r="A681" s="44"/>
      <c r="B681" s="61"/>
      <c r="C681" s="60"/>
    </row>
    <row r="682" ht="15.75" customHeight="1">
      <c r="A682" s="44"/>
      <c r="B682" s="61"/>
      <c r="C682" s="60"/>
    </row>
    <row r="683" ht="15.75" customHeight="1">
      <c r="A683" s="44"/>
      <c r="B683" s="61"/>
      <c r="C683" s="60"/>
    </row>
    <row r="684" ht="15.75" customHeight="1">
      <c r="A684" s="44"/>
      <c r="B684" s="61"/>
      <c r="C684" s="60"/>
    </row>
    <row r="685" ht="15.75" customHeight="1">
      <c r="A685" s="44"/>
      <c r="B685" s="61"/>
      <c r="C685" s="60"/>
    </row>
    <row r="686" ht="15.75" customHeight="1">
      <c r="A686" s="44"/>
      <c r="B686" s="61"/>
      <c r="C686" s="60"/>
    </row>
    <row r="687" ht="15.75" customHeight="1">
      <c r="A687" s="44"/>
      <c r="B687" s="61"/>
      <c r="C687" s="60"/>
    </row>
    <row r="688" ht="15.75" customHeight="1">
      <c r="A688" s="44"/>
      <c r="B688" s="61"/>
      <c r="C688" s="60"/>
    </row>
    <row r="689" ht="15.75" customHeight="1">
      <c r="A689" s="44"/>
      <c r="B689" s="61"/>
      <c r="C689" s="60"/>
    </row>
    <row r="690" ht="15.75" customHeight="1">
      <c r="A690" s="44"/>
      <c r="B690" s="61"/>
      <c r="C690" s="60"/>
    </row>
    <row r="691" ht="15.75" customHeight="1">
      <c r="A691" s="44"/>
      <c r="B691" s="61"/>
      <c r="C691" s="60"/>
    </row>
    <row r="692" ht="15.75" customHeight="1">
      <c r="A692" s="44"/>
      <c r="B692" s="61"/>
      <c r="C692" s="60"/>
    </row>
    <row r="693" ht="15.75" customHeight="1">
      <c r="A693" s="44"/>
      <c r="B693" s="61"/>
      <c r="C693" s="60"/>
    </row>
    <row r="694" ht="15.75" customHeight="1">
      <c r="A694" s="44"/>
      <c r="B694" s="61"/>
      <c r="C694" s="60"/>
    </row>
    <row r="695" ht="15.75" customHeight="1">
      <c r="A695" s="44"/>
      <c r="B695" s="61"/>
      <c r="C695" s="60"/>
    </row>
    <row r="696" ht="15.75" customHeight="1">
      <c r="A696" s="44"/>
      <c r="B696" s="61"/>
      <c r="C696" s="60"/>
    </row>
    <row r="697" ht="15.75" customHeight="1">
      <c r="A697" s="44"/>
      <c r="B697" s="61"/>
      <c r="C697" s="60"/>
    </row>
    <row r="698" ht="15.75" customHeight="1">
      <c r="A698" s="44"/>
      <c r="B698" s="61"/>
      <c r="C698" s="60"/>
    </row>
    <row r="699" ht="15.75" customHeight="1">
      <c r="A699" s="44"/>
      <c r="B699" s="61"/>
      <c r="C699" s="60"/>
    </row>
    <row r="700" ht="15.75" customHeight="1">
      <c r="A700" s="44"/>
      <c r="B700" s="61"/>
      <c r="C700" s="60"/>
    </row>
    <row r="701" ht="15.75" customHeight="1">
      <c r="A701" s="44"/>
      <c r="B701" s="61"/>
      <c r="C701" s="60"/>
    </row>
    <row r="702" ht="15.75" customHeight="1">
      <c r="A702" s="44"/>
      <c r="B702" s="61"/>
      <c r="C702" s="60"/>
    </row>
    <row r="703" ht="15.75" customHeight="1">
      <c r="A703" s="44"/>
      <c r="B703" s="61"/>
      <c r="C703" s="60"/>
    </row>
    <row r="704" ht="15.75" customHeight="1">
      <c r="A704" s="44"/>
      <c r="B704" s="61"/>
      <c r="C704" s="60"/>
    </row>
    <row r="705" ht="15.75" customHeight="1">
      <c r="A705" s="44"/>
      <c r="B705" s="61"/>
      <c r="C705" s="60"/>
    </row>
    <row r="706" ht="15.75" customHeight="1">
      <c r="A706" s="44"/>
      <c r="B706" s="61"/>
      <c r="C706" s="60"/>
    </row>
    <row r="707" ht="15.75" customHeight="1">
      <c r="A707" s="44"/>
      <c r="B707" s="61"/>
      <c r="C707" s="60"/>
    </row>
    <row r="708" ht="15.75" customHeight="1">
      <c r="A708" s="44"/>
      <c r="B708" s="61"/>
      <c r="C708" s="60"/>
    </row>
    <row r="709" ht="15.75" customHeight="1">
      <c r="A709" s="44"/>
      <c r="B709" s="61"/>
      <c r="C709" s="60"/>
    </row>
    <row r="710" ht="15.75" customHeight="1">
      <c r="A710" s="44"/>
      <c r="B710" s="61"/>
      <c r="C710" s="60"/>
    </row>
    <row r="711" ht="15.75" customHeight="1">
      <c r="A711" s="44"/>
      <c r="B711" s="61"/>
      <c r="C711" s="60"/>
    </row>
    <row r="712" ht="15.75" customHeight="1">
      <c r="A712" s="44"/>
      <c r="B712" s="61"/>
      <c r="C712" s="60"/>
    </row>
    <row r="713" ht="15.75" customHeight="1">
      <c r="A713" s="44"/>
      <c r="B713" s="61"/>
      <c r="C713" s="60"/>
    </row>
    <row r="714" ht="15.75" customHeight="1">
      <c r="A714" s="44"/>
      <c r="B714" s="61"/>
      <c r="C714" s="60"/>
    </row>
    <row r="715" ht="15.75" customHeight="1">
      <c r="A715" s="44"/>
      <c r="B715" s="61"/>
      <c r="C715" s="60"/>
    </row>
    <row r="716" ht="15.75" customHeight="1">
      <c r="A716" s="44"/>
      <c r="B716" s="61"/>
      <c r="C716" s="60"/>
    </row>
    <row r="717" ht="15.75" customHeight="1">
      <c r="A717" s="44"/>
      <c r="B717" s="61"/>
      <c r="C717" s="60"/>
    </row>
    <row r="718" ht="15.75" customHeight="1">
      <c r="A718" s="44"/>
      <c r="B718" s="61"/>
      <c r="C718" s="60"/>
    </row>
    <row r="719" ht="15.75" customHeight="1">
      <c r="A719" s="44"/>
      <c r="B719" s="61"/>
      <c r="C719" s="60"/>
    </row>
    <row r="720" ht="15.75" customHeight="1">
      <c r="A720" s="44"/>
      <c r="B720" s="61"/>
      <c r="C720" s="60"/>
    </row>
    <row r="721" ht="15.75" customHeight="1">
      <c r="A721" s="44"/>
      <c r="B721" s="61"/>
      <c r="C721" s="60"/>
    </row>
    <row r="722" ht="15.75" customHeight="1">
      <c r="A722" s="44"/>
      <c r="B722" s="61"/>
      <c r="C722" s="60"/>
    </row>
    <row r="723" ht="15.75" customHeight="1">
      <c r="A723" s="44"/>
      <c r="B723" s="61"/>
      <c r="C723" s="60"/>
    </row>
    <row r="724" ht="15.75" customHeight="1">
      <c r="A724" s="44"/>
      <c r="B724" s="61"/>
      <c r="C724" s="60"/>
    </row>
    <row r="725" ht="15.75" customHeight="1">
      <c r="A725" s="44"/>
      <c r="B725" s="61"/>
      <c r="C725" s="60"/>
    </row>
    <row r="726" ht="15.75" customHeight="1">
      <c r="A726" s="44"/>
      <c r="B726" s="61"/>
      <c r="C726" s="60"/>
    </row>
    <row r="727" ht="15.75" customHeight="1">
      <c r="A727" s="44"/>
      <c r="B727" s="61"/>
      <c r="C727" s="60"/>
    </row>
    <row r="728" ht="15.75" customHeight="1">
      <c r="A728" s="44"/>
      <c r="B728" s="61"/>
      <c r="C728" s="60"/>
    </row>
    <row r="729" ht="15.75" customHeight="1">
      <c r="A729" s="44"/>
      <c r="B729" s="61"/>
      <c r="C729" s="60"/>
    </row>
    <row r="730" ht="15.75" customHeight="1">
      <c r="A730" s="44"/>
      <c r="B730" s="61"/>
      <c r="C730" s="60"/>
    </row>
    <row r="731" ht="15.75" customHeight="1">
      <c r="A731" s="44"/>
      <c r="B731" s="61"/>
      <c r="C731" s="60"/>
    </row>
    <row r="732" ht="15.75" customHeight="1">
      <c r="A732" s="44"/>
      <c r="B732" s="61"/>
      <c r="C732" s="60"/>
    </row>
    <row r="733" ht="15.75" customHeight="1">
      <c r="A733" s="44"/>
      <c r="B733" s="61"/>
      <c r="C733" s="60"/>
    </row>
    <row r="734" ht="15.75" customHeight="1">
      <c r="A734" s="44"/>
      <c r="B734" s="61"/>
      <c r="C734" s="60"/>
    </row>
    <row r="735" ht="15.75" customHeight="1">
      <c r="A735" s="44"/>
      <c r="B735" s="61"/>
      <c r="C735" s="60"/>
    </row>
    <row r="736" ht="15.75" customHeight="1">
      <c r="A736" s="44"/>
      <c r="B736" s="61"/>
      <c r="C736" s="60"/>
    </row>
    <row r="737" ht="15.75" customHeight="1">
      <c r="A737" s="44"/>
      <c r="B737" s="61"/>
      <c r="C737" s="60"/>
    </row>
    <row r="738" ht="15.75" customHeight="1">
      <c r="A738" s="44"/>
      <c r="B738" s="61"/>
      <c r="C738" s="60"/>
    </row>
    <row r="739" ht="15.75" customHeight="1">
      <c r="A739" s="44"/>
      <c r="B739" s="61"/>
      <c r="C739" s="60"/>
    </row>
    <row r="740" ht="15.75" customHeight="1">
      <c r="A740" s="44"/>
      <c r="B740" s="61"/>
      <c r="C740" s="60"/>
    </row>
    <row r="741" ht="15.75" customHeight="1">
      <c r="A741" s="44"/>
      <c r="B741" s="61"/>
      <c r="C741" s="60"/>
    </row>
    <row r="742" ht="15.75" customHeight="1">
      <c r="A742" s="44"/>
      <c r="B742" s="61"/>
      <c r="C742" s="60"/>
    </row>
    <row r="743" ht="15.75" customHeight="1">
      <c r="A743" s="44"/>
      <c r="B743" s="61"/>
      <c r="C743" s="60"/>
    </row>
    <row r="744" ht="15.75" customHeight="1">
      <c r="A744" s="44"/>
      <c r="B744" s="61"/>
      <c r="C744" s="60"/>
    </row>
    <row r="745" ht="15.75" customHeight="1">
      <c r="A745" s="44"/>
      <c r="B745" s="61"/>
      <c r="C745" s="60"/>
    </row>
    <row r="746" ht="15.75" customHeight="1">
      <c r="A746" s="44"/>
      <c r="B746" s="61"/>
      <c r="C746" s="60"/>
    </row>
    <row r="747" ht="15.75" customHeight="1">
      <c r="A747" s="44"/>
      <c r="B747" s="61"/>
      <c r="C747" s="60"/>
    </row>
    <row r="748" ht="15.75" customHeight="1">
      <c r="A748" s="44"/>
      <c r="B748" s="61"/>
      <c r="C748" s="60"/>
    </row>
    <row r="749" ht="15.75" customHeight="1">
      <c r="A749" s="44"/>
      <c r="B749" s="61"/>
      <c r="C749" s="60"/>
    </row>
    <row r="750" ht="15.75" customHeight="1">
      <c r="A750" s="44"/>
      <c r="B750" s="61"/>
      <c r="C750" s="60"/>
    </row>
    <row r="751" ht="15.75" customHeight="1">
      <c r="A751" s="44"/>
      <c r="B751" s="61"/>
      <c r="C751" s="60"/>
    </row>
    <row r="752" ht="15.75" customHeight="1">
      <c r="A752" s="44"/>
      <c r="B752" s="61"/>
      <c r="C752" s="60"/>
    </row>
    <row r="753" ht="15.75" customHeight="1">
      <c r="A753" s="44"/>
      <c r="B753" s="61"/>
      <c r="C753" s="60"/>
    </row>
    <row r="754" ht="15.75" customHeight="1">
      <c r="A754" s="44"/>
      <c r="B754" s="61"/>
      <c r="C754" s="60"/>
    </row>
    <row r="755" ht="15.75" customHeight="1">
      <c r="A755" s="44"/>
      <c r="B755" s="61"/>
      <c r="C755" s="60"/>
    </row>
    <row r="756" ht="15.75" customHeight="1">
      <c r="A756" s="44"/>
      <c r="B756" s="61"/>
      <c r="C756" s="60"/>
    </row>
    <row r="757" ht="15.75" customHeight="1">
      <c r="A757" s="44"/>
      <c r="B757" s="61"/>
      <c r="C757" s="60"/>
    </row>
    <row r="758" ht="15.75" customHeight="1">
      <c r="A758" s="44"/>
      <c r="B758" s="61"/>
      <c r="C758" s="60"/>
    </row>
    <row r="759" ht="15.75" customHeight="1">
      <c r="A759" s="44"/>
      <c r="B759" s="61"/>
      <c r="C759" s="60"/>
    </row>
    <row r="760" ht="15.75" customHeight="1">
      <c r="A760" s="44"/>
      <c r="B760" s="61"/>
      <c r="C760" s="60"/>
    </row>
    <row r="761" ht="15.75" customHeight="1">
      <c r="A761" s="44"/>
      <c r="B761" s="61"/>
      <c r="C761" s="60"/>
    </row>
    <row r="762" ht="15.75" customHeight="1">
      <c r="A762" s="44"/>
      <c r="B762" s="61"/>
      <c r="C762" s="60"/>
    </row>
    <row r="763" ht="15.75" customHeight="1">
      <c r="A763" s="44"/>
      <c r="B763" s="61"/>
      <c r="C763" s="60"/>
    </row>
    <row r="764" ht="15.75" customHeight="1">
      <c r="A764" s="44"/>
      <c r="B764" s="61"/>
      <c r="C764" s="60"/>
    </row>
    <row r="765" ht="15.75" customHeight="1">
      <c r="A765" s="44"/>
      <c r="B765" s="61"/>
      <c r="C765" s="60"/>
    </row>
    <row r="766" ht="15.75" customHeight="1">
      <c r="A766" s="44"/>
      <c r="B766" s="61"/>
      <c r="C766" s="60"/>
    </row>
    <row r="767" ht="15.75" customHeight="1">
      <c r="A767" s="44"/>
      <c r="B767" s="61"/>
      <c r="C767" s="60"/>
    </row>
    <row r="768" ht="15.75" customHeight="1">
      <c r="A768" s="44"/>
      <c r="B768" s="61"/>
      <c r="C768" s="60"/>
    </row>
    <row r="769" ht="15.75" customHeight="1">
      <c r="A769" s="44"/>
      <c r="B769" s="61"/>
      <c r="C769" s="60"/>
    </row>
    <row r="770" ht="15.75" customHeight="1">
      <c r="A770" s="44"/>
      <c r="B770" s="61"/>
      <c r="C770" s="60"/>
    </row>
    <row r="771" ht="15.75" customHeight="1">
      <c r="A771" s="44"/>
      <c r="B771" s="61"/>
      <c r="C771" s="60"/>
    </row>
    <row r="772" ht="15.75" customHeight="1">
      <c r="A772" s="44"/>
      <c r="B772" s="61"/>
      <c r="C772" s="60"/>
    </row>
    <row r="773" ht="15.75" customHeight="1">
      <c r="A773" s="44"/>
      <c r="B773" s="61"/>
      <c r="C773" s="60"/>
    </row>
    <row r="774" ht="15.75" customHeight="1">
      <c r="A774" s="44"/>
      <c r="B774" s="61"/>
      <c r="C774" s="60"/>
    </row>
    <row r="775" ht="15.75" customHeight="1">
      <c r="A775" s="44"/>
      <c r="B775" s="61"/>
      <c r="C775" s="60"/>
    </row>
    <row r="776" ht="15.75" customHeight="1">
      <c r="A776" s="44"/>
      <c r="B776" s="61"/>
      <c r="C776" s="60"/>
    </row>
    <row r="777" ht="15.75" customHeight="1">
      <c r="A777" s="44"/>
      <c r="B777" s="61"/>
      <c r="C777" s="60"/>
    </row>
    <row r="778" ht="15.75" customHeight="1">
      <c r="A778" s="44"/>
      <c r="B778" s="61"/>
      <c r="C778" s="60"/>
    </row>
    <row r="779" ht="15.75" customHeight="1">
      <c r="A779" s="44"/>
      <c r="B779" s="61"/>
      <c r="C779" s="60"/>
    </row>
    <row r="780" ht="15.75" customHeight="1">
      <c r="A780" s="44"/>
      <c r="B780" s="61"/>
      <c r="C780" s="60"/>
    </row>
    <row r="781" ht="15.75" customHeight="1">
      <c r="A781" s="44"/>
      <c r="B781" s="61"/>
      <c r="C781" s="60"/>
    </row>
    <row r="782" ht="15.75" customHeight="1">
      <c r="A782" s="44"/>
      <c r="B782" s="61"/>
      <c r="C782" s="60"/>
    </row>
    <row r="783" ht="15.75" customHeight="1">
      <c r="A783" s="44"/>
      <c r="B783" s="61"/>
      <c r="C783" s="60"/>
    </row>
    <row r="784" ht="15.75" customHeight="1">
      <c r="A784" s="44"/>
      <c r="B784" s="61"/>
      <c r="C784" s="60"/>
    </row>
    <row r="785" ht="15.75" customHeight="1">
      <c r="A785" s="44"/>
      <c r="B785" s="61"/>
      <c r="C785" s="60"/>
    </row>
    <row r="786" ht="15.75" customHeight="1">
      <c r="A786" s="44"/>
      <c r="B786" s="61"/>
      <c r="C786" s="60"/>
    </row>
    <row r="787" ht="15.75" customHeight="1">
      <c r="A787" s="44"/>
      <c r="B787" s="61"/>
      <c r="C787" s="60"/>
    </row>
    <row r="788" ht="15.75" customHeight="1">
      <c r="A788" s="44"/>
      <c r="B788" s="61"/>
      <c r="C788" s="60"/>
    </row>
    <row r="789" ht="15.75" customHeight="1">
      <c r="A789" s="44"/>
      <c r="B789" s="61"/>
      <c r="C789" s="60"/>
    </row>
    <row r="790" ht="15.75" customHeight="1">
      <c r="A790" s="44"/>
      <c r="B790" s="61"/>
      <c r="C790" s="60"/>
    </row>
    <row r="791" ht="15.75" customHeight="1">
      <c r="A791" s="44"/>
      <c r="B791" s="61"/>
      <c r="C791" s="60"/>
    </row>
    <row r="792" ht="15.75" customHeight="1">
      <c r="A792" s="44"/>
      <c r="B792" s="61"/>
      <c r="C792" s="60"/>
    </row>
    <row r="793" ht="15.75" customHeight="1">
      <c r="A793" s="44"/>
      <c r="B793" s="61"/>
      <c r="C793" s="60"/>
    </row>
    <row r="794" ht="15.75" customHeight="1">
      <c r="A794" s="44"/>
      <c r="B794" s="61"/>
      <c r="C794" s="60"/>
    </row>
    <row r="795" ht="15.75" customHeight="1">
      <c r="A795" s="44"/>
      <c r="B795" s="61"/>
      <c r="C795" s="60"/>
    </row>
    <row r="796" ht="15.75" customHeight="1">
      <c r="A796" s="44"/>
      <c r="B796" s="61"/>
      <c r="C796" s="60"/>
    </row>
    <row r="797" ht="15.75" customHeight="1">
      <c r="A797" s="44"/>
      <c r="B797" s="61"/>
      <c r="C797" s="60"/>
    </row>
    <row r="798" ht="15.75" customHeight="1">
      <c r="A798" s="44"/>
      <c r="B798" s="61"/>
      <c r="C798" s="60"/>
    </row>
    <row r="799" ht="15.75" customHeight="1">
      <c r="A799" s="44"/>
      <c r="B799" s="61"/>
      <c r="C799" s="60"/>
    </row>
    <row r="800" ht="15.75" customHeight="1">
      <c r="A800" s="44"/>
      <c r="B800" s="61"/>
      <c r="C800" s="60"/>
    </row>
    <row r="801" ht="15.75" customHeight="1">
      <c r="A801" s="44"/>
      <c r="B801" s="61"/>
      <c r="C801" s="60"/>
    </row>
    <row r="802" ht="15.75" customHeight="1">
      <c r="A802" s="44"/>
      <c r="B802" s="61"/>
      <c r="C802" s="60"/>
    </row>
    <row r="803" ht="15.75" customHeight="1">
      <c r="A803" s="44"/>
      <c r="B803" s="61"/>
      <c r="C803" s="60"/>
    </row>
    <row r="804" ht="15.75" customHeight="1">
      <c r="A804" s="44"/>
      <c r="B804" s="61"/>
      <c r="C804" s="60"/>
    </row>
    <row r="805" ht="15.75" customHeight="1">
      <c r="A805" s="44"/>
      <c r="B805" s="61"/>
      <c r="C805" s="60"/>
    </row>
    <row r="806" ht="15.75" customHeight="1">
      <c r="A806" s="44"/>
      <c r="B806" s="61"/>
      <c r="C806" s="60"/>
    </row>
    <row r="807" ht="15.75" customHeight="1">
      <c r="A807" s="44"/>
      <c r="B807" s="61"/>
      <c r="C807" s="60"/>
    </row>
    <row r="808" ht="15.75" customHeight="1">
      <c r="A808" s="44"/>
      <c r="B808" s="61"/>
      <c r="C808" s="60"/>
    </row>
    <row r="809" ht="15.75" customHeight="1">
      <c r="A809" s="44"/>
      <c r="B809" s="61"/>
      <c r="C809" s="60"/>
    </row>
    <row r="810" ht="15.75" customHeight="1">
      <c r="A810" s="44"/>
      <c r="B810" s="61"/>
      <c r="C810" s="60"/>
    </row>
    <row r="811" ht="15.75" customHeight="1">
      <c r="A811" s="44"/>
      <c r="B811" s="61"/>
      <c r="C811" s="60"/>
    </row>
    <row r="812" ht="15.75" customHeight="1">
      <c r="A812" s="44"/>
      <c r="B812" s="61"/>
      <c r="C812" s="60"/>
    </row>
    <row r="813" ht="15.75" customHeight="1">
      <c r="A813" s="44"/>
      <c r="B813" s="61"/>
      <c r="C813" s="60"/>
    </row>
    <row r="814" ht="15.75" customHeight="1">
      <c r="A814" s="44"/>
      <c r="B814" s="61"/>
      <c r="C814" s="60"/>
    </row>
    <row r="815" ht="15.75" customHeight="1">
      <c r="A815" s="44"/>
      <c r="B815" s="61"/>
      <c r="C815" s="60"/>
    </row>
    <row r="816" ht="15.75" customHeight="1">
      <c r="A816" s="44"/>
      <c r="B816" s="61"/>
      <c r="C816" s="60"/>
    </row>
    <row r="817" ht="15.75" customHeight="1">
      <c r="A817" s="44"/>
      <c r="B817" s="61"/>
      <c r="C817" s="60"/>
    </row>
    <row r="818" ht="15.75" customHeight="1">
      <c r="A818" s="44"/>
      <c r="B818" s="61"/>
      <c r="C818" s="60"/>
    </row>
    <row r="819" ht="15.75" customHeight="1">
      <c r="A819" s="44"/>
      <c r="B819" s="61"/>
      <c r="C819" s="60"/>
    </row>
    <row r="820" ht="15.75" customHeight="1">
      <c r="A820" s="44"/>
      <c r="B820" s="61"/>
      <c r="C820" s="60"/>
    </row>
    <row r="821" ht="15.75" customHeight="1">
      <c r="A821" s="44"/>
      <c r="B821" s="61"/>
      <c r="C821" s="60"/>
    </row>
    <row r="822" ht="15.75" customHeight="1">
      <c r="A822" s="44"/>
      <c r="B822" s="61"/>
      <c r="C822" s="60"/>
    </row>
    <row r="823" ht="15.75" customHeight="1">
      <c r="A823" s="44"/>
      <c r="B823" s="61"/>
      <c r="C823" s="60"/>
    </row>
    <row r="824" ht="15.75" customHeight="1">
      <c r="A824" s="44"/>
      <c r="B824" s="61"/>
      <c r="C824" s="60"/>
    </row>
    <row r="825" ht="15.75" customHeight="1">
      <c r="A825" s="44"/>
      <c r="B825" s="61"/>
      <c r="C825" s="60"/>
    </row>
    <row r="826" ht="15.75" customHeight="1">
      <c r="A826" s="44"/>
      <c r="B826" s="61"/>
      <c r="C826" s="60"/>
    </row>
    <row r="827" ht="15.75" customHeight="1">
      <c r="A827" s="44"/>
      <c r="B827" s="61"/>
      <c r="C827" s="60"/>
    </row>
    <row r="828" ht="15.75" customHeight="1">
      <c r="A828" s="44"/>
      <c r="B828" s="61"/>
      <c r="C828" s="60"/>
    </row>
    <row r="829" ht="15.75" customHeight="1">
      <c r="A829" s="44"/>
      <c r="B829" s="61"/>
      <c r="C829" s="60"/>
    </row>
    <row r="830" ht="15.75" customHeight="1">
      <c r="A830" s="44"/>
      <c r="B830" s="61"/>
      <c r="C830" s="60"/>
    </row>
    <row r="831" ht="15.75" customHeight="1">
      <c r="A831" s="44"/>
      <c r="B831" s="61"/>
      <c r="C831" s="60"/>
    </row>
    <row r="832" ht="15.75" customHeight="1">
      <c r="A832" s="44"/>
      <c r="B832" s="61"/>
      <c r="C832" s="60"/>
    </row>
    <row r="833" ht="15.75" customHeight="1">
      <c r="A833" s="44"/>
      <c r="B833" s="61"/>
      <c r="C833" s="60"/>
    </row>
    <row r="834" ht="15.75" customHeight="1">
      <c r="A834" s="44"/>
      <c r="B834" s="61"/>
      <c r="C834" s="60"/>
    </row>
    <row r="835" ht="15.75" customHeight="1">
      <c r="A835" s="44"/>
      <c r="B835" s="61"/>
      <c r="C835" s="60"/>
    </row>
    <row r="836" ht="15.75" customHeight="1">
      <c r="A836" s="44"/>
      <c r="B836" s="61"/>
      <c r="C836" s="60"/>
    </row>
    <row r="837" ht="15.75" customHeight="1">
      <c r="A837" s="44"/>
      <c r="B837" s="61"/>
      <c r="C837" s="60"/>
    </row>
    <row r="838" ht="15.75" customHeight="1">
      <c r="A838" s="44"/>
      <c r="B838" s="61"/>
      <c r="C838" s="60"/>
    </row>
    <row r="839" ht="15.75" customHeight="1">
      <c r="A839" s="44"/>
      <c r="B839" s="61"/>
      <c r="C839" s="60"/>
    </row>
    <row r="840" ht="15.75" customHeight="1">
      <c r="A840" s="44"/>
      <c r="B840" s="61"/>
      <c r="C840" s="60"/>
    </row>
    <row r="841" ht="15.75" customHeight="1">
      <c r="A841" s="44"/>
      <c r="B841" s="61"/>
      <c r="C841" s="60"/>
    </row>
    <row r="842" ht="15.75" customHeight="1">
      <c r="A842" s="44"/>
      <c r="B842" s="61"/>
      <c r="C842" s="60"/>
    </row>
    <row r="843" ht="15.75" customHeight="1">
      <c r="A843" s="44"/>
      <c r="B843" s="61"/>
      <c r="C843" s="60"/>
    </row>
    <row r="844" ht="15.75" customHeight="1">
      <c r="A844" s="44"/>
      <c r="B844" s="61"/>
      <c r="C844" s="60"/>
    </row>
    <row r="845" ht="15.75" customHeight="1">
      <c r="A845" s="44"/>
      <c r="B845" s="61"/>
      <c r="C845" s="60"/>
    </row>
    <row r="846" ht="15.75" customHeight="1">
      <c r="A846" s="44"/>
      <c r="B846" s="61"/>
      <c r="C846" s="60"/>
    </row>
    <row r="847" ht="15.75" customHeight="1">
      <c r="A847" s="44"/>
      <c r="B847" s="61"/>
      <c r="C847" s="60"/>
    </row>
    <row r="848" ht="15.75" customHeight="1">
      <c r="A848" s="44"/>
      <c r="B848" s="61"/>
      <c r="C848" s="60"/>
    </row>
    <row r="849" ht="15.75" customHeight="1">
      <c r="A849" s="44"/>
      <c r="B849" s="61"/>
      <c r="C849" s="60"/>
    </row>
    <row r="850" ht="15.75" customHeight="1">
      <c r="A850" s="44"/>
      <c r="B850" s="61"/>
      <c r="C850" s="60"/>
    </row>
    <row r="851" ht="15.75" customHeight="1">
      <c r="A851" s="44"/>
      <c r="B851" s="61"/>
      <c r="C851" s="60"/>
    </row>
    <row r="852" ht="15.75" customHeight="1">
      <c r="A852" s="44"/>
      <c r="B852" s="61"/>
      <c r="C852" s="60"/>
    </row>
    <row r="853" ht="15.75" customHeight="1">
      <c r="A853" s="44"/>
      <c r="B853" s="61"/>
      <c r="C853" s="60"/>
    </row>
    <row r="854" ht="15.75" customHeight="1">
      <c r="A854" s="44"/>
      <c r="B854" s="61"/>
      <c r="C854" s="60"/>
    </row>
    <row r="855" ht="15.75" customHeight="1">
      <c r="A855" s="44"/>
      <c r="B855" s="61"/>
      <c r="C855" s="60"/>
    </row>
    <row r="856" ht="15.75" customHeight="1">
      <c r="A856" s="44"/>
      <c r="B856" s="61"/>
      <c r="C856" s="60"/>
    </row>
    <row r="857" ht="15.75" customHeight="1">
      <c r="A857" s="44"/>
      <c r="B857" s="61"/>
      <c r="C857" s="60"/>
    </row>
    <row r="858" ht="15.75" customHeight="1">
      <c r="A858" s="44"/>
      <c r="B858" s="61"/>
      <c r="C858" s="60"/>
    </row>
    <row r="859" ht="15.75" customHeight="1">
      <c r="A859" s="44"/>
      <c r="B859" s="61"/>
      <c r="C859" s="60"/>
    </row>
    <row r="860" ht="15.75" customHeight="1">
      <c r="A860" s="44"/>
      <c r="B860" s="61"/>
      <c r="C860" s="60"/>
    </row>
    <row r="861" ht="15.75" customHeight="1">
      <c r="A861" s="44"/>
      <c r="B861" s="61"/>
      <c r="C861" s="60"/>
    </row>
    <row r="862" ht="15.75" customHeight="1">
      <c r="A862" s="44"/>
      <c r="B862" s="61"/>
      <c r="C862" s="60"/>
    </row>
    <row r="863" ht="15.75" customHeight="1">
      <c r="A863" s="44"/>
      <c r="B863" s="61"/>
      <c r="C863" s="60"/>
    </row>
    <row r="864" ht="15.75" customHeight="1">
      <c r="A864" s="44"/>
      <c r="B864" s="61"/>
      <c r="C864" s="60"/>
    </row>
    <row r="865" ht="15.75" customHeight="1">
      <c r="A865" s="44"/>
      <c r="B865" s="61"/>
      <c r="C865" s="60"/>
    </row>
    <row r="866" ht="15.75" customHeight="1">
      <c r="A866" s="44"/>
      <c r="B866" s="61"/>
      <c r="C866" s="60"/>
    </row>
    <row r="867" ht="15.75" customHeight="1">
      <c r="A867" s="44"/>
      <c r="B867" s="61"/>
      <c r="C867" s="60"/>
    </row>
    <row r="868" ht="15.75" customHeight="1">
      <c r="A868" s="44"/>
      <c r="B868" s="61"/>
      <c r="C868" s="60"/>
    </row>
    <row r="869" ht="15.75" customHeight="1">
      <c r="A869" s="44"/>
      <c r="B869" s="61"/>
      <c r="C869" s="60"/>
    </row>
    <row r="870" ht="15.75" customHeight="1">
      <c r="A870" s="44"/>
      <c r="B870" s="61"/>
      <c r="C870" s="60"/>
    </row>
    <row r="871" ht="15.75" customHeight="1">
      <c r="A871" s="44"/>
      <c r="B871" s="61"/>
      <c r="C871" s="60"/>
    </row>
    <row r="872" ht="15.75" customHeight="1">
      <c r="A872" s="44"/>
      <c r="B872" s="61"/>
      <c r="C872" s="60"/>
    </row>
    <row r="873" ht="15.75" customHeight="1">
      <c r="A873" s="44"/>
      <c r="B873" s="61"/>
      <c r="C873" s="60"/>
    </row>
    <row r="874" ht="15.75" customHeight="1">
      <c r="A874" s="44"/>
      <c r="B874" s="61"/>
      <c r="C874" s="60"/>
    </row>
    <row r="875" ht="15.75" customHeight="1">
      <c r="A875" s="44"/>
      <c r="B875" s="61"/>
      <c r="C875" s="60"/>
    </row>
    <row r="876" ht="15.75" customHeight="1">
      <c r="A876" s="44"/>
      <c r="B876" s="61"/>
      <c r="C876" s="60"/>
    </row>
    <row r="877" ht="15.75" customHeight="1">
      <c r="A877" s="44"/>
      <c r="B877" s="61"/>
      <c r="C877" s="60"/>
    </row>
    <row r="878" ht="15.75" customHeight="1">
      <c r="A878" s="44"/>
      <c r="B878" s="61"/>
      <c r="C878" s="60"/>
    </row>
    <row r="879" ht="15.75" customHeight="1">
      <c r="A879" s="44"/>
      <c r="B879" s="61"/>
      <c r="C879" s="60"/>
    </row>
    <row r="880" ht="15.75" customHeight="1">
      <c r="A880" s="44"/>
      <c r="B880" s="61"/>
      <c r="C880" s="60"/>
    </row>
    <row r="881" ht="15.75" customHeight="1">
      <c r="A881" s="44"/>
      <c r="B881" s="61"/>
      <c r="C881" s="60"/>
    </row>
    <row r="882" ht="15.75" customHeight="1">
      <c r="A882" s="44"/>
      <c r="B882" s="61"/>
      <c r="C882" s="60"/>
    </row>
    <row r="883" ht="15.75" customHeight="1">
      <c r="A883" s="44"/>
      <c r="B883" s="61"/>
      <c r="C883" s="60"/>
    </row>
    <row r="884" ht="15.75" customHeight="1">
      <c r="A884" s="44"/>
      <c r="B884" s="61"/>
      <c r="C884" s="60"/>
    </row>
    <row r="885" ht="15.75" customHeight="1">
      <c r="A885" s="44"/>
      <c r="B885" s="61"/>
      <c r="C885" s="60"/>
    </row>
    <row r="886" ht="15.75" customHeight="1">
      <c r="A886" s="44"/>
      <c r="B886" s="61"/>
      <c r="C886" s="60"/>
    </row>
    <row r="887" ht="15.75" customHeight="1">
      <c r="A887" s="44"/>
      <c r="B887" s="61"/>
      <c r="C887" s="60"/>
    </row>
    <row r="888" ht="15.75" customHeight="1">
      <c r="A888" s="44"/>
      <c r="B888" s="61"/>
      <c r="C888" s="60"/>
    </row>
    <row r="889" ht="15.75" customHeight="1">
      <c r="A889" s="44"/>
      <c r="B889" s="61"/>
      <c r="C889" s="60"/>
    </row>
    <row r="890" ht="15.75" customHeight="1">
      <c r="A890" s="44"/>
      <c r="B890" s="61"/>
      <c r="C890" s="60"/>
    </row>
    <row r="891" ht="15.75" customHeight="1">
      <c r="A891" s="44"/>
      <c r="B891" s="61"/>
      <c r="C891" s="60"/>
    </row>
    <row r="892" ht="15.75" customHeight="1">
      <c r="A892" s="44"/>
      <c r="B892" s="61"/>
      <c r="C892" s="60"/>
    </row>
    <row r="893" ht="15.75" customHeight="1">
      <c r="A893" s="44"/>
      <c r="B893" s="61"/>
      <c r="C893" s="60"/>
    </row>
    <row r="894" ht="15.75" customHeight="1">
      <c r="A894" s="44"/>
      <c r="B894" s="61"/>
      <c r="C894" s="60"/>
    </row>
    <row r="895" ht="15.75" customHeight="1">
      <c r="A895" s="44"/>
      <c r="B895" s="61"/>
      <c r="C895" s="60"/>
    </row>
    <row r="896" ht="15.75" customHeight="1">
      <c r="A896" s="44"/>
      <c r="B896" s="61"/>
      <c r="C896" s="60"/>
    </row>
    <row r="897" ht="15.75" customHeight="1">
      <c r="A897" s="44"/>
      <c r="B897" s="61"/>
      <c r="C897" s="60"/>
    </row>
    <row r="898" ht="15.75" customHeight="1">
      <c r="A898" s="44"/>
      <c r="B898" s="61"/>
      <c r="C898" s="60"/>
    </row>
    <row r="899" ht="15.75" customHeight="1">
      <c r="A899" s="44"/>
      <c r="B899" s="61"/>
      <c r="C899" s="60"/>
    </row>
    <row r="900" ht="15.75" customHeight="1">
      <c r="A900" s="44"/>
      <c r="B900" s="61"/>
      <c r="C900" s="60"/>
    </row>
    <row r="901" ht="15.75" customHeight="1">
      <c r="A901" s="44"/>
      <c r="B901" s="61"/>
      <c r="C901" s="60"/>
    </row>
    <row r="902" ht="15.75" customHeight="1">
      <c r="A902" s="44"/>
      <c r="B902" s="61"/>
      <c r="C902" s="60"/>
    </row>
    <row r="903" ht="15.75" customHeight="1">
      <c r="A903" s="44"/>
      <c r="B903" s="61"/>
      <c r="C903" s="60"/>
    </row>
    <row r="904" ht="15.75" customHeight="1">
      <c r="A904" s="44"/>
      <c r="B904" s="61"/>
      <c r="C904" s="60"/>
    </row>
    <row r="905" ht="15.75" customHeight="1">
      <c r="A905" s="44"/>
      <c r="B905" s="61"/>
      <c r="C905" s="60"/>
    </row>
    <row r="906" ht="15.75" customHeight="1">
      <c r="A906" s="44"/>
      <c r="B906" s="61"/>
      <c r="C906" s="60"/>
    </row>
    <row r="907" ht="15.75" customHeight="1">
      <c r="A907" s="44"/>
      <c r="B907" s="61"/>
      <c r="C907" s="60"/>
    </row>
    <row r="908" ht="15.75" customHeight="1">
      <c r="A908" s="44"/>
      <c r="B908" s="61"/>
      <c r="C908" s="60"/>
    </row>
    <row r="909" ht="15.75" customHeight="1">
      <c r="A909" s="44"/>
      <c r="B909" s="61"/>
      <c r="C909" s="60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24.38"/>
    <col customWidth="1" min="2" max="4" width="15.75"/>
    <col customWidth="1" min="5" max="5" width="19.63"/>
    <col customWidth="1" min="6" max="6" width="11.75"/>
    <col customWidth="1" min="7" max="13" width="15.75"/>
    <col customWidth="1" min="14" max="14" width="24.13"/>
    <col customWidth="1" min="15" max="15" width="11.88"/>
    <col customWidth="1" min="16" max="16" width="15.75"/>
    <col customWidth="1" min="17" max="17" width="19.63"/>
  </cols>
  <sheetData>
    <row r="1">
      <c r="A1" s="83" t="s">
        <v>542</v>
      </c>
      <c r="B1" s="83" t="s">
        <v>543</v>
      </c>
      <c r="C1" s="83" t="s">
        <v>544</v>
      </c>
      <c r="D1" s="83" t="s">
        <v>545</v>
      </c>
      <c r="E1" s="83" t="s">
        <v>546</v>
      </c>
      <c r="F1" s="83" t="s">
        <v>547</v>
      </c>
      <c r="G1" s="83" t="s">
        <v>548</v>
      </c>
      <c r="H1" s="83" t="s">
        <v>549</v>
      </c>
      <c r="I1" s="83" t="s">
        <v>550</v>
      </c>
      <c r="J1" s="83" t="s">
        <v>550</v>
      </c>
      <c r="K1" s="83" t="s">
        <v>550</v>
      </c>
      <c r="L1" s="83" t="s">
        <v>550</v>
      </c>
      <c r="M1" s="83" t="s">
        <v>551</v>
      </c>
      <c r="N1" s="83" t="s">
        <v>552</v>
      </c>
      <c r="O1" s="83" t="s">
        <v>553</v>
      </c>
      <c r="P1" s="83" t="s">
        <v>224</v>
      </c>
      <c r="Q1" s="83" t="s">
        <v>554</v>
      </c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</row>
    <row r="2">
      <c r="A2" s="85" t="s">
        <v>463</v>
      </c>
      <c r="B2" s="85" t="s">
        <v>432</v>
      </c>
      <c r="C2" s="86"/>
      <c r="D2" s="85" t="s">
        <v>66</v>
      </c>
      <c r="E2" s="85" t="s">
        <v>74</v>
      </c>
      <c r="F2" s="85">
        <v>0.231</v>
      </c>
      <c r="G2" s="85">
        <v>0.217</v>
      </c>
      <c r="H2" s="85" t="s">
        <v>555</v>
      </c>
      <c r="I2" s="85" t="s">
        <v>556</v>
      </c>
      <c r="J2" s="85" t="s">
        <v>557</v>
      </c>
      <c r="K2" s="85" t="s">
        <v>558</v>
      </c>
      <c r="L2" s="85" t="s">
        <v>559</v>
      </c>
      <c r="M2" s="85" t="s">
        <v>560</v>
      </c>
      <c r="N2" s="85" t="s">
        <v>561</v>
      </c>
      <c r="O2" s="85">
        <v>126.0</v>
      </c>
      <c r="P2" s="85" t="s">
        <v>562</v>
      </c>
      <c r="Q2" s="85" t="s">
        <v>563</v>
      </c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</row>
    <row r="3">
      <c r="A3" s="86" t="s">
        <v>461</v>
      </c>
      <c r="B3" s="85" t="s">
        <v>462</v>
      </c>
      <c r="C3" s="86"/>
      <c r="D3" s="85" t="s">
        <v>68</v>
      </c>
      <c r="E3" s="85" t="s">
        <v>87</v>
      </c>
      <c r="F3" s="85">
        <v>0.137</v>
      </c>
      <c r="G3" s="85">
        <v>0.122</v>
      </c>
      <c r="H3" s="85" t="s">
        <v>564</v>
      </c>
      <c r="I3" s="85" t="s">
        <v>556</v>
      </c>
      <c r="J3" s="85" t="s">
        <v>557</v>
      </c>
      <c r="K3" s="85" t="s">
        <v>558</v>
      </c>
      <c r="L3" s="85" t="s">
        <v>559</v>
      </c>
      <c r="M3" s="85" t="s">
        <v>565</v>
      </c>
      <c r="N3" s="85" t="s">
        <v>566</v>
      </c>
      <c r="O3" s="85">
        <v>144.0</v>
      </c>
      <c r="P3" s="85" t="s">
        <v>562</v>
      </c>
      <c r="Q3" s="85" t="s">
        <v>567</v>
      </c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</row>
    <row r="4">
      <c r="A4" s="86" t="s">
        <v>467</v>
      </c>
      <c r="B4" s="85" t="s">
        <v>468</v>
      </c>
      <c r="C4" s="86"/>
      <c r="D4" s="85" t="s">
        <v>66</v>
      </c>
      <c r="E4" s="85" t="s">
        <v>81</v>
      </c>
      <c r="F4" s="85">
        <v>0.305</v>
      </c>
      <c r="G4" s="85">
        <v>0.291</v>
      </c>
      <c r="H4" s="85" t="s">
        <v>568</v>
      </c>
      <c r="I4" s="85" t="s">
        <v>556</v>
      </c>
      <c r="J4" s="85" t="s">
        <v>557</v>
      </c>
      <c r="K4" s="85" t="s">
        <v>558</v>
      </c>
      <c r="L4" s="85" t="s">
        <v>559</v>
      </c>
      <c r="M4" s="85" t="s">
        <v>569</v>
      </c>
      <c r="N4" s="85" t="s">
        <v>570</v>
      </c>
      <c r="O4" s="85">
        <v>105.0</v>
      </c>
      <c r="P4" s="85" t="s">
        <v>562</v>
      </c>
      <c r="Q4" s="85" t="s">
        <v>571</v>
      </c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</row>
    <row r="5">
      <c r="A5" s="86" t="s">
        <v>469</v>
      </c>
      <c r="B5" s="85" t="s">
        <v>470</v>
      </c>
      <c r="C5" s="86"/>
      <c r="D5" s="85" t="s">
        <v>66</v>
      </c>
      <c r="E5" s="85" t="s">
        <v>572</v>
      </c>
      <c r="F5" s="85">
        <v>0.259</v>
      </c>
      <c r="G5" s="85">
        <v>0.244</v>
      </c>
      <c r="H5" s="85" t="s">
        <v>555</v>
      </c>
      <c r="I5" s="85" t="s">
        <v>556</v>
      </c>
      <c r="J5" s="85" t="s">
        <v>557</v>
      </c>
      <c r="K5" s="85" t="s">
        <v>558</v>
      </c>
      <c r="L5" s="85" t="s">
        <v>559</v>
      </c>
      <c r="M5" s="85" t="s">
        <v>573</v>
      </c>
      <c r="N5" s="85" t="s">
        <v>574</v>
      </c>
      <c r="O5" s="85">
        <v>120.0</v>
      </c>
      <c r="P5" s="85" t="s">
        <v>562</v>
      </c>
      <c r="Q5" s="85" t="s">
        <v>571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</row>
    <row r="6">
      <c r="A6" s="86" t="s">
        <v>429</v>
      </c>
      <c r="B6" s="85" t="s">
        <v>430</v>
      </c>
      <c r="C6" s="86"/>
      <c r="D6" s="85" t="s">
        <v>62</v>
      </c>
      <c r="E6" s="85" t="s">
        <v>99</v>
      </c>
      <c r="F6" s="85">
        <v>0.239</v>
      </c>
      <c r="G6" s="85">
        <v>0.224</v>
      </c>
      <c r="H6" s="85" t="s">
        <v>568</v>
      </c>
      <c r="I6" s="85" t="s">
        <v>575</v>
      </c>
      <c r="J6" s="85" t="s">
        <v>576</v>
      </c>
      <c r="K6" s="85" t="s">
        <v>577</v>
      </c>
      <c r="L6" s="85" t="s">
        <v>578</v>
      </c>
      <c r="M6" s="85" t="s">
        <v>579</v>
      </c>
      <c r="N6" s="85" t="s">
        <v>574</v>
      </c>
      <c r="O6" s="85">
        <v>120.0</v>
      </c>
      <c r="P6" s="85" t="s">
        <v>562</v>
      </c>
      <c r="Q6" s="85" t="s">
        <v>580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</row>
    <row r="7">
      <c r="A7" s="86" t="s">
        <v>431</v>
      </c>
      <c r="B7" s="85" t="s">
        <v>432</v>
      </c>
      <c r="C7" s="86"/>
      <c r="D7" s="85" t="s">
        <v>64</v>
      </c>
      <c r="E7" s="85" t="s">
        <v>109</v>
      </c>
      <c r="F7" s="85">
        <v>0.183</v>
      </c>
      <c r="G7" s="85">
        <v>0.168</v>
      </c>
      <c r="H7" s="85" t="s">
        <v>555</v>
      </c>
      <c r="I7" s="85" t="s">
        <v>575</v>
      </c>
      <c r="J7" s="85" t="s">
        <v>576</v>
      </c>
      <c r="K7" s="85" t="s">
        <v>577</v>
      </c>
      <c r="L7" s="85" t="s">
        <v>578</v>
      </c>
      <c r="M7" s="85" t="s">
        <v>573</v>
      </c>
      <c r="N7" s="85" t="s">
        <v>574</v>
      </c>
      <c r="O7" s="85">
        <v>120.0</v>
      </c>
      <c r="P7" s="85" t="s">
        <v>562</v>
      </c>
      <c r="Q7" s="85" t="s">
        <v>580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</row>
    <row r="8">
      <c r="A8" s="86" t="s">
        <v>433</v>
      </c>
      <c r="B8" s="85" t="s">
        <v>434</v>
      </c>
      <c r="C8" s="86"/>
      <c r="D8" s="85" t="s">
        <v>64</v>
      </c>
      <c r="E8" s="85" t="s">
        <v>107</v>
      </c>
      <c r="F8" s="85">
        <v>0.126</v>
      </c>
      <c r="G8" s="85">
        <v>0.111</v>
      </c>
      <c r="H8" s="85" t="s">
        <v>564</v>
      </c>
      <c r="I8" s="85" t="s">
        <v>575</v>
      </c>
      <c r="J8" s="85" t="s">
        <v>576</v>
      </c>
      <c r="K8" s="85" t="s">
        <v>577</v>
      </c>
      <c r="L8" s="85" t="s">
        <v>578</v>
      </c>
      <c r="M8" s="85" t="s">
        <v>581</v>
      </c>
      <c r="N8" s="85" t="s">
        <v>582</v>
      </c>
      <c r="O8" s="85">
        <v>180.0</v>
      </c>
      <c r="P8" s="85" t="s">
        <v>562</v>
      </c>
      <c r="Q8" s="85" t="s">
        <v>563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</row>
    <row r="9">
      <c r="A9" s="86" t="s">
        <v>441</v>
      </c>
      <c r="B9" s="85" t="s">
        <v>442</v>
      </c>
      <c r="C9" s="86"/>
      <c r="D9" s="85" t="s">
        <v>62</v>
      </c>
      <c r="E9" s="85" t="s">
        <v>99</v>
      </c>
      <c r="F9" s="85">
        <v>0.239</v>
      </c>
      <c r="G9" s="85">
        <v>0.224</v>
      </c>
      <c r="H9" s="85" t="s">
        <v>568</v>
      </c>
      <c r="I9" s="85" t="s">
        <v>575</v>
      </c>
      <c r="J9" s="85" t="s">
        <v>576</v>
      </c>
      <c r="K9" s="85" t="s">
        <v>577</v>
      </c>
      <c r="L9" s="85" t="s">
        <v>578</v>
      </c>
      <c r="M9" s="85" t="s">
        <v>579</v>
      </c>
      <c r="N9" s="85" t="s">
        <v>574</v>
      </c>
      <c r="O9" s="85">
        <v>120.0</v>
      </c>
      <c r="P9" s="85" t="s">
        <v>562</v>
      </c>
      <c r="Q9" s="85" t="s">
        <v>580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</row>
    <row r="10">
      <c r="A10" s="86" t="s">
        <v>443</v>
      </c>
      <c r="B10" s="85" t="s">
        <v>444</v>
      </c>
      <c r="C10" s="86"/>
      <c r="D10" s="85" t="s">
        <v>64</v>
      </c>
      <c r="E10" s="85" t="s">
        <v>109</v>
      </c>
      <c r="F10" s="85">
        <v>0.183</v>
      </c>
      <c r="G10" s="85">
        <v>0.168</v>
      </c>
      <c r="H10" s="85" t="s">
        <v>555</v>
      </c>
      <c r="I10" s="85" t="s">
        <v>575</v>
      </c>
      <c r="J10" s="85" t="s">
        <v>576</v>
      </c>
      <c r="K10" s="85" t="s">
        <v>577</v>
      </c>
      <c r="L10" s="85" t="s">
        <v>578</v>
      </c>
      <c r="M10" s="85" t="s">
        <v>573</v>
      </c>
      <c r="N10" s="85" t="s">
        <v>574</v>
      </c>
      <c r="O10" s="85">
        <v>120.0</v>
      </c>
      <c r="P10" s="85" t="s">
        <v>562</v>
      </c>
      <c r="Q10" s="85" t="s">
        <v>580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</row>
    <row r="11">
      <c r="A11" s="86" t="s">
        <v>445</v>
      </c>
      <c r="B11" s="85" t="s">
        <v>446</v>
      </c>
      <c r="C11" s="86"/>
      <c r="D11" s="85" t="s">
        <v>64</v>
      </c>
      <c r="E11" s="85" t="s">
        <v>107</v>
      </c>
      <c r="F11" s="85">
        <v>0.117</v>
      </c>
      <c r="G11" s="85">
        <v>0.102</v>
      </c>
      <c r="H11" s="85" t="s">
        <v>564</v>
      </c>
      <c r="I11" s="85" t="s">
        <v>575</v>
      </c>
      <c r="J11" s="85" t="s">
        <v>576</v>
      </c>
      <c r="K11" s="85" t="s">
        <v>577</v>
      </c>
      <c r="L11" s="85" t="s">
        <v>578</v>
      </c>
      <c r="M11" s="85" t="s">
        <v>581</v>
      </c>
      <c r="N11" s="85" t="s">
        <v>582</v>
      </c>
      <c r="O11" s="85">
        <v>180.0</v>
      </c>
      <c r="P11" s="85" t="s">
        <v>562</v>
      </c>
      <c r="Q11" s="85" t="s">
        <v>563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</row>
    <row r="12">
      <c r="A12" s="86" t="s">
        <v>453</v>
      </c>
      <c r="B12" s="85" t="s">
        <v>454</v>
      </c>
      <c r="C12" s="86"/>
      <c r="D12" s="85" t="s">
        <v>60</v>
      </c>
      <c r="E12" s="85" t="s">
        <v>93</v>
      </c>
      <c r="F12" s="85">
        <v>0.259</v>
      </c>
      <c r="G12" s="85">
        <v>0.244</v>
      </c>
      <c r="H12" s="85" t="s">
        <v>568</v>
      </c>
      <c r="I12" s="85" t="s">
        <v>575</v>
      </c>
      <c r="J12" s="85" t="s">
        <v>576</v>
      </c>
      <c r="K12" s="85" t="s">
        <v>577</v>
      </c>
      <c r="L12" s="85" t="s">
        <v>578</v>
      </c>
      <c r="M12" s="85" t="s">
        <v>583</v>
      </c>
      <c r="N12" s="85" t="s">
        <v>584</v>
      </c>
      <c r="O12" s="85">
        <v>100.0</v>
      </c>
      <c r="P12" s="85" t="s">
        <v>562</v>
      </c>
      <c r="Q12" s="85" t="s">
        <v>580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</row>
    <row r="13">
      <c r="A13" s="86" t="s">
        <v>455</v>
      </c>
      <c r="B13" s="85" t="s">
        <v>456</v>
      </c>
      <c r="C13" s="86"/>
      <c r="D13" s="85" t="s">
        <v>64</v>
      </c>
      <c r="E13" s="85" t="s">
        <v>113</v>
      </c>
      <c r="F13" s="85">
        <v>0.173</v>
      </c>
      <c r="G13" s="85">
        <v>0.157</v>
      </c>
      <c r="H13" s="85" t="s">
        <v>555</v>
      </c>
      <c r="I13" s="85" t="s">
        <v>575</v>
      </c>
      <c r="J13" s="85" t="s">
        <v>576</v>
      </c>
      <c r="K13" s="85" t="s">
        <v>577</v>
      </c>
      <c r="L13" s="85" t="s">
        <v>578</v>
      </c>
      <c r="M13" s="85" t="s">
        <v>585</v>
      </c>
      <c r="N13" s="85" t="s">
        <v>586</v>
      </c>
      <c r="O13" s="85">
        <v>100.0</v>
      </c>
      <c r="P13" s="85" t="s">
        <v>562</v>
      </c>
      <c r="Q13" s="85" t="s">
        <v>563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</row>
    <row r="14">
      <c r="A14" s="86" t="s">
        <v>457</v>
      </c>
      <c r="B14" s="85" t="s">
        <v>458</v>
      </c>
      <c r="C14" s="86"/>
      <c r="D14" s="85" t="s">
        <v>60</v>
      </c>
      <c r="E14" s="85" t="s">
        <v>93</v>
      </c>
      <c r="F14" s="85">
        <v>0.259</v>
      </c>
      <c r="G14" s="85">
        <v>0.244</v>
      </c>
      <c r="H14" s="85" t="s">
        <v>568</v>
      </c>
      <c r="I14" s="85" t="s">
        <v>575</v>
      </c>
      <c r="J14" s="85" t="s">
        <v>576</v>
      </c>
      <c r="K14" s="85" t="s">
        <v>577</v>
      </c>
      <c r="L14" s="85" t="s">
        <v>578</v>
      </c>
      <c r="M14" s="85" t="s">
        <v>583</v>
      </c>
      <c r="N14" s="85" t="s">
        <v>584</v>
      </c>
      <c r="O14" s="85">
        <v>100.0</v>
      </c>
      <c r="P14" s="85" t="s">
        <v>562</v>
      </c>
      <c r="Q14" s="85" t="s">
        <v>580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</row>
    <row r="15">
      <c r="A15" s="86" t="s">
        <v>459</v>
      </c>
      <c r="B15" s="85" t="s">
        <v>460</v>
      </c>
      <c r="C15" s="86"/>
      <c r="D15" s="85" t="s">
        <v>64</v>
      </c>
      <c r="E15" s="85" t="s">
        <v>113</v>
      </c>
      <c r="F15" s="85">
        <v>0.173</v>
      </c>
      <c r="G15" s="85">
        <v>0.157</v>
      </c>
      <c r="H15" s="85" t="s">
        <v>555</v>
      </c>
      <c r="I15" s="85" t="s">
        <v>575</v>
      </c>
      <c r="J15" s="85" t="s">
        <v>576</v>
      </c>
      <c r="K15" s="85" t="s">
        <v>577</v>
      </c>
      <c r="L15" s="85" t="s">
        <v>578</v>
      </c>
      <c r="M15" s="85" t="s">
        <v>585</v>
      </c>
      <c r="N15" s="85" t="s">
        <v>586</v>
      </c>
      <c r="O15" s="85">
        <v>100.0</v>
      </c>
      <c r="P15" s="85" t="s">
        <v>562</v>
      </c>
      <c r="Q15" s="85" t="s">
        <v>563</v>
      </c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</row>
    <row r="16">
      <c r="A16" s="86" t="s">
        <v>447</v>
      </c>
      <c r="B16" s="85" t="s">
        <v>448</v>
      </c>
      <c r="C16" s="86"/>
      <c r="D16" s="85" t="s">
        <v>62</v>
      </c>
      <c r="E16" s="85" t="s">
        <v>99</v>
      </c>
      <c r="F16" s="85">
        <v>0.239</v>
      </c>
      <c r="G16" s="85">
        <v>0.224</v>
      </c>
      <c r="H16" s="85" t="s">
        <v>568</v>
      </c>
      <c r="I16" s="85" t="s">
        <v>575</v>
      </c>
      <c r="J16" s="85" t="s">
        <v>576</v>
      </c>
      <c r="K16" s="85" t="s">
        <v>577</v>
      </c>
      <c r="L16" s="85" t="s">
        <v>578</v>
      </c>
      <c r="M16" s="85" t="s">
        <v>579</v>
      </c>
      <c r="N16" s="85" t="s">
        <v>574</v>
      </c>
      <c r="O16" s="85">
        <v>120.0</v>
      </c>
      <c r="P16" s="85" t="s">
        <v>562</v>
      </c>
      <c r="Q16" s="85" t="s">
        <v>580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</row>
    <row r="17">
      <c r="A17" s="86" t="s">
        <v>449</v>
      </c>
      <c r="B17" s="85" t="s">
        <v>450</v>
      </c>
      <c r="C17" s="86"/>
      <c r="D17" s="85" t="s">
        <v>64</v>
      </c>
      <c r="E17" s="85" t="s">
        <v>109</v>
      </c>
      <c r="F17" s="85">
        <v>0.183</v>
      </c>
      <c r="G17" s="85">
        <v>0.168</v>
      </c>
      <c r="H17" s="85" t="s">
        <v>555</v>
      </c>
      <c r="I17" s="85" t="s">
        <v>575</v>
      </c>
      <c r="J17" s="85" t="s">
        <v>576</v>
      </c>
      <c r="K17" s="85" t="s">
        <v>577</v>
      </c>
      <c r="L17" s="85" t="s">
        <v>578</v>
      </c>
      <c r="M17" s="85" t="s">
        <v>573</v>
      </c>
      <c r="N17" s="85" t="s">
        <v>574</v>
      </c>
      <c r="O17" s="85">
        <v>120.0</v>
      </c>
      <c r="P17" s="85" t="s">
        <v>562</v>
      </c>
      <c r="Q17" s="85" t="s">
        <v>580</v>
      </c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</row>
    <row r="18">
      <c r="A18" s="86" t="s">
        <v>451</v>
      </c>
      <c r="B18" s="85" t="s">
        <v>452</v>
      </c>
      <c r="C18" s="86"/>
      <c r="D18" s="85" t="s">
        <v>64</v>
      </c>
      <c r="E18" s="85" t="s">
        <v>111</v>
      </c>
      <c r="F18" s="85">
        <v>0.117</v>
      </c>
      <c r="G18" s="85">
        <v>0.102</v>
      </c>
      <c r="H18" s="85" t="s">
        <v>564</v>
      </c>
      <c r="I18" s="85" t="s">
        <v>575</v>
      </c>
      <c r="J18" s="85" t="s">
        <v>576</v>
      </c>
      <c r="K18" s="85" t="s">
        <v>577</v>
      </c>
      <c r="L18" s="85" t="s">
        <v>578</v>
      </c>
      <c r="M18" s="85" t="s">
        <v>581</v>
      </c>
      <c r="N18" s="85" t="s">
        <v>582</v>
      </c>
      <c r="O18" s="85">
        <v>180.0</v>
      </c>
      <c r="P18" s="85" t="s">
        <v>562</v>
      </c>
      <c r="Q18" s="85" t="s">
        <v>563</v>
      </c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</row>
    <row r="19">
      <c r="A19" s="86" t="s">
        <v>477</v>
      </c>
      <c r="B19" s="85" t="s">
        <v>478</v>
      </c>
      <c r="C19" s="86"/>
      <c r="D19" s="85" t="s">
        <v>66</v>
      </c>
      <c r="E19" s="85" t="s">
        <v>572</v>
      </c>
      <c r="F19" s="85">
        <v>0.259</v>
      </c>
      <c r="G19" s="85">
        <v>0.244</v>
      </c>
      <c r="H19" s="85" t="s">
        <v>587</v>
      </c>
      <c r="I19" s="85" t="s">
        <v>556</v>
      </c>
      <c r="J19" s="85" t="s">
        <v>557</v>
      </c>
      <c r="K19" s="85" t="s">
        <v>558</v>
      </c>
      <c r="L19" s="85" t="s">
        <v>559</v>
      </c>
      <c r="M19" s="85" t="s">
        <v>588</v>
      </c>
      <c r="N19" s="85" t="s">
        <v>589</v>
      </c>
      <c r="O19" s="86"/>
      <c r="P19" s="85" t="s">
        <v>562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</row>
    <row r="20">
      <c r="A20" s="86" t="s">
        <v>479</v>
      </c>
      <c r="B20" s="85" t="s">
        <v>480</v>
      </c>
      <c r="C20" s="86"/>
      <c r="D20" s="85" t="s">
        <v>66</v>
      </c>
      <c r="E20" s="85" t="s">
        <v>77</v>
      </c>
      <c r="F20" s="85">
        <v>0.217</v>
      </c>
      <c r="G20" s="85">
        <v>0.202</v>
      </c>
      <c r="H20" s="85" t="s">
        <v>590</v>
      </c>
      <c r="I20" s="85" t="s">
        <v>556</v>
      </c>
      <c r="J20" s="85" t="s">
        <v>557</v>
      </c>
      <c r="K20" s="85" t="s">
        <v>558</v>
      </c>
      <c r="L20" s="85" t="s">
        <v>559</v>
      </c>
      <c r="M20" s="85" t="s">
        <v>591</v>
      </c>
      <c r="N20" s="85" t="s">
        <v>592</v>
      </c>
      <c r="O20" s="86"/>
      <c r="P20" s="85" t="s">
        <v>562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</row>
    <row r="21">
      <c r="A21" s="86" t="s">
        <v>481</v>
      </c>
      <c r="B21" s="85" t="s">
        <v>482</v>
      </c>
      <c r="C21" s="86"/>
      <c r="D21" s="85" t="s">
        <v>68</v>
      </c>
      <c r="E21" s="85" t="s">
        <v>87</v>
      </c>
      <c r="F21" s="85">
        <v>0.137</v>
      </c>
      <c r="G21" s="85">
        <v>0.122</v>
      </c>
      <c r="H21" s="85" t="s">
        <v>593</v>
      </c>
      <c r="I21" s="85" t="s">
        <v>556</v>
      </c>
      <c r="J21" s="85" t="s">
        <v>557</v>
      </c>
      <c r="K21" s="85" t="s">
        <v>558</v>
      </c>
      <c r="L21" s="85" t="s">
        <v>559</v>
      </c>
      <c r="M21" s="85" t="s">
        <v>594</v>
      </c>
      <c r="N21" s="85" t="s">
        <v>595</v>
      </c>
      <c r="O21" s="85">
        <v>180.0</v>
      </c>
      <c r="P21" s="85" t="s">
        <v>562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</row>
    <row r="22">
      <c r="A22" s="86" t="s">
        <v>435</v>
      </c>
      <c r="B22" s="85" t="s">
        <v>436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5">
        <v>120.0</v>
      </c>
      <c r="P22" s="85" t="s">
        <v>562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</row>
    <row r="23">
      <c r="A23" s="86" t="s">
        <v>437</v>
      </c>
      <c r="B23" s="85" t="s">
        <v>438</v>
      </c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5">
        <v>120.0</v>
      </c>
      <c r="P23" s="85" t="s">
        <v>562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</row>
    <row r="24">
      <c r="A24" s="86" t="s">
        <v>439</v>
      </c>
      <c r="B24" s="85" t="s">
        <v>596</v>
      </c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5">
        <v>180.0</v>
      </c>
      <c r="P24" s="85" t="s">
        <v>562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</row>
    <row r="25">
      <c r="A25" s="86" t="s">
        <v>471</v>
      </c>
      <c r="B25" s="85" t="s">
        <v>472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5">
        <v>105.0</v>
      </c>
      <c r="P25" s="85" t="s">
        <v>562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</row>
    <row r="26">
      <c r="A26" s="86" t="s">
        <v>473</v>
      </c>
      <c r="B26" s="85" t="s">
        <v>474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5">
        <v>105.0</v>
      </c>
      <c r="P26" s="85" t="s">
        <v>562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</row>
    <row r="27">
      <c r="A27" s="86" t="s">
        <v>475</v>
      </c>
      <c r="B27" s="85" t="s">
        <v>476</v>
      </c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5">
        <v>210.0</v>
      </c>
      <c r="P27" s="85" t="s">
        <v>562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</row>
    <row r="28">
      <c r="A28" s="85" t="s">
        <v>495</v>
      </c>
      <c r="B28" s="85" t="s">
        <v>496</v>
      </c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5" t="s">
        <v>562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</row>
    <row r="29">
      <c r="A29" s="85" t="s">
        <v>497</v>
      </c>
      <c r="B29" s="85" t="s">
        <v>498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5" t="s">
        <v>562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</row>
    <row r="30">
      <c r="A30" s="85" t="s">
        <v>499</v>
      </c>
      <c r="B30" s="85" t="s">
        <v>500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5" t="s">
        <v>562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</row>
    <row r="31">
      <c r="A31" s="85" t="s">
        <v>501</v>
      </c>
      <c r="B31" s="85" t="s">
        <v>502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5" t="s">
        <v>562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</row>
    <row r="32">
      <c r="A32" s="85" t="s">
        <v>503</v>
      </c>
      <c r="B32" s="85" t="s">
        <v>504</v>
      </c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5" t="s">
        <v>562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</row>
    <row r="33">
      <c r="A33" s="85" t="s">
        <v>493</v>
      </c>
      <c r="B33" s="85" t="s">
        <v>494</v>
      </c>
      <c r="C33" s="85" t="s">
        <v>597</v>
      </c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5" t="s">
        <v>562</v>
      </c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</row>
    <row r="34">
      <c r="A34" s="86" t="s">
        <v>465</v>
      </c>
      <c r="B34" s="85" t="s">
        <v>466</v>
      </c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</row>
    <row r="3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</row>
    <row r="36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</row>
    <row r="37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</row>
    <row r="38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</row>
    <row r="39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</row>
    <row r="40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</row>
    <row r="4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</row>
    <row r="42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</row>
    <row r="43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</row>
    <row r="44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</row>
    <row r="4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</row>
    <row r="47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</row>
    <row r="48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</row>
    <row r="49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</row>
    <row r="50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</row>
    <row r="5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</row>
    <row r="52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</row>
    <row r="53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</row>
    <row r="54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</row>
    <row r="5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</row>
    <row r="56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</row>
    <row r="58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</row>
    <row r="59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</row>
    <row r="60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</row>
    <row r="6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</row>
    <row r="62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</row>
    <row r="63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</row>
    <row r="64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</row>
    <row r="6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</row>
    <row r="68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</row>
    <row r="69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</row>
    <row r="70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</row>
    <row r="7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</row>
    <row r="72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</row>
    <row r="73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</row>
    <row r="74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</row>
    <row r="7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</row>
    <row r="77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</row>
    <row r="78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</row>
    <row r="79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</row>
    <row r="80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</row>
    <row r="8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</row>
    <row r="82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</row>
    <row r="83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</row>
    <row r="84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</row>
    <row r="86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</row>
    <row r="88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</row>
    <row r="89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</row>
    <row r="90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</row>
    <row r="9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</row>
    <row r="92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</row>
    <row r="93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</row>
    <row r="94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</row>
    <row r="9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</row>
    <row r="97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</row>
    <row r="100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</row>
    <row r="10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</row>
    <row r="103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</row>
    <row r="979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</row>
    <row r="980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</row>
    <row r="98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</row>
    <row r="98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</row>
    <row r="983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</row>
    <row r="98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</row>
    <row r="98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</row>
    <row r="986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</row>
    <row r="987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</row>
    <row r="988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</row>
    <row r="99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</row>
    <row r="99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</row>
    <row r="99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</row>
    <row r="996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</row>
    <row r="997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</row>
    <row r="998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</row>
    <row r="999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</row>
  </sheetData>
  <dataValidations>
    <dataValidation type="list" allowBlank="1" showErrorMessage="1" sqref="A2:A313">
      <formula1>'Finished Goods'!$A$2:$A999</formula1>
    </dataValidation>
    <dataValidation type="list" allowBlank="1" showErrorMessage="1" sqref="B2:B313">
      <formula1>'Finished Goods'!$B$2:$B999</formula1>
    </dataValidation>
    <dataValidation type="list" allowBlank="1" showErrorMessage="1" sqref="E2:E313">
      <formula1>Circles!$A$2:$A999</formula1>
    </dataValidation>
    <dataValidation type="list" allowBlank="1" showErrorMessage="1" sqref="H2:N313 P2:Q313">
      <formula1>Packing!$C$2:$C999</formula1>
    </dataValidation>
    <dataValidation type="list" allowBlank="1" showErrorMessage="1" sqref="D2:D313">
      <formula1>'Raw Material'!$A$2:$A999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7.0"/>
    <col customWidth="1" min="2" max="2" width="13.38"/>
    <col customWidth="1" min="3" max="29" width="15.63"/>
    <col customWidth="1" min="30" max="30" width="13.75"/>
    <col customWidth="1" min="31" max="37" width="15.63"/>
    <col customWidth="1" min="38" max="38" width="14.25"/>
  </cols>
  <sheetData>
    <row r="1">
      <c r="A1" s="87" t="s">
        <v>0</v>
      </c>
      <c r="B1" s="87" t="s">
        <v>429</v>
      </c>
      <c r="C1" s="87" t="s">
        <v>431</v>
      </c>
      <c r="D1" s="87" t="s">
        <v>433</v>
      </c>
      <c r="E1" s="87" t="s">
        <v>441</v>
      </c>
      <c r="F1" s="87" t="s">
        <v>443</v>
      </c>
      <c r="G1" s="87" t="s">
        <v>445</v>
      </c>
      <c r="H1" s="87" t="s">
        <v>463</v>
      </c>
      <c r="I1" s="87" t="s">
        <v>461</v>
      </c>
      <c r="J1" s="87" t="s">
        <v>467</v>
      </c>
      <c r="K1" s="87" t="s">
        <v>469</v>
      </c>
      <c r="L1" s="87" t="s">
        <v>453</v>
      </c>
      <c r="M1" s="87" t="s">
        <v>455</v>
      </c>
      <c r="N1" s="87" t="s">
        <v>457</v>
      </c>
      <c r="O1" s="87" t="s">
        <v>459</v>
      </c>
      <c r="P1" s="88" t="s">
        <v>495</v>
      </c>
      <c r="Q1" s="88" t="s">
        <v>497</v>
      </c>
      <c r="R1" s="88" t="s">
        <v>499</v>
      </c>
      <c r="S1" s="88" t="s">
        <v>501</v>
      </c>
      <c r="T1" s="88" t="s">
        <v>503</v>
      </c>
      <c r="U1" s="87" t="s">
        <v>493</v>
      </c>
      <c r="V1" s="88" t="s">
        <v>447</v>
      </c>
      <c r="W1" s="88" t="s">
        <v>449</v>
      </c>
      <c r="X1" s="88" t="s">
        <v>451</v>
      </c>
      <c r="Y1" s="88" t="s">
        <v>435</v>
      </c>
      <c r="Z1" s="88" t="s">
        <v>437</v>
      </c>
      <c r="AA1" s="88" t="s">
        <v>439</v>
      </c>
      <c r="AB1" s="87" t="s">
        <v>477</v>
      </c>
      <c r="AC1" s="88" t="s">
        <v>479</v>
      </c>
      <c r="AD1" s="88" t="s">
        <v>598</v>
      </c>
      <c r="AE1" s="88" t="s">
        <v>485</v>
      </c>
      <c r="AF1" s="88" t="s">
        <v>489</v>
      </c>
      <c r="AG1" s="88" t="s">
        <v>599</v>
      </c>
      <c r="AH1" s="87" t="s">
        <v>600</v>
      </c>
      <c r="AI1" s="87" t="s">
        <v>601</v>
      </c>
      <c r="AJ1" s="87" t="s">
        <v>602</v>
      </c>
      <c r="AK1" s="87" t="s">
        <v>603</v>
      </c>
      <c r="AL1" s="87" t="s">
        <v>471</v>
      </c>
      <c r="AM1" s="88" t="s">
        <v>473</v>
      </c>
      <c r="AN1" s="87" t="s">
        <v>475</v>
      </c>
    </row>
    <row r="2">
      <c r="A2" s="89">
        <v>1.0</v>
      </c>
      <c r="B2" s="90" t="s">
        <v>604</v>
      </c>
      <c r="C2" s="90" t="s">
        <v>604</v>
      </c>
      <c r="D2" s="90" t="s">
        <v>604</v>
      </c>
      <c r="E2" s="90" t="s">
        <v>604</v>
      </c>
      <c r="F2" s="90" t="s">
        <v>604</v>
      </c>
      <c r="G2" s="90" t="s">
        <v>604</v>
      </c>
      <c r="H2" s="90" t="s">
        <v>604</v>
      </c>
      <c r="I2" s="90" t="s">
        <v>604</v>
      </c>
      <c r="J2" s="90" t="s">
        <v>604</v>
      </c>
      <c r="K2" s="90" t="s">
        <v>604</v>
      </c>
      <c r="L2" s="90" t="s">
        <v>604</v>
      </c>
      <c r="M2" s="90" t="s">
        <v>604</v>
      </c>
      <c r="N2" s="90" t="s">
        <v>604</v>
      </c>
      <c r="O2" s="90" t="s">
        <v>604</v>
      </c>
      <c r="P2" s="91" t="s">
        <v>604</v>
      </c>
      <c r="Q2" s="91" t="s">
        <v>604</v>
      </c>
      <c r="R2" s="91" t="s">
        <v>604</v>
      </c>
      <c r="S2" s="91" t="s">
        <v>604</v>
      </c>
      <c r="T2" s="91" t="s">
        <v>604</v>
      </c>
      <c r="U2" s="90" t="s">
        <v>604</v>
      </c>
      <c r="V2" s="90" t="s">
        <v>604</v>
      </c>
      <c r="W2" s="90" t="s">
        <v>604</v>
      </c>
      <c r="X2" s="90" t="s">
        <v>604</v>
      </c>
      <c r="Y2" s="90" t="s">
        <v>604</v>
      </c>
      <c r="Z2" s="90" t="s">
        <v>604</v>
      </c>
      <c r="AA2" s="90" t="s">
        <v>604</v>
      </c>
      <c r="AB2" s="90" t="s">
        <v>604</v>
      </c>
      <c r="AC2" s="90" t="s">
        <v>604</v>
      </c>
      <c r="AD2" s="90" t="s">
        <v>604</v>
      </c>
      <c r="AE2" s="90" t="s">
        <v>604</v>
      </c>
      <c r="AF2" s="90" t="s">
        <v>604</v>
      </c>
      <c r="AG2" s="90" t="s">
        <v>604</v>
      </c>
      <c r="AH2" s="90" t="s">
        <v>604</v>
      </c>
      <c r="AI2" s="90" t="s">
        <v>604</v>
      </c>
      <c r="AJ2" s="90" t="s">
        <v>604</v>
      </c>
      <c r="AK2" s="90" t="s">
        <v>604</v>
      </c>
      <c r="AL2" s="90" t="s">
        <v>604</v>
      </c>
      <c r="AM2" s="90" t="s">
        <v>604</v>
      </c>
      <c r="AN2" s="90" t="s">
        <v>604</v>
      </c>
    </row>
    <row r="3">
      <c r="A3" s="89">
        <f t="shared" ref="A3:A22" si="1">A2+1</f>
        <v>2</v>
      </c>
      <c r="B3" s="90" t="s">
        <v>605</v>
      </c>
      <c r="C3" s="90" t="s">
        <v>605</v>
      </c>
      <c r="D3" s="90" t="s">
        <v>605</v>
      </c>
      <c r="E3" s="90" t="s">
        <v>605</v>
      </c>
      <c r="F3" s="90" t="s">
        <v>605</v>
      </c>
      <c r="G3" s="90" t="s">
        <v>605</v>
      </c>
      <c r="H3" s="90" t="s">
        <v>605</v>
      </c>
      <c r="I3" s="90" t="s">
        <v>605</v>
      </c>
      <c r="J3" s="90" t="s">
        <v>605</v>
      </c>
      <c r="K3" s="90" t="s">
        <v>605</v>
      </c>
      <c r="L3" s="90" t="s">
        <v>605</v>
      </c>
      <c r="M3" s="90" t="s">
        <v>605</v>
      </c>
      <c r="N3" s="90" t="s">
        <v>605</v>
      </c>
      <c r="O3" s="90" t="s">
        <v>605</v>
      </c>
      <c r="P3" s="91" t="s">
        <v>605</v>
      </c>
      <c r="Q3" s="91" t="s">
        <v>605</v>
      </c>
      <c r="R3" s="91" t="s">
        <v>605</v>
      </c>
      <c r="S3" s="91" t="s">
        <v>605</v>
      </c>
      <c r="T3" s="91" t="s">
        <v>605</v>
      </c>
      <c r="U3" s="90" t="s">
        <v>605</v>
      </c>
      <c r="V3" s="90" t="s">
        <v>605</v>
      </c>
      <c r="W3" s="90" t="s">
        <v>605</v>
      </c>
      <c r="X3" s="90" t="s">
        <v>605</v>
      </c>
      <c r="Y3" s="90" t="s">
        <v>605</v>
      </c>
      <c r="Z3" s="90" t="s">
        <v>605</v>
      </c>
      <c r="AA3" s="90" t="s">
        <v>605</v>
      </c>
      <c r="AB3" s="90" t="s">
        <v>605</v>
      </c>
      <c r="AC3" s="90" t="s">
        <v>605</v>
      </c>
      <c r="AD3" s="90" t="s">
        <v>605</v>
      </c>
      <c r="AE3" s="90" t="s">
        <v>605</v>
      </c>
      <c r="AF3" s="90" t="s">
        <v>605</v>
      </c>
      <c r="AG3" s="90" t="s">
        <v>605</v>
      </c>
      <c r="AH3" s="90" t="s">
        <v>605</v>
      </c>
      <c r="AI3" s="90" t="s">
        <v>605</v>
      </c>
      <c r="AJ3" s="90" t="s">
        <v>605</v>
      </c>
      <c r="AK3" s="90" t="s">
        <v>605</v>
      </c>
      <c r="AL3" s="90" t="s">
        <v>605</v>
      </c>
      <c r="AM3" s="90" t="s">
        <v>605</v>
      </c>
      <c r="AN3" s="90" t="s">
        <v>605</v>
      </c>
    </row>
    <row r="4">
      <c r="A4" s="89">
        <f t="shared" si="1"/>
        <v>3</v>
      </c>
      <c r="B4" s="90" t="s">
        <v>606</v>
      </c>
      <c r="C4" s="90" t="s">
        <v>607</v>
      </c>
      <c r="D4" s="90" t="s">
        <v>607</v>
      </c>
      <c r="E4" s="90" t="s">
        <v>606</v>
      </c>
      <c r="F4" s="90" t="s">
        <v>607</v>
      </c>
      <c r="G4" s="90" t="s">
        <v>607</v>
      </c>
      <c r="H4" s="90" t="s">
        <v>607</v>
      </c>
      <c r="I4" s="90" t="s">
        <v>607</v>
      </c>
      <c r="J4" s="90" t="s">
        <v>607</v>
      </c>
      <c r="K4" s="90" t="s">
        <v>607</v>
      </c>
      <c r="L4" s="90" t="s">
        <v>608</v>
      </c>
      <c r="M4" s="90" t="s">
        <v>607</v>
      </c>
      <c r="N4" s="90" t="s">
        <v>608</v>
      </c>
      <c r="O4" s="90" t="s">
        <v>607</v>
      </c>
      <c r="P4" s="91" t="s">
        <v>608</v>
      </c>
      <c r="Q4" s="91" t="s">
        <v>607</v>
      </c>
      <c r="R4" s="91" t="s">
        <v>608</v>
      </c>
      <c r="S4" s="91" t="s">
        <v>607</v>
      </c>
      <c r="T4" s="91" t="s">
        <v>607</v>
      </c>
      <c r="U4" s="90" t="s">
        <v>608</v>
      </c>
      <c r="V4" s="90" t="s">
        <v>606</v>
      </c>
      <c r="W4" s="90" t="s">
        <v>607</v>
      </c>
      <c r="X4" s="90" t="s">
        <v>607</v>
      </c>
      <c r="Y4" s="90" t="s">
        <v>606</v>
      </c>
      <c r="Z4" s="90" t="s">
        <v>607</v>
      </c>
      <c r="AA4" s="90" t="s">
        <v>607</v>
      </c>
      <c r="AB4" s="90" t="s">
        <v>608</v>
      </c>
      <c r="AC4" s="90" t="s">
        <v>607</v>
      </c>
      <c r="AD4" s="90" t="s">
        <v>607</v>
      </c>
      <c r="AE4" s="90" t="s">
        <v>608</v>
      </c>
      <c r="AF4" s="90" t="s">
        <v>607</v>
      </c>
      <c r="AG4" s="90" t="s">
        <v>607</v>
      </c>
      <c r="AH4" s="90" t="s">
        <v>607</v>
      </c>
      <c r="AI4" s="90" t="s">
        <v>607</v>
      </c>
      <c r="AJ4" s="90" t="s">
        <v>607</v>
      </c>
      <c r="AK4" s="90" t="s">
        <v>607</v>
      </c>
      <c r="AL4" s="90" t="s">
        <v>607</v>
      </c>
      <c r="AM4" s="90" t="s">
        <v>607</v>
      </c>
      <c r="AN4" s="90" t="s">
        <v>607</v>
      </c>
    </row>
    <row r="5">
      <c r="A5" s="89">
        <f t="shared" si="1"/>
        <v>4</v>
      </c>
      <c r="B5" s="90" t="s">
        <v>608</v>
      </c>
      <c r="C5" s="90" t="s">
        <v>609</v>
      </c>
      <c r="D5" s="90" t="s">
        <v>609</v>
      </c>
      <c r="E5" s="90" t="s">
        <v>608</v>
      </c>
      <c r="F5" s="90" t="s">
        <v>609</v>
      </c>
      <c r="G5" s="90" t="s">
        <v>609</v>
      </c>
      <c r="H5" s="90" t="s">
        <v>609</v>
      </c>
      <c r="I5" s="90" t="s">
        <v>609</v>
      </c>
      <c r="J5" s="90" t="s">
        <v>609</v>
      </c>
      <c r="K5" s="90" t="s">
        <v>609</v>
      </c>
      <c r="L5" s="90" t="s">
        <v>610</v>
      </c>
      <c r="M5" s="90" t="s">
        <v>609</v>
      </c>
      <c r="N5" s="90" t="s">
        <v>610</v>
      </c>
      <c r="O5" s="90" t="s">
        <v>609</v>
      </c>
      <c r="P5" s="91" t="s">
        <v>610</v>
      </c>
      <c r="Q5" s="91" t="s">
        <v>609</v>
      </c>
      <c r="R5" s="91" t="s">
        <v>610</v>
      </c>
      <c r="S5" s="91" t="s">
        <v>609</v>
      </c>
      <c r="T5" s="91" t="s">
        <v>609</v>
      </c>
      <c r="U5" s="90" t="s">
        <v>610</v>
      </c>
      <c r="V5" s="90" t="s">
        <v>608</v>
      </c>
      <c r="W5" s="90" t="s">
        <v>609</v>
      </c>
      <c r="X5" s="90" t="s">
        <v>609</v>
      </c>
      <c r="Y5" s="90" t="s">
        <v>608</v>
      </c>
      <c r="Z5" s="90" t="s">
        <v>609</v>
      </c>
      <c r="AA5" s="90" t="s">
        <v>609</v>
      </c>
      <c r="AB5" s="90" t="s">
        <v>610</v>
      </c>
      <c r="AC5" s="90" t="s">
        <v>611</v>
      </c>
      <c r="AD5" s="90" t="s">
        <v>611</v>
      </c>
      <c r="AE5" s="90" t="s">
        <v>610</v>
      </c>
      <c r="AF5" s="90" t="s">
        <v>609</v>
      </c>
      <c r="AG5" s="90" t="s">
        <v>609</v>
      </c>
      <c r="AH5" s="90" t="s">
        <v>609</v>
      </c>
      <c r="AI5" s="90" t="s">
        <v>609</v>
      </c>
      <c r="AJ5" s="90" t="s">
        <v>609</v>
      </c>
      <c r="AK5" s="90" t="s">
        <v>609</v>
      </c>
      <c r="AL5" s="90" t="s">
        <v>611</v>
      </c>
      <c r="AM5" s="90" t="s">
        <v>611</v>
      </c>
      <c r="AN5" s="90" t="s">
        <v>611</v>
      </c>
    </row>
    <row r="6">
      <c r="A6" s="89">
        <f t="shared" si="1"/>
        <v>5</v>
      </c>
      <c r="B6" s="90" t="s">
        <v>610</v>
      </c>
      <c r="C6" s="90" t="s">
        <v>612</v>
      </c>
      <c r="D6" s="90" t="s">
        <v>612</v>
      </c>
      <c r="E6" s="90" t="s">
        <v>610</v>
      </c>
      <c r="F6" s="90" t="s">
        <v>612</v>
      </c>
      <c r="G6" s="90" t="s">
        <v>612</v>
      </c>
      <c r="H6" s="90" t="s">
        <v>612</v>
      </c>
      <c r="I6" s="90" t="s">
        <v>613</v>
      </c>
      <c r="J6" s="90" t="s">
        <v>612</v>
      </c>
      <c r="K6" s="90" t="s">
        <v>612</v>
      </c>
      <c r="L6" s="90" t="s">
        <v>609</v>
      </c>
      <c r="M6" s="90" t="s">
        <v>612</v>
      </c>
      <c r="N6" s="90" t="s">
        <v>609</v>
      </c>
      <c r="O6" s="90" t="s">
        <v>614</v>
      </c>
      <c r="P6" s="91" t="s">
        <v>609</v>
      </c>
      <c r="Q6" s="91" t="s">
        <v>612</v>
      </c>
      <c r="R6" s="91" t="s">
        <v>609</v>
      </c>
      <c r="S6" s="91" t="s">
        <v>611</v>
      </c>
      <c r="T6" s="91" t="s">
        <v>611</v>
      </c>
      <c r="U6" s="90" t="s">
        <v>609</v>
      </c>
      <c r="V6" s="90" t="s">
        <v>610</v>
      </c>
      <c r="W6" s="90" t="s">
        <v>613</v>
      </c>
      <c r="X6" s="90" t="s">
        <v>613</v>
      </c>
      <c r="Y6" s="90" t="s">
        <v>610</v>
      </c>
      <c r="Z6" s="90" t="s">
        <v>613</v>
      </c>
      <c r="AA6" s="90" t="s">
        <v>613</v>
      </c>
      <c r="AB6" s="90" t="s">
        <v>609</v>
      </c>
      <c r="AC6" s="90" t="s">
        <v>609</v>
      </c>
      <c r="AD6" s="90" t="s">
        <v>609</v>
      </c>
      <c r="AE6" s="90" t="s">
        <v>609</v>
      </c>
      <c r="AF6" s="90" t="s">
        <v>612</v>
      </c>
      <c r="AG6" s="90" t="s">
        <v>612</v>
      </c>
      <c r="AH6" s="90" t="s">
        <v>612</v>
      </c>
      <c r="AI6" s="90" t="s">
        <v>612</v>
      </c>
      <c r="AJ6" s="90" t="s">
        <v>612</v>
      </c>
      <c r="AK6" s="90" t="s">
        <v>612</v>
      </c>
      <c r="AL6" s="90" t="s">
        <v>609</v>
      </c>
      <c r="AM6" s="90" t="s">
        <v>609</v>
      </c>
      <c r="AN6" s="90" t="s">
        <v>609</v>
      </c>
    </row>
    <row r="7">
      <c r="A7" s="89">
        <f t="shared" si="1"/>
        <v>6</v>
      </c>
      <c r="B7" s="90" t="s">
        <v>609</v>
      </c>
      <c r="C7" s="90" t="s">
        <v>613</v>
      </c>
      <c r="D7" s="90" t="s">
        <v>613</v>
      </c>
      <c r="E7" s="90" t="s">
        <v>609</v>
      </c>
      <c r="F7" s="90" t="s">
        <v>613</v>
      </c>
      <c r="G7" s="90" t="s">
        <v>613</v>
      </c>
      <c r="H7" s="90" t="s">
        <v>615</v>
      </c>
      <c r="I7" s="90" t="s">
        <v>616</v>
      </c>
      <c r="J7" s="90" t="s">
        <v>613</v>
      </c>
      <c r="K7" s="90" t="s">
        <v>613</v>
      </c>
      <c r="L7" s="90" t="s">
        <v>612</v>
      </c>
      <c r="M7" s="90" t="s">
        <v>615</v>
      </c>
      <c r="N7" s="90" t="s">
        <v>614</v>
      </c>
      <c r="O7" s="91" t="s">
        <v>617</v>
      </c>
      <c r="P7" s="91" t="s">
        <v>612</v>
      </c>
      <c r="Q7" s="91" t="s">
        <v>618</v>
      </c>
      <c r="R7" s="91" t="s">
        <v>611</v>
      </c>
      <c r="S7" s="91" t="s">
        <v>612</v>
      </c>
      <c r="T7" s="91" t="s">
        <v>612</v>
      </c>
      <c r="U7" s="90" t="s">
        <v>615</v>
      </c>
      <c r="V7" s="90" t="s">
        <v>609</v>
      </c>
      <c r="W7" s="90" t="s">
        <v>616</v>
      </c>
      <c r="X7" s="90" t="s">
        <v>616</v>
      </c>
      <c r="Y7" s="90" t="s">
        <v>609</v>
      </c>
      <c r="Z7" s="90" t="s">
        <v>616</v>
      </c>
      <c r="AA7" s="90" t="s">
        <v>616</v>
      </c>
      <c r="AB7" s="91" t="s">
        <v>612</v>
      </c>
      <c r="AC7" s="91" t="s">
        <v>612</v>
      </c>
      <c r="AD7" s="91" t="s">
        <v>612</v>
      </c>
      <c r="AE7" s="90" t="s">
        <v>612</v>
      </c>
      <c r="AF7" s="90" t="s">
        <v>617</v>
      </c>
      <c r="AG7" s="90" t="s">
        <v>617</v>
      </c>
      <c r="AH7" s="90" t="s">
        <v>618</v>
      </c>
      <c r="AI7" s="90" t="s">
        <v>618</v>
      </c>
      <c r="AJ7" s="90" t="s">
        <v>619</v>
      </c>
      <c r="AK7" s="90" t="s">
        <v>619</v>
      </c>
      <c r="AL7" s="90" t="s">
        <v>612</v>
      </c>
      <c r="AM7" s="90" t="s">
        <v>612</v>
      </c>
      <c r="AN7" s="91" t="s">
        <v>617</v>
      </c>
    </row>
    <row r="8">
      <c r="A8" s="89">
        <f t="shared" si="1"/>
        <v>7</v>
      </c>
      <c r="B8" s="90" t="s">
        <v>612</v>
      </c>
      <c r="C8" s="90" t="s">
        <v>616</v>
      </c>
      <c r="D8" s="90" t="s">
        <v>616</v>
      </c>
      <c r="E8" s="90" t="s">
        <v>612</v>
      </c>
      <c r="F8" s="90" t="s">
        <v>616</v>
      </c>
      <c r="G8" s="90" t="s">
        <v>616</v>
      </c>
      <c r="H8" s="91" t="s">
        <v>617</v>
      </c>
      <c r="I8" s="91" t="s">
        <v>617</v>
      </c>
      <c r="J8" s="90" t="s">
        <v>616</v>
      </c>
      <c r="K8" s="90" t="s">
        <v>616</v>
      </c>
      <c r="L8" s="90" t="s">
        <v>615</v>
      </c>
      <c r="M8" s="90" t="s">
        <v>620</v>
      </c>
      <c r="N8" s="91" t="s">
        <v>617</v>
      </c>
      <c r="O8" s="90" t="s">
        <v>619</v>
      </c>
      <c r="P8" s="91" t="s">
        <v>618</v>
      </c>
      <c r="Q8" s="91" t="s">
        <v>614</v>
      </c>
      <c r="R8" s="91" t="s">
        <v>612</v>
      </c>
      <c r="S8" s="91" t="s">
        <v>619</v>
      </c>
      <c r="T8" s="91" t="s">
        <v>619</v>
      </c>
      <c r="U8" s="91" t="s">
        <v>617</v>
      </c>
      <c r="V8" s="91" t="s">
        <v>613</v>
      </c>
      <c r="W8" s="91" t="s">
        <v>619</v>
      </c>
      <c r="X8" s="91" t="s">
        <v>619</v>
      </c>
      <c r="Y8" s="91" t="s">
        <v>613</v>
      </c>
      <c r="Z8" s="91" t="s">
        <v>619</v>
      </c>
      <c r="AA8" s="91" t="s">
        <v>619</v>
      </c>
      <c r="AB8" s="90" t="s">
        <v>611</v>
      </c>
      <c r="AC8" s="91" t="s">
        <v>617</v>
      </c>
      <c r="AD8" s="91" t="s">
        <v>617</v>
      </c>
      <c r="AE8" s="90" t="s">
        <v>617</v>
      </c>
      <c r="AF8" s="90" t="s">
        <v>613</v>
      </c>
      <c r="AG8" s="90" t="s">
        <v>613</v>
      </c>
      <c r="AH8" s="90" t="s">
        <v>614</v>
      </c>
      <c r="AI8" s="90" t="s">
        <v>614</v>
      </c>
      <c r="AJ8" s="91" t="s">
        <v>621</v>
      </c>
      <c r="AK8" s="91" t="s">
        <v>621</v>
      </c>
      <c r="AL8" s="91" t="s">
        <v>617</v>
      </c>
      <c r="AM8" s="91" t="s">
        <v>617</v>
      </c>
      <c r="AN8" s="90" t="s">
        <v>619</v>
      </c>
    </row>
    <row r="9">
      <c r="A9" s="89">
        <f t="shared" si="1"/>
        <v>8</v>
      </c>
      <c r="B9" s="90" t="s">
        <v>613</v>
      </c>
      <c r="C9" s="90" t="s">
        <v>619</v>
      </c>
      <c r="D9" s="91" t="s">
        <v>617</v>
      </c>
      <c r="E9" s="90" t="s">
        <v>613</v>
      </c>
      <c r="F9" s="90" t="s">
        <v>619</v>
      </c>
      <c r="G9" s="90" t="s">
        <v>619</v>
      </c>
      <c r="H9" s="90" t="s">
        <v>619</v>
      </c>
      <c r="I9" s="90" t="s">
        <v>619</v>
      </c>
      <c r="J9" s="91" t="s">
        <v>617</v>
      </c>
      <c r="K9" s="91" t="s">
        <v>617</v>
      </c>
      <c r="L9" s="90" t="s">
        <v>620</v>
      </c>
      <c r="M9" s="91" t="s">
        <v>617</v>
      </c>
      <c r="N9" s="90" t="s">
        <v>619</v>
      </c>
      <c r="O9" s="91" t="s">
        <v>621</v>
      </c>
      <c r="P9" s="91" t="s">
        <v>614</v>
      </c>
      <c r="Q9" s="91" t="s">
        <v>617</v>
      </c>
      <c r="R9" s="91" t="s">
        <v>617</v>
      </c>
      <c r="S9" s="91" t="s">
        <v>621</v>
      </c>
      <c r="T9" s="91" t="s">
        <v>621</v>
      </c>
      <c r="U9" s="90" t="s">
        <v>619</v>
      </c>
      <c r="V9" s="90" t="s">
        <v>616</v>
      </c>
      <c r="W9" s="90" t="s">
        <v>621</v>
      </c>
      <c r="X9" s="90" t="s">
        <v>621</v>
      </c>
      <c r="Y9" s="90" t="s">
        <v>616</v>
      </c>
      <c r="Z9" s="90" t="s">
        <v>621</v>
      </c>
      <c r="AA9" s="90" t="s">
        <v>621</v>
      </c>
      <c r="AB9" s="92" t="s">
        <v>615</v>
      </c>
      <c r="AC9" s="90" t="s">
        <v>619</v>
      </c>
      <c r="AD9" s="90" t="s">
        <v>619</v>
      </c>
      <c r="AE9" s="90" t="s">
        <v>613</v>
      </c>
      <c r="AF9" s="90" t="s">
        <v>616</v>
      </c>
      <c r="AG9" s="90" t="s">
        <v>616</v>
      </c>
      <c r="AH9" s="91" t="s">
        <v>617</v>
      </c>
      <c r="AI9" s="91" t="s">
        <v>617</v>
      </c>
      <c r="AJ9" s="90" t="s">
        <v>622</v>
      </c>
      <c r="AK9" s="90" t="s">
        <v>622</v>
      </c>
      <c r="AL9" s="90" t="s">
        <v>619</v>
      </c>
      <c r="AM9" s="90" t="s">
        <v>619</v>
      </c>
      <c r="AN9" s="90" t="s">
        <v>622</v>
      </c>
    </row>
    <row r="10">
      <c r="A10" s="89">
        <f t="shared" si="1"/>
        <v>9</v>
      </c>
      <c r="B10" s="90" t="s">
        <v>616</v>
      </c>
      <c r="C10" s="91" t="s">
        <v>621</v>
      </c>
      <c r="D10" s="90" t="s">
        <v>619</v>
      </c>
      <c r="E10" s="90" t="s">
        <v>616</v>
      </c>
      <c r="F10" s="91" t="s">
        <v>621</v>
      </c>
      <c r="G10" s="91" t="s">
        <v>621</v>
      </c>
      <c r="H10" s="91" t="s">
        <v>621</v>
      </c>
      <c r="I10" s="91" t="s">
        <v>621</v>
      </c>
      <c r="J10" s="90" t="s">
        <v>619</v>
      </c>
      <c r="K10" s="90" t="s">
        <v>619</v>
      </c>
      <c r="L10" s="91" t="s">
        <v>617</v>
      </c>
      <c r="M10" s="90" t="s">
        <v>619</v>
      </c>
      <c r="N10" s="91" t="s">
        <v>621</v>
      </c>
      <c r="O10" s="90" t="s">
        <v>622</v>
      </c>
      <c r="P10" s="91" t="s">
        <v>619</v>
      </c>
      <c r="Q10" s="91" t="s">
        <v>619</v>
      </c>
      <c r="R10" s="91" t="s">
        <v>619</v>
      </c>
      <c r="S10" s="91" t="s">
        <v>622</v>
      </c>
      <c r="T10" s="91" t="s">
        <v>622</v>
      </c>
      <c r="U10" s="90" t="s">
        <v>623</v>
      </c>
      <c r="V10" s="90" t="s">
        <v>619</v>
      </c>
      <c r="W10" s="90" t="s">
        <v>622</v>
      </c>
      <c r="X10" s="90" t="s">
        <v>622</v>
      </c>
      <c r="Y10" s="90" t="s">
        <v>619</v>
      </c>
      <c r="Z10" s="90" t="s">
        <v>622</v>
      </c>
      <c r="AA10" s="90" t="s">
        <v>622</v>
      </c>
      <c r="AB10" s="91" t="s">
        <v>617</v>
      </c>
      <c r="AC10" s="91" t="s">
        <v>622</v>
      </c>
      <c r="AD10" s="91" t="s">
        <v>622</v>
      </c>
      <c r="AE10" s="90" t="s">
        <v>616</v>
      </c>
      <c r="AF10" s="91" t="s">
        <v>624</v>
      </c>
      <c r="AG10" s="91" t="s">
        <v>624</v>
      </c>
      <c r="AH10" s="90" t="s">
        <v>619</v>
      </c>
      <c r="AI10" s="90" t="s">
        <v>619</v>
      </c>
      <c r="AJ10" s="90" t="s">
        <v>624</v>
      </c>
      <c r="AK10" s="90" t="s">
        <v>624</v>
      </c>
      <c r="AL10" s="90" t="s">
        <v>622</v>
      </c>
      <c r="AM10" s="90" t="s">
        <v>622</v>
      </c>
      <c r="AN10" s="90" t="s">
        <v>624</v>
      </c>
    </row>
    <row r="11">
      <c r="A11" s="89">
        <f t="shared" si="1"/>
        <v>10</v>
      </c>
      <c r="B11" s="91" t="s">
        <v>617</v>
      </c>
      <c r="C11" s="90" t="s">
        <v>622</v>
      </c>
      <c r="D11" s="91" t="s">
        <v>621</v>
      </c>
      <c r="E11" s="90" t="s">
        <v>619</v>
      </c>
      <c r="F11" s="90" t="s">
        <v>622</v>
      </c>
      <c r="G11" s="90" t="s">
        <v>622</v>
      </c>
      <c r="H11" s="90" t="s">
        <v>622</v>
      </c>
      <c r="I11" s="90" t="s">
        <v>622</v>
      </c>
      <c r="J11" s="91" t="s">
        <v>621</v>
      </c>
      <c r="K11" s="91" t="s">
        <v>621</v>
      </c>
      <c r="L11" s="90" t="s">
        <v>619</v>
      </c>
      <c r="M11" s="91" t="s">
        <v>621</v>
      </c>
      <c r="N11" s="90" t="s">
        <v>622</v>
      </c>
      <c r="O11" s="90" t="s">
        <v>624</v>
      </c>
      <c r="P11" s="91" t="s">
        <v>621</v>
      </c>
      <c r="Q11" s="91" t="s">
        <v>621</v>
      </c>
      <c r="R11" s="91" t="s">
        <v>621</v>
      </c>
      <c r="S11" s="91" t="s">
        <v>624</v>
      </c>
      <c r="T11" s="91" t="s">
        <v>624</v>
      </c>
      <c r="U11" s="91" t="s">
        <v>625</v>
      </c>
      <c r="V11" s="91" t="s">
        <v>621</v>
      </c>
      <c r="W11" s="91" t="s">
        <v>624</v>
      </c>
      <c r="X11" s="91" t="s">
        <v>626</v>
      </c>
      <c r="Y11" s="91" t="s">
        <v>621</v>
      </c>
      <c r="Z11" s="91" t="s">
        <v>624</v>
      </c>
      <c r="AA11" s="91" t="s">
        <v>624</v>
      </c>
      <c r="AB11" s="90" t="s">
        <v>619</v>
      </c>
      <c r="AC11" s="90" t="s">
        <v>624</v>
      </c>
      <c r="AD11" s="90" t="s">
        <v>624</v>
      </c>
      <c r="AE11" s="91" t="s">
        <v>624</v>
      </c>
      <c r="AF11" s="91" t="s">
        <v>626</v>
      </c>
      <c r="AG11" s="91" t="s">
        <v>626</v>
      </c>
      <c r="AH11" s="91" t="s">
        <v>621</v>
      </c>
      <c r="AI11" s="91" t="s">
        <v>621</v>
      </c>
      <c r="AJ11" s="90" t="s">
        <v>626</v>
      </c>
      <c r="AK11" s="90" t="s">
        <v>626</v>
      </c>
      <c r="AL11" s="90" t="s">
        <v>624</v>
      </c>
      <c r="AM11" s="90" t="s">
        <v>624</v>
      </c>
      <c r="AN11" s="90" t="s">
        <v>626</v>
      </c>
    </row>
    <row r="12">
      <c r="A12" s="89">
        <f t="shared" si="1"/>
        <v>11</v>
      </c>
      <c r="B12" s="90" t="s">
        <v>619</v>
      </c>
      <c r="C12" s="90" t="s">
        <v>624</v>
      </c>
      <c r="D12" s="90" t="s">
        <v>622</v>
      </c>
      <c r="E12" s="91" t="s">
        <v>621</v>
      </c>
      <c r="F12" s="90" t="s">
        <v>624</v>
      </c>
      <c r="G12" s="90" t="s">
        <v>626</v>
      </c>
      <c r="H12" s="90" t="s">
        <v>624</v>
      </c>
      <c r="I12" s="90" t="s">
        <v>624</v>
      </c>
      <c r="J12" s="90" t="s">
        <v>622</v>
      </c>
      <c r="K12" s="90" t="s">
        <v>622</v>
      </c>
      <c r="L12" s="91" t="s">
        <v>621</v>
      </c>
      <c r="M12" s="90" t="s">
        <v>622</v>
      </c>
      <c r="N12" s="90" t="s">
        <v>624</v>
      </c>
      <c r="O12" s="90" t="s">
        <v>626</v>
      </c>
      <c r="P12" s="91" t="s">
        <v>622</v>
      </c>
      <c r="Q12" s="91" t="s">
        <v>622</v>
      </c>
      <c r="R12" s="91" t="s">
        <v>622</v>
      </c>
      <c r="S12" s="91" t="s">
        <v>626</v>
      </c>
      <c r="T12" s="91" t="s">
        <v>626</v>
      </c>
      <c r="U12" s="91" t="s">
        <v>621</v>
      </c>
      <c r="V12" s="91" t="s">
        <v>622</v>
      </c>
      <c r="W12" s="91" t="s">
        <v>626</v>
      </c>
      <c r="X12" s="91" t="s">
        <v>627</v>
      </c>
      <c r="Y12" s="91" t="s">
        <v>622</v>
      </c>
      <c r="Z12" s="91" t="s">
        <v>626</v>
      </c>
      <c r="AA12" s="91" t="s">
        <v>626</v>
      </c>
      <c r="AB12" s="91" t="s">
        <v>622</v>
      </c>
      <c r="AC12" s="90" t="s">
        <v>626</v>
      </c>
      <c r="AD12" s="90" t="s">
        <v>626</v>
      </c>
      <c r="AE12" s="91" t="s">
        <v>626</v>
      </c>
      <c r="AF12" s="90" t="s">
        <v>628</v>
      </c>
      <c r="AG12" s="90" t="s">
        <v>619</v>
      </c>
      <c r="AH12" s="90" t="s">
        <v>622</v>
      </c>
      <c r="AI12" s="90" t="s">
        <v>622</v>
      </c>
      <c r="AJ12" s="90" t="s">
        <v>628</v>
      </c>
      <c r="AK12" s="90" t="s">
        <v>628</v>
      </c>
      <c r="AL12" s="90" t="s">
        <v>626</v>
      </c>
      <c r="AM12" s="90" t="s">
        <v>626</v>
      </c>
      <c r="AN12" s="90" t="s">
        <v>627</v>
      </c>
    </row>
    <row r="13">
      <c r="A13" s="89">
        <f t="shared" si="1"/>
        <v>12</v>
      </c>
      <c r="B13" s="91" t="s">
        <v>621</v>
      </c>
      <c r="C13" s="90" t="s">
        <v>626</v>
      </c>
      <c r="D13" s="90" t="s">
        <v>624</v>
      </c>
      <c r="E13" s="90" t="s">
        <v>622</v>
      </c>
      <c r="F13" s="90" t="s">
        <v>626</v>
      </c>
      <c r="G13" s="90" t="s">
        <v>627</v>
      </c>
      <c r="H13" s="90" t="s">
        <v>626</v>
      </c>
      <c r="I13" s="90" t="s">
        <v>626</v>
      </c>
      <c r="J13" s="90" t="s">
        <v>624</v>
      </c>
      <c r="K13" s="90" t="s">
        <v>624</v>
      </c>
      <c r="L13" s="90" t="s">
        <v>622</v>
      </c>
      <c r="M13" s="90" t="s">
        <v>626</v>
      </c>
      <c r="N13" s="90" t="s">
        <v>626</v>
      </c>
      <c r="O13" s="90" t="s">
        <v>628</v>
      </c>
      <c r="P13" s="91" t="s">
        <v>624</v>
      </c>
      <c r="Q13" s="91" t="s">
        <v>624</v>
      </c>
      <c r="R13" s="91" t="s">
        <v>624</v>
      </c>
      <c r="S13" s="91" t="s">
        <v>628</v>
      </c>
      <c r="T13" s="91" t="s">
        <v>628</v>
      </c>
      <c r="U13" s="90" t="s">
        <v>622</v>
      </c>
      <c r="V13" s="90" t="s">
        <v>624</v>
      </c>
      <c r="W13" s="90" t="s">
        <v>628</v>
      </c>
      <c r="X13" s="90" t="s">
        <v>629</v>
      </c>
      <c r="Y13" s="90" t="s">
        <v>624</v>
      </c>
      <c r="Z13" s="90" t="s">
        <v>628</v>
      </c>
      <c r="AA13" s="90" t="s">
        <v>627</v>
      </c>
      <c r="AB13" s="91" t="s">
        <v>630</v>
      </c>
      <c r="AC13" s="90" t="s">
        <v>628</v>
      </c>
      <c r="AD13" s="91" t="s">
        <v>625</v>
      </c>
      <c r="AE13" s="90" t="s">
        <v>628</v>
      </c>
      <c r="AF13" s="90" t="s">
        <v>619</v>
      </c>
      <c r="AG13" s="91" t="s">
        <v>621</v>
      </c>
      <c r="AH13" s="90" t="s">
        <v>624</v>
      </c>
      <c r="AI13" s="90" t="s">
        <v>624</v>
      </c>
      <c r="AJ13" s="90" t="s">
        <v>627</v>
      </c>
      <c r="AK13" s="90" t="s">
        <v>627</v>
      </c>
      <c r="AL13" s="90" t="s">
        <v>628</v>
      </c>
      <c r="AM13" s="90" t="s">
        <v>628</v>
      </c>
      <c r="AN13" s="90" t="s">
        <v>629</v>
      </c>
    </row>
    <row r="14">
      <c r="A14" s="89">
        <f t="shared" si="1"/>
        <v>13</v>
      </c>
      <c r="B14" s="90" t="s">
        <v>622</v>
      </c>
      <c r="C14" s="90" t="s">
        <v>628</v>
      </c>
      <c r="D14" s="90" t="s">
        <v>626</v>
      </c>
      <c r="E14" s="90" t="s">
        <v>624</v>
      </c>
      <c r="F14" s="90" t="s">
        <v>628</v>
      </c>
      <c r="G14" s="90" t="s">
        <v>629</v>
      </c>
      <c r="H14" s="90" t="s">
        <v>627</v>
      </c>
      <c r="I14" s="90" t="s">
        <v>627</v>
      </c>
      <c r="J14" s="90" t="s">
        <v>626</v>
      </c>
      <c r="K14" s="90" t="s">
        <v>626</v>
      </c>
      <c r="L14" s="90" t="s">
        <v>626</v>
      </c>
      <c r="M14" s="90" t="s">
        <v>628</v>
      </c>
      <c r="N14" s="90" t="s">
        <v>628</v>
      </c>
      <c r="O14" s="90" t="s">
        <v>627</v>
      </c>
      <c r="P14" s="91" t="s">
        <v>626</v>
      </c>
      <c r="Q14" s="91" t="s">
        <v>626</v>
      </c>
      <c r="R14" s="91" t="s">
        <v>626</v>
      </c>
      <c r="S14" s="91" t="s">
        <v>627</v>
      </c>
      <c r="T14" s="91" t="s">
        <v>627</v>
      </c>
      <c r="U14" s="90" t="s">
        <v>624</v>
      </c>
      <c r="V14" s="90" t="s">
        <v>626</v>
      </c>
      <c r="W14" s="90" t="s">
        <v>627</v>
      </c>
      <c r="X14" s="90" t="s">
        <v>631</v>
      </c>
      <c r="Y14" s="90" t="s">
        <v>626</v>
      </c>
      <c r="Z14" s="90" t="s">
        <v>627</v>
      </c>
      <c r="AA14" s="90" t="s">
        <v>629</v>
      </c>
      <c r="AB14" s="90" t="s">
        <v>624</v>
      </c>
      <c r="AC14" s="91" t="s">
        <v>625</v>
      </c>
      <c r="AD14" s="91" t="s">
        <v>621</v>
      </c>
      <c r="AE14" s="90" t="s">
        <v>619</v>
      </c>
      <c r="AF14" s="91" t="s">
        <v>621</v>
      </c>
      <c r="AG14" s="91" t="s">
        <v>622</v>
      </c>
      <c r="AH14" s="90" t="s">
        <v>626</v>
      </c>
      <c r="AI14" s="90" t="s">
        <v>626</v>
      </c>
      <c r="AJ14" s="90" t="s">
        <v>629</v>
      </c>
      <c r="AK14" s="90" t="s">
        <v>629</v>
      </c>
      <c r="AL14" s="90" t="s">
        <v>627</v>
      </c>
      <c r="AM14" s="90" t="s">
        <v>627</v>
      </c>
      <c r="AN14" s="90" t="s">
        <v>631</v>
      </c>
    </row>
    <row r="15">
      <c r="A15" s="89">
        <f t="shared" si="1"/>
        <v>14</v>
      </c>
      <c r="B15" s="90" t="s">
        <v>624</v>
      </c>
      <c r="C15" s="90" t="s">
        <v>627</v>
      </c>
      <c r="D15" s="90" t="s">
        <v>628</v>
      </c>
      <c r="E15" s="90" t="s">
        <v>626</v>
      </c>
      <c r="F15" s="90" t="s">
        <v>627</v>
      </c>
      <c r="G15" s="90" t="s">
        <v>631</v>
      </c>
      <c r="H15" s="90" t="s">
        <v>629</v>
      </c>
      <c r="I15" s="90" t="s">
        <v>629</v>
      </c>
      <c r="J15" s="90" t="s">
        <v>628</v>
      </c>
      <c r="K15" s="90" t="s">
        <v>628</v>
      </c>
      <c r="L15" s="90" t="s">
        <v>628</v>
      </c>
      <c r="M15" s="90" t="s">
        <v>627</v>
      </c>
      <c r="N15" s="90" t="s">
        <v>627</v>
      </c>
      <c r="O15" s="90" t="s">
        <v>629</v>
      </c>
      <c r="P15" s="91" t="s">
        <v>628</v>
      </c>
      <c r="Q15" s="91" t="s">
        <v>628</v>
      </c>
      <c r="R15" s="91" t="s">
        <v>628</v>
      </c>
      <c r="S15" s="91" t="s">
        <v>629</v>
      </c>
      <c r="T15" s="91" t="s">
        <v>629</v>
      </c>
      <c r="U15" s="90" t="s">
        <v>626</v>
      </c>
      <c r="V15" s="90" t="s">
        <v>628</v>
      </c>
      <c r="W15" s="90" t="s">
        <v>629</v>
      </c>
      <c r="X15" s="90"/>
      <c r="Y15" s="90" t="s">
        <v>628</v>
      </c>
      <c r="Z15" s="90" t="s">
        <v>629</v>
      </c>
      <c r="AA15" s="90" t="s">
        <v>631</v>
      </c>
      <c r="AB15" s="90" t="s">
        <v>626</v>
      </c>
      <c r="AC15" s="91" t="s">
        <v>621</v>
      </c>
      <c r="AD15" s="90" t="s">
        <v>627</v>
      </c>
      <c r="AE15" s="91" t="s">
        <v>621</v>
      </c>
      <c r="AF15" s="91" t="s">
        <v>622</v>
      </c>
      <c r="AG15" s="91" t="s">
        <v>632</v>
      </c>
      <c r="AH15" s="90" t="s">
        <v>628</v>
      </c>
      <c r="AI15" s="90" t="s">
        <v>628</v>
      </c>
      <c r="AJ15" s="90" t="s">
        <v>631</v>
      </c>
      <c r="AK15" s="90" t="s">
        <v>631</v>
      </c>
      <c r="AL15" s="90" t="s">
        <v>629</v>
      </c>
      <c r="AM15" s="90" t="s">
        <v>629</v>
      </c>
      <c r="AN15" s="90"/>
    </row>
    <row r="16">
      <c r="A16" s="89">
        <f t="shared" si="1"/>
        <v>15</v>
      </c>
      <c r="B16" s="90" t="s">
        <v>626</v>
      </c>
      <c r="C16" s="90" t="s">
        <v>629</v>
      </c>
      <c r="D16" s="90" t="s">
        <v>627</v>
      </c>
      <c r="E16" s="90" t="s">
        <v>628</v>
      </c>
      <c r="F16" s="90" t="s">
        <v>629</v>
      </c>
      <c r="G16" s="93"/>
      <c r="H16" s="90" t="s">
        <v>631</v>
      </c>
      <c r="I16" s="90" t="s">
        <v>631</v>
      </c>
      <c r="J16" s="90" t="s">
        <v>627</v>
      </c>
      <c r="K16" s="90" t="s">
        <v>627</v>
      </c>
      <c r="L16" s="90" t="s">
        <v>627</v>
      </c>
      <c r="M16" s="90" t="s">
        <v>629</v>
      </c>
      <c r="N16" s="90" t="s">
        <v>629</v>
      </c>
      <c r="O16" s="90" t="s">
        <v>631</v>
      </c>
      <c r="P16" s="94" t="s">
        <v>627</v>
      </c>
      <c r="Q16" s="94" t="s">
        <v>627</v>
      </c>
      <c r="R16" s="91" t="s">
        <v>627</v>
      </c>
      <c r="S16" s="91" t="s">
        <v>631</v>
      </c>
      <c r="T16" s="91" t="s">
        <v>631</v>
      </c>
      <c r="U16" s="90" t="s">
        <v>627</v>
      </c>
      <c r="V16" s="90" t="s">
        <v>627</v>
      </c>
      <c r="W16" s="90" t="s">
        <v>631</v>
      </c>
      <c r="X16" s="90"/>
      <c r="Y16" s="90" t="s">
        <v>627</v>
      </c>
      <c r="Z16" s="90" t="s">
        <v>631</v>
      </c>
      <c r="AA16" s="90"/>
      <c r="AB16" s="90" t="s">
        <v>628</v>
      </c>
      <c r="AC16" s="90" t="s">
        <v>627</v>
      </c>
      <c r="AD16" s="91" t="s">
        <v>633</v>
      </c>
      <c r="AE16" s="91" t="s">
        <v>622</v>
      </c>
      <c r="AF16" s="91" t="s">
        <v>632</v>
      </c>
      <c r="AG16" s="91" t="s">
        <v>634</v>
      </c>
      <c r="AH16" s="90" t="s">
        <v>627</v>
      </c>
      <c r="AI16" s="90" t="s">
        <v>627</v>
      </c>
      <c r="AJ16" s="93"/>
      <c r="AK16" s="93"/>
      <c r="AL16" s="90" t="s">
        <v>631</v>
      </c>
      <c r="AM16" s="90" t="s">
        <v>631</v>
      </c>
      <c r="AN16" s="90"/>
    </row>
    <row r="17">
      <c r="A17" s="89">
        <f t="shared" si="1"/>
        <v>16</v>
      </c>
      <c r="B17" s="90" t="s">
        <v>628</v>
      </c>
      <c r="C17" s="90" t="s">
        <v>631</v>
      </c>
      <c r="D17" s="90" t="s">
        <v>629</v>
      </c>
      <c r="E17" s="90" t="s">
        <v>627</v>
      </c>
      <c r="F17" s="90" t="s">
        <v>631</v>
      </c>
      <c r="G17" s="93"/>
      <c r="H17" s="93"/>
      <c r="I17" s="93"/>
      <c r="J17" s="90" t="s">
        <v>629</v>
      </c>
      <c r="K17" s="90" t="s">
        <v>629</v>
      </c>
      <c r="L17" s="90" t="s">
        <v>629</v>
      </c>
      <c r="M17" s="90" t="s">
        <v>631</v>
      </c>
      <c r="N17" s="90" t="s">
        <v>631</v>
      </c>
      <c r="O17" s="93"/>
      <c r="P17" s="94" t="s">
        <v>629</v>
      </c>
      <c r="Q17" s="94" t="s">
        <v>629</v>
      </c>
      <c r="R17" s="91" t="s">
        <v>629</v>
      </c>
      <c r="S17" s="91"/>
      <c r="T17" s="91"/>
      <c r="U17" s="90" t="s">
        <v>629</v>
      </c>
      <c r="V17" s="90" t="s">
        <v>629</v>
      </c>
      <c r="W17" s="90"/>
      <c r="X17" s="90"/>
      <c r="Y17" s="90" t="s">
        <v>629</v>
      </c>
      <c r="Z17" s="90"/>
      <c r="AA17" s="90"/>
      <c r="AB17" s="91" t="s">
        <v>625</v>
      </c>
      <c r="AC17" s="91" t="s">
        <v>633</v>
      </c>
      <c r="AD17" s="90" t="s">
        <v>629</v>
      </c>
      <c r="AE17" s="91" t="s">
        <v>632</v>
      </c>
      <c r="AF17" s="91" t="s">
        <v>634</v>
      </c>
      <c r="AG17" s="90" t="s">
        <v>627</v>
      </c>
      <c r="AH17" s="90" t="s">
        <v>629</v>
      </c>
      <c r="AI17" s="90" t="s">
        <v>629</v>
      </c>
      <c r="AJ17" s="93"/>
      <c r="AK17" s="93"/>
      <c r="AL17" s="90"/>
      <c r="AM17" s="90"/>
      <c r="AN17" s="90"/>
    </row>
    <row r="18">
      <c r="A18" s="89">
        <f t="shared" si="1"/>
        <v>17</v>
      </c>
      <c r="B18" s="90" t="s">
        <v>627</v>
      </c>
      <c r="C18" s="93"/>
      <c r="D18" s="90" t="s">
        <v>631</v>
      </c>
      <c r="E18" s="90" t="s">
        <v>629</v>
      </c>
      <c r="F18" s="93"/>
      <c r="G18" s="93"/>
      <c r="H18" s="93"/>
      <c r="I18" s="93"/>
      <c r="J18" s="90" t="s">
        <v>631</v>
      </c>
      <c r="K18" s="95" t="s">
        <v>631</v>
      </c>
      <c r="L18" s="95" t="s">
        <v>631</v>
      </c>
      <c r="M18" s="93"/>
      <c r="N18" s="93"/>
      <c r="O18" s="93"/>
      <c r="P18" s="94" t="s">
        <v>631</v>
      </c>
      <c r="Q18" s="94" t="s">
        <v>631</v>
      </c>
      <c r="R18" s="91" t="s">
        <v>631</v>
      </c>
      <c r="S18" s="91"/>
      <c r="T18" s="91"/>
      <c r="U18" s="95" t="s">
        <v>631</v>
      </c>
      <c r="V18" s="95" t="s">
        <v>631</v>
      </c>
      <c r="W18" s="95"/>
      <c r="X18" s="95"/>
      <c r="Y18" s="95" t="s">
        <v>631</v>
      </c>
      <c r="Z18" s="95"/>
      <c r="AA18" s="95"/>
      <c r="AB18" s="91" t="s">
        <v>621</v>
      </c>
      <c r="AC18" s="90" t="s">
        <v>629</v>
      </c>
      <c r="AD18" s="90" t="s">
        <v>631</v>
      </c>
      <c r="AE18" s="91" t="s">
        <v>634</v>
      </c>
      <c r="AF18" s="90" t="s">
        <v>627</v>
      </c>
      <c r="AG18" s="90" t="s">
        <v>629</v>
      </c>
      <c r="AH18" s="90" t="s">
        <v>631</v>
      </c>
      <c r="AI18" s="95" t="s">
        <v>631</v>
      </c>
      <c r="AJ18" s="93"/>
      <c r="AK18" s="93"/>
      <c r="AL18" s="90"/>
      <c r="AM18" s="90"/>
      <c r="AN18" s="90"/>
    </row>
    <row r="19">
      <c r="A19" s="89">
        <f t="shared" si="1"/>
        <v>18</v>
      </c>
      <c r="B19" s="90" t="s">
        <v>629</v>
      </c>
      <c r="C19" s="93"/>
      <c r="D19" s="93"/>
      <c r="E19" s="90" t="s">
        <v>631</v>
      </c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0"/>
      <c r="S19" s="90"/>
      <c r="T19" s="90"/>
      <c r="U19" s="93"/>
      <c r="V19" s="93"/>
      <c r="W19" s="93"/>
      <c r="X19" s="93"/>
      <c r="Y19" s="93"/>
      <c r="Z19" s="93"/>
      <c r="AA19" s="93"/>
      <c r="AB19" s="90" t="s">
        <v>627</v>
      </c>
      <c r="AC19" s="90" t="s">
        <v>631</v>
      </c>
      <c r="AD19" s="90"/>
      <c r="AE19" s="90" t="s">
        <v>627</v>
      </c>
      <c r="AF19" s="90" t="s">
        <v>629</v>
      </c>
      <c r="AG19" s="93" t="s">
        <v>631</v>
      </c>
      <c r="AH19" s="93"/>
      <c r="AI19" s="93"/>
      <c r="AJ19" s="93"/>
      <c r="AK19" s="93"/>
      <c r="AL19" s="90"/>
      <c r="AM19" s="90"/>
      <c r="AN19" s="90"/>
    </row>
    <row r="20">
      <c r="A20" s="89">
        <f t="shared" si="1"/>
        <v>19</v>
      </c>
      <c r="B20" s="90" t="s">
        <v>631</v>
      </c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1"/>
      <c r="S20" s="91"/>
      <c r="T20" s="91"/>
      <c r="U20" s="93"/>
      <c r="V20" s="93"/>
      <c r="W20" s="93"/>
      <c r="X20" s="93"/>
      <c r="Y20" s="93"/>
      <c r="Z20" s="93"/>
      <c r="AA20" s="93"/>
      <c r="AB20" s="91" t="s">
        <v>633</v>
      </c>
      <c r="AD20" s="90"/>
      <c r="AE20" s="90" t="s">
        <v>629</v>
      </c>
      <c r="AF20" s="93" t="s">
        <v>631</v>
      </c>
      <c r="AG20" s="93"/>
      <c r="AH20" s="93"/>
      <c r="AI20" s="93"/>
      <c r="AJ20" s="93"/>
      <c r="AK20" s="93"/>
      <c r="AL20" s="90"/>
      <c r="AM20" s="90"/>
      <c r="AN20" s="90"/>
    </row>
    <row r="21">
      <c r="A21" s="89">
        <f t="shared" si="1"/>
        <v>20</v>
      </c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0"/>
      <c r="S21" s="90"/>
      <c r="T21" s="90"/>
      <c r="U21" s="93"/>
      <c r="V21" s="93"/>
      <c r="W21" s="93"/>
      <c r="X21" s="93"/>
      <c r="Y21" s="93"/>
      <c r="Z21" s="93"/>
      <c r="AA21" s="93"/>
      <c r="AB21" s="90" t="s">
        <v>629</v>
      </c>
      <c r="AC21" s="90"/>
      <c r="AD21" s="90"/>
      <c r="AE21" s="90" t="s">
        <v>631</v>
      </c>
      <c r="AF21" s="93"/>
      <c r="AG21" s="93"/>
      <c r="AH21" s="93"/>
      <c r="AI21" s="93"/>
      <c r="AJ21" s="93"/>
      <c r="AK21" s="93"/>
      <c r="AL21" s="90"/>
      <c r="AM21" s="90"/>
      <c r="AN21" s="90"/>
    </row>
    <row r="22">
      <c r="A22" s="89">
        <f t="shared" si="1"/>
        <v>21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0"/>
      <c r="S22" s="90"/>
      <c r="T22" s="90"/>
      <c r="U22" s="93"/>
      <c r="V22" s="93"/>
      <c r="W22" s="93"/>
      <c r="X22" s="93"/>
      <c r="Y22" s="93"/>
      <c r="Z22" s="93"/>
      <c r="AA22" s="93"/>
      <c r="AB22" s="90" t="s">
        <v>631</v>
      </c>
      <c r="AC22" s="90"/>
      <c r="AD22" s="90"/>
      <c r="AE22" s="93"/>
      <c r="AF22" s="93"/>
      <c r="AG22" s="93"/>
      <c r="AH22" s="93"/>
      <c r="AI22" s="93"/>
      <c r="AJ22" s="93"/>
      <c r="AK22" s="93"/>
      <c r="AL22" s="90"/>
      <c r="AM22" s="90"/>
      <c r="AN22" s="90"/>
    </row>
    <row r="23">
      <c r="A23" s="96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8"/>
      <c r="M23" s="98"/>
      <c r="N23" s="98"/>
      <c r="O23" s="98"/>
      <c r="P23" s="97"/>
      <c r="Q23" s="97"/>
      <c r="R23" s="98"/>
      <c r="S23" s="98"/>
      <c r="T23" s="98"/>
      <c r="U23" s="98"/>
      <c r="W23" s="98"/>
      <c r="X23" s="98"/>
      <c r="Y23" s="98"/>
      <c r="Z23" s="98"/>
      <c r="AA23" s="98"/>
      <c r="AB23" s="98"/>
      <c r="AC23" s="98"/>
      <c r="AD23" s="98"/>
      <c r="AE23" s="97"/>
      <c r="AF23" s="97"/>
      <c r="AG23" s="97"/>
      <c r="AH23" s="97"/>
      <c r="AI23" s="97"/>
      <c r="AJ23" s="97"/>
      <c r="AK23" s="97"/>
      <c r="AL23" s="98"/>
      <c r="AM23" s="98"/>
      <c r="AN23" s="98"/>
    </row>
    <row r="24">
      <c r="A24" s="96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6"/>
      <c r="M24" s="96"/>
      <c r="N24" s="96"/>
      <c r="O24" s="96"/>
      <c r="P24" s="99"/>
      <c r="Q24" s="99"/>
      <c r="R24" s="96"/>
      <c r="S24" s="96"/>
      <c r="T24" s="96"/>
      <c r="U24" s="96"/>
      <c r="W24" s="96"/>
      <c r="X24" s="96"/>
      <c r="Y24" s="96"/>
      <c r="Z24" s="96"/>
      <c r="AA24" s="96"/>
      <c r="AB24" s="96"/>
      <c r="AC24" s="96"/>
      <c r="AD24" s="96"/>
      <c r="AE24" s="99"/>
      <c r="AF24" s="99"/>
      <c r="AG24" s="99"/>
      <c r="AH24" s="99"/>
      <c r="AI24" s="99"/>
      <c r="AJ24" s="99"/>
      <c r="AK24" s="99"/>
      <c r="AL24" s="96"/>
      <c r="AM24" s="96"/>
      <c r="AN24" s="96"/>
    </row>
    <row r="25">
      <c r="A25" s="96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6"/>
      <c r="M25" s="96"/>
      <c r="N25" s="96"/>
      <c r="O25" s="96"/>
      <c r="P25" s="99"/>
      <c r="Q25" s="99"/>
      <c r="R25" s="96"/>
      <c r="S25" s="96"/>
      <c r="T25" s="96"/>
      <c r="U25" s="96"/>
      <c r="W25" s="96"/>
      <c r="X25" s="96"/>
      <c r="Y25" s="96"/>
      <c r="Z25" s="96"/>
      <c r="AA25" s="96"/>
      <c r="AB25" s="96"/>
      <c r="AC25" s="96"/>
      <c r="AD25" s="96"/>
      <c r="AE25" s="99"/>
      <c r="AF25" s="99"/>
      <c r="AG25" s="99"/>
      <c r="AH25" s="99"/>
      <c r="AI25" s="99"/>
      <c r="AJ25" s="99"/>
      <c r="AK25" s="99"/>
      <c r="AL25" s="96"/>
      <c r="AM25" s="96"/>
      <c r="AN25" s="96"/>
    </row>
    <row r="26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</row>
    <row r="27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</row>
    <row r="28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</row>
    <row r="29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</row>
    <row r="30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</row>
    <row r="3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</row>
    <row r="32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</row>
    <row r="33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</row>
    <row r="34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</row>
    <row r="35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</row>
    <row r="36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</row>
    <row r="37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</row>
    <row r="38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</row>
    <row r="39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</row>
    <row r="40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</row>
    <row r="4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</row>
    <row r="42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</row>
    <row r="43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</row>
    <row r="44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</row>
    <row r="45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</row>
    <row r="46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</row>
    <row r="47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</row>
    <row r="48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</row>
    <row r="49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</row>
    <row r="50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</row>
    <row r="5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</row>
    <row r="52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</row>
    <row r="53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</row>
    <row r="54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</row>
    <row r="55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</row>
    <row r="56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</row>
    <row r="57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</row>
    <row r="58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</row>
    <row r="59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</row>
    <row r="60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</row>
    <row r="6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</row>
    <row r="62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</row>
    <row r="63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</row>
    <row r="64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</row>
    <row r="65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</row>
    <row r="66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</row>
    <row r="68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</row>
    <row r="69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</row>
    <row r="70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</row>
    <row r="7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</row>
    <row r="72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</row>
    <row r="73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</row>
    <row r="74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</row>
    <row r="75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</row>
    <row r="76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96"/>
    </row>
    <row r="77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</row>
    <row r="78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96"/>
      <c r="AL78" s="96"/>
      <c r="AM78" s="96"/>
      <c r="AN78" s="96"/>
    </row>
    <row r="79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</row>
    <row r="80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</row>
    <row r="8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</row>
    <row r="82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</row>
    <row r="83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</row>
    <row r="84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</row>
    <row r="85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</row>
    <row r="86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</row>
    <row r="87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</row>
    <row r="89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</row>
    <row r="90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</row>
    <row r="9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N91" s="96"/>
    </row>
    <row r="92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</row>
    <row r="93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</row>
    <row r="94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</row>
    <row r="95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</row>
    <row r="96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</row>
    <row r="97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</row>
    <row r="98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</row>
    <row r="99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</row>
    <row r="100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</row>
    <row r="10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</row>
    <row r="102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</row>
    <row r="103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</row>
    <row r="104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</row>
    <row r="105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</row>
    <row r="106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</row>
    <row r="107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</row>
    <row r="108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</row>
    <row r="109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</row>
    <row r="11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</row>
    <row r="112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</row>
    <row r="113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</row>
    <row r="114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</row>
    <row r="115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</row>
    <row r="116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</row>
    <row r="117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</row>
    <row r="118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</row>
    <row r="119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</row>
    <row r="120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</row>
    <row r="12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</row>
    <row r="122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</row>
    <row r="123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</row>
    <row r="124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</row>
    <row r="125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</row>
    <row r="126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</row>
    <row r="127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</row>
    <row r="128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</row>
    <row r="129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</row>
    <row r="130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</row>
    <row r="13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</row>
    <row r="132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</row>
    <row r="133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</row>
    <row r="134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</row>
    <row r="135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</row>
    <row r="136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</row>
    <row r="137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</row>
    <row r="138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</row>
    <row r="139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</row>
    <row r="140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</row>
    <row r="14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</row>
    <row r="142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</row>
    <row r="143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</row>
    <row r="144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</row>
    <row r="145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</row>
    <row r="146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</row>
    <row r="147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  <c r="AM147" s="96"/>
      <c r="AN147" s="96"/>
    </row>
    <row r="148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</row>
    <row r="149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</row>
    <row r="150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</row>
    <row r="15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</row>
    <row r="152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</row>
    <row r="153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</row>
    <row r="154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</row>
    <row r="155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</row>
    <row r="156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</row>
    <row r="157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</row>
    <row r="158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</row>
    <row r="159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96"/>
      <c r="AN159" s="96"/>
    </row>
    <row r="160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  <c r="AM160" s="96"/>
      <c r="AN160" s="96"/>
    </row>
    <row r="16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</row>
    <row r="162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</row>
    <row r="163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</row>
    <row r="164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</row>
    <row r="165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</row>
    <row r="166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</row>
    <row r="167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</row>
    <row r="168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</row>
    <row r="169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</row>
    <row r="170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</row>
    <row r="17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</row>
    <row r="172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</row>
    <row r="173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  <c r="AM173" s="96"/>
      <c r="AN173" s="96"/>
    </row>
    <row r="174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  <c r="AM174" s="96"/>
      <c r="AN174" s="96"/>
    </row>
    <row r="175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  <c r="AM175" s="96"/>
      <c r="AN175" s="96"/>
    </row>
    <row r="176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/>
      <c r="AN176" s="96"/>
    </row>
    <row r="177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</row>
    <row r="178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</row>
    <row r="179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</row>
    <row r="180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</row>
    <row r="18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  <c r="AM181" s="96"/>
      <c r="AN181" s="96"/>
    </row>
    <row r="182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</row>
    <row r="183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</row>
    <row r="184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</row>
    <row r="185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</row>
    <row r="186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</row>
    <row r="187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</row>
    <row r="188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</row>
    <row r="189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</row>
    <row r="190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</row>
    <row r="19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</row>
    <row r="192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</row>
    <row r="193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</row>
    <row r="194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</row>
    <row r="195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</row>
    <row r="196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</row>
    <row r="197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</row>
    <row r="198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</row>
    <row r="199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</row>
    <row r="200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96"/>
      <c r="AN200" s="96"/>
    </row>
    <row r="20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</row>
    <row r="202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96"/>
      <c r="AN202" s="96"/>
    </row>
    <row r="203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  <c r="AH203" s="96"/>
      <c r="AI203" s="96"/>
      <c r="AJ203" s="96"/>
      <c r="AK203" s="96"/>
      <c r="AL203" s="96"/>
      <c r="AM203" s="96"/>
      <c r="AN203" s="96"/>
    </row>
    <row r="204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  <c r="AM204" s="96"/>
      <c r="AN204" s="96"/>
    </row>
    <row r="205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</row>
    <row r="206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</row>
    <row r="207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  <c r="AG207" s="96"/>
      <c r="AH207" s="96"/>
      <c r="AI207" s="96"/>
      <c r="AJ207" s="96"/>
      <c r="AK207" s="96"/>
      <c r="AL207" s="96"/>
      <c r="AM207" s="96"/>
      <c r="AN207" s="96"/>
    </row>
    <row r="208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  <c r="AM208" s="96"/>
      <c r="AN208" s="96"/>
    </row>
    <row r="209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  <c r="AG209" s="96"/>
      <c r="AH209" s="96"/>
      <c r="AI209" s="96"/>
      <c r="AJ209" s="96"/>
      <c r="AK209" s="96"/>
      <c r="AL209" s="96"/>
      <c r="AM209" s="96"/>
      <c r="AN209" s="96"/>
    </row>
    <row r="210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  <c r="AG210" s="96"/>
      <c r="AH210" s="96"/>
      <c r="AI210" s="96"/>
      <c r="AJ210" s="96"/>
      <c r="AK210" s="96"/>
      <c r="AL210" s="96"/>
      <c r="AM210" s="96"/>
      <c r="AN210" s="96"/>
    </row>
    <row r="21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  <c r="AG211" s="96"/>
      <c r="AH211" s="96"/>
      <c r="AI211" s="96"/>
      <c r="AJ211" s="96"/>
      <c r="AK211" s="96"/>
      <c r="AL211" s="96"/>
      <c r="AM211" s="96"/>
      <c r="AN211" s="96"/>
    </row>
    <row r="212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</row>
    <row r="213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  <c r="AG213" s="96"/>
      <c r="AH213" s="96"/>
      <c r="AI213" s="96"/>
      <c r="AJ213" s="96"/>
      <c r="AK213" s="96"/>
      <c r="AL213" s="96"/>
      <c r="AM213" s="96"/>
      <c r="AN213" s="96"/>
    </row>
    <row r="214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</row>
    <row r="215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  <c r="AM215" s="96"/>
      <c r="AN215" s="96"/>
    </row>
    <row r="216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  <c r="AJ216" s="96"/>
      <c r="AK216" s="96"/>
      <c r="AL216" s="96"/>
      <c r="AM216" s="96"/>
      <c r="AN216" s="96"/>
    </row>
    <row r="217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  <c r="AG217" s="96"/>
      <c r="AH217" s="96"/>
      <c r="AI217" s="96"/>
      <c r="AJ217" s="96"/>
      <c r="AK217" s="96"/>
      <c r="AL217" s="96"/>
      <c r="AM217" s="96"/>
      <c r="AN217" s="96"/>
    </row>
    <row r="218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  <c r="AG218" s="96"/>
      <c r="AH218" s="96"/>
      <c r="AI218" s="96"/>
      <c r="AJ218" s="96"/>
      <c r="AK218" s="96"/>
      <c r="AL218" s="96"/>
      <c r="AM218" s="96"/>
      <c r="AN218" s="96"/>
    </row>
    <row r="219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  <c r="AG219" s="96"/>
      <c r="AH219" s="96"/>
      <c r="AI219" s="96"/>
      <c r="AJ219" s="96"/>
      <c r="AK219" s="96"/>
      <c r="AL219" s="96"/>
      <c r="AM219" s="96"/>
      <c r="AN219" s="96"/>
    </row>
    <row r="220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  <c r="AM220" s="96"/>
      <c r="AN220" s="96"/>
    </row>
    <row r="22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  <c r="AG221" s="96"/>
      <c r="AH221" s="96"/>
      <c r="AI221" s="96"/>
      <c r="AJ221" s="96"/>
      <c r="AK221" s="96"/>
      <c r="AL221" s="96"/>
      <c r="AM221" s="96"/>
      <c r="AN221" s="96"/>
    </row>
    <row r="222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  <c r="AM222" s="96"/>
      <c r="AN222" s="96"/>
    </row>
    <row r="223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  <c r="AM223" s="96"/>
      <c r="AN223" s="96"/>
    </row>
    <row r="224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  <c r="AG224" s="96"/>
      <c r="AH224" s="96"/>
      <c r="AI224" s="96"/>
      <c r="AJ224" s="96"/>
      <c r="AK224" s="96"/>
      <c r="AL224" s="96"/>
      <c r="AM224" s="96"/>
      <c r="AN224" s="96"/>
    </row>
    <row r="22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  <c r="AF225" s="96"/>
      <c r="AG225" s="96"/>
      <c r="AH225" s="96"/>
      <c r="AI225" s="96"/>
      <c r="AJ225" s="96"/>
      <c r="AK225" s="96"/>
      <c r="AL225" s="96"/>
      <c r="AM225" s="96"/>
      <c r="AN225" s="96"/>
    </row>
    <row r="226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</row>
    <row r="227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  <c r="AM227" s="96"/>
      <c r="AN227" s="96"/>
    </row>
    <row r="228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  <c r="AM228" s="96"/>
      <c r="AN228" s="96"/>
    </row>
    <row r="229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  <c r="AM229" s="96"/>
      <c r="AN229" s="96"/>
    </row>
    <row r="230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</row>
    <row r="23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  <c r="AM231" s="96"/>
      <c r="AN231" s="96"/>
    </row>
    <row r="232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  <c r="AF232" s="96"/>
      <c r="AG232" s="96"/>
      <c r="AH232" s="96"/>
      <c r="AI232" s="96"/>
      <c r="AJ232" s="96"/>
      <c r="AK232" s="96"/>
      <c r="AL232" s="96"/>
      <c r="AM232" s="96"/>
      <c r="AN232" s="96"/>
    </row>
    <row r="233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  <c r="AF233" s="96"/>
      <c r="AG233" s="96"/>
      <c r="AH233" s="96"/>
      <c r="AI233" s="96"/>
      <c r="AJ233" s="96"/>
      <c r="AK233" s="96"/>
      <c r="AL233" s="96"/>
      <c r="AM233" s="96"/>
      <c r="AN233" s="96"/>
    </row>
    <row r="234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  <c r="AG234" s="96"/>
      <c r="AH234" s="96"/>
      <c r="AI234" s="96"/>
      <c r="AJ234" s="96"/>
      <c r="AK234" s="96"/>
      <c r="AL234" s="96"/>
      <c r="AM234" s="96"/>
      <c r="AN234" s="96"/>
    </row>
    <row r="235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  <c r="AF235" s="96"/>
      <c r="AG235" s="96"/>
      <c r="AH235" s="96"/>
      <c r="AI235" s="96"/>
      <c r="AJ235" s="96"/>
      <c r="AK235" s="96"/>
      <c r="AL235" s="96"/>
      <c r="AM235" s="96"/>
      <c r="AN235" s="96"/>
    </row>
    <row r="236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  <c r="AG236" s="96"/>
      <c r="AH236" s="96"/>
      <c r="AI236" s="96"/>
      <c r="AJ236" s="96"/>
      <c r="AK236" s="96"/>
      <c r="AL236" s="96"/>
      <c r="AM236" s="96"/>
      <c r="AN236" s="96"/>
    </row>
    <row r="237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  <c r="AG237" s="96"/>
      <c r="AH237" s="96"/>
      <c r="AI237" s="96"/>
      <c r="AJ237" s="96"/>
      <c r="AK237" s="96"/>
      <c r="AL237" s="96"/>
      <c r="AM237" s="96"/>
      <c r="AN237" s="96"/>
    </row>
    <row r="238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</row>
    <row r="239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/>
      <c r="AM239" s="96"/>
      <c r="AN239" s="96"/>
    </row>
    <row r="240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  <c r="AM240" s="96"/>
      <c r="AN240" s="96"/>
    </row>
    <row r="24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</row>
    <row r="242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</row>
    <row r="243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</row>
    <row r="244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</row>
    <row r="24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  <c r="AG245" s="96"/>
      <c r="AH245" s="96"/>
      <c r="AI245" s="96"/>
      <c r="AJ245" s="96"/>
      <c r="AK245" s="96"/>
      <c r="AL245" s="96"/>
      <c r="AM245" s="96"/>
      <c r="AN245" s="96"/>
    </row>
    <row r="246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  <c r="AG246" s="96"/>
      <c r="AH246" s="96"/>
      <c r="AI246" s="96"/>
      <c r="AJ246" s="96"/>
      <c r="AK246" s="96"/>
      <c r="AL246" s="96"/>
      <c r="AM246" s="96"/>
      <c r="AN246" s="96"/>
    </row>
    <row r="247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  <c r="AG247" s="96"/>
      <c r="AH247" s="96"/>
      <c r="AI247" s="96"/>
      <c r="AJ247" s="96"/>
      <c r="AK247" s="96"/>
      <c r="AL247" s="96"/>
      <c r="AM247" s="96"/>
      <c r="AN247" s="96"/>
    </row>
    <row r="248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  <c r="AG248" s="96"/>
      <c r="AH248" s="96"/>
      <c r="AI248" s="96"/>
      <c r="AJ248" s="96"/>
      <c r="AK248" s="96"/>
      <c r="AL248" s="96"/>
      <c r="AM248" s="96"/>
      <c r="AN248" s="96"/>
    </row>
    <row r="249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  <c r="AF249" s="96"/>
      <c r="AG249" s="96"/>
      <c r="AH249" s="96"/>
      <c r="AI249" s="96"/>
      <c r="AJ249" s="96"/>
      <c r="AK249" s="96"/>
      <c r="AL249" s="96"/>
      <c r="AM249" s="96"/>
      <c r="AN249" s="96"/>
    </row>
    <row r="250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  <c r="AM250" s="96"/>
      <c r="AN250" s="96"/>
    </row>
    <row r="25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</row>
    <row r="252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</row>
    <row r="253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</row>
    <row r="254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  <c r="AD254" s="96"/>
      <c r="AE254" s="96"/>
      <c r="AF254" s="96"/>
      <c r="AG254" s="96"/>
      <c r="AH254" s="96"/>
      <c r="AI254" s="96"/>
      <c r="AJ254" s="96"/>
      <c r="AK254" s="96"/>
      <c r="AL254" s="96"/>
      <c r="AM254" s="96"/>
      <c r="AN254" s="96"/>
    </row>
    <row r="25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</row>
    <row r="256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  <c r="AD256" s="96"/>
      <c r="AE256" s="96"/>
      <c r="AF256" s="96"/>
      <c r="AG256" s="96"/>
      <c r="AH256" s="96"/>
      <c r="AI256" s="96"/>
      <c r="AJ256" s="96"/>
      <c r="AK256" s="96"/>
      <c r="AL256" s="96"/>
      <c r="AM256" s="96"/>
      <c r="AN256" s="96"/>
    </row>
    <row r="257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  <c r="AD257" s="96"/>
      <c r="AE257" s="96"/>
      <c r="AF257" s="96"/>
      <c r="AG257" s="96"/>
      <c r="AH257" s="96"/>
      <c r="AI257" s="96"/>
      <c r="AJ257" s="96"/>
      <c r="AK257" s="96"/>
      <c r="AL257" s="96"/>
      <c r="AM257" s="96"/>
      <c r="AN257" s="96"/>
    </row>
    <row r="258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  <c r="AM258" s="96"/>
      <c r="AN258" s="96"/>
    </row>
    <row r="259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  <c r="AD259" s="96"/>
      <c r="AE259" s="96"/>
      <c r="AF259" s="96"/>
      <c r="AG259" s="96"/>
      <c r="AH259" s="96"/>
      <c r="AI259" s="96"/>
      <c r="AJ259" s="96"/>
      <c r="AK259" s="96"/>
      <c r="AL259" s="96"/>
      <c r="AM259" s="96"/>
      <c r="AN259" s="96"/>
    </row>
    <row r="260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  <c r="AD260" s="96"/>
      <c r="AE260" s="96"/>
      <c r="AF260" s="96"/>
      <c r="AG260" s="96"/>
      <c r="AH260" s="96"/>
      <c r="AI260" s="96"/>
      <c r="AJ260" s="96"/>
      <c r="AK260" s="96"/>
      <c r="AL260" s="96"/>
      <c r="AM260" s="96"/>
      <c r="AN260" s="96"/>
    </row>
    <row r="26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  <c r="AD261" s="96"/>
      <c r="AE261" s="96"/>
      <c r="AF261" s="96"/>
      <c r="AG261" s="96"/>
      <c r="AH261" s="96"/>
      <c r="AI261" s="96"/>
      <c r="AJ261" s="96"/>
      <c r="AK261" s="96"/>
      <c r="AL261" s="96"/>
      <c r="AM261" s="96"/>
      <c r="AN261" s="96"/>
    </row>
    <row r="262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  <c r="AD262" s="96"/>
      <c r="AE262" s="96"/>
      <c r="AF262" s="96"/>
      <c r="AG262" s="96"/>
      <c r="AH262" s="96"/>
      <c r="AI262" s="96"/>
      <c r="AJ262" s="96"/>
      <c r="AK262" s="96"/>
      <c r="AL262" s="96"/>
      <c r="AM262" s="96"/>
      <c r="AN262" s="96"/>
    </row>
    <row r="263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  <c r="AD263" s="96"/>
      <c r="AE263" s="96"/>
      <c r="AF263" s="96"/>
      <c r="AG263" s="96"/>
      <c r="AH263" s="96"/>
      <c r="AI263" s="96"/>
      <c r="AJ263" s="96"/>
      <c r="AK263" s="96"/>
      <c r="AL263" s="96"/>
      <c r="AM263" s="96"/>
      <c r="AN263" s="96"/>
    </row>
    <row r="264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  <c r="AD264" s="96"/>
      <c r="AE264" s="96"/>
      <c r="AF264" s="96"/>
      <c r="AG264" s="96"/>
      <c r="AH264" s="96"/>
      <c r="AI264" s="96"/>
      <c r="AJ264" s="96"/>
      <c r="AK264" s="96"/>
      <c r="AL264" s="96"/>
      <c r="AM264" s="96"/>
      <c r="AN264" s="96"/>
    </row>
    <row r="26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  <c r="AD265" s="96"/>
      <c r="AE265" s="96"/>
      <c r="AF265" s="96"/>
      <c r="AG265" s="96"/>
      <c r="AH265" s="96"/>
      <c r="AI265" s="96"/>
      <c r="AJ265" s="96"/>
      <c r="AK265" s="96"/>
      <c r="AL265" s="96"/>
      <c r="AM265" s="96"/>
      <c r="AN265" s="96"/>
    </row>
    <row r="266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  <c r="AD266" s="96"/>
      <c r="AE266" s="96"/>
      <c r="AF266" s="96"/>
      <c r="AG266" s="96"/>
      <c r="AH266" s="96"/>
      <c r="AI266" s="96"/>
      <c r="AJ266" s="96"/>
      <c r="AK266" s="96"/>
      <c r="AL266" s="96"/>
      <c r="AM266" s="96"/>
      <c r="AN266" s="96"/>
    </row>
    <row r="267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  <c r="AE267" s="96"/>
      <c r="AF267" s="96"/>
      <c r="AG267" s="96"/>
      <c r="AH267" s="96"/>
      <c r="AI267" s="96"/>
      <c r="AJ267" s="96"/>
      <c r="AK267" s="96"/>
      <c r="AL267" s="96"/>
      <c r="AM267" s="96"/>
      <c r="AN267" s="96"/>
    </row>
    <row r="268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  <c r="AD268" s="96"/>
      <c r="AE268" s="96"/>
      <c r="AF268" s="96"/>
      <c r="AG268" s="96"/>
      <c r="AH268" s="96"/>
      <c r="AI268" s="96"/>
      <c r="AJ268" s="96"/>
      <c r="AK268" s="96"/>
      <c r="AL268" s="96"/>
      <c r="AM268" s="96"/>
      <c r="AN268" s="96"/>
    </row>
    <row r="269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  <c r="AD269" s="96"/>
      <c r="AE269" s="96"/>
      <c r="AF269" s="96"/>
      <c r="AG269" s="96"/>
      <c r="AH269" s="96"/>
      <c r="AI269" s="96"/>
      <c r="AJ269" s="96"/>
      <c r="AK269" s="96"/>
      <c r="AL269" s="96"/>
      <c r="AM269" s="96"/>
      <c r="AN269" s="96"/>
    </row>
    <row r="270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  <c r="AD270" s="96"/>
      <c r="AE270" s="96"/>
      <c r="AF270" s="96"/>
      <c r="AG270" s="96"/>
      <c r="AH270" s="96"/>
      <c r="AI270" s="96"/>
      <c r="AJ270" s="96"/>
      <c r="AK270" s="96"/>
      <c r="AL270" s="96"/>
      <c r="AM270" s="96"/>
      <c r="AN270" s="96"/>
    </row>
    <row r="27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96"/>
      <c r="AK271" s="96"/>
      <c r="AL271" s="96"/>
      <c r="AM271" s="96"/>
      <c r="AN271" s="96"/>
    </row>
    <row r="272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  <c r="AM272" s="96"/>
      <c r="AN272" s="96"/>
    </row>
    <row r="273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</row>
    <row r="274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  <c r="AD274" s="96"/>
      <c r="AE274" s="96"/>
      <c r="AF274" s="96"/>
      <c r="AG274" s="96"/>
      <c r="AH274" s="96"/>
      <c r="AI274" s="96"/>
      <c r="AJ274" s="96"/>
      <c r="AK274" s="96"/>
      <c r="AL274" s="96"/>
      <c r="AM274" s="96"/>
      <c r="AN274" s="96"/>
    </row>
    <row r="27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  <c r="AD275" s="96"/>
      <c r="AE275" s="96"/>
      <c r="AF275" s="96"/>
      <c r="AG275" s="96"/>
      <c r="AH275" s="96"/>
      <c r="AI275" s="96"/>
      <c r="AJ275" s="96"/>
      <c r="AK275" s="96"/>
      <c r="AL275" s="96"/>
      <c r="AM275" s="96"/>
      <c r="AN275" s="96"/>
    </row>
    <row r="276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  <c r="AD276" s="96"/>
      <c r="AE276" s="96"/>
      <c r="AF276" s="96"/>
      <c r="AG276" s="96"/>
      <c r="AH276" s="96"/>
      <c r="AI276" s="96"/>
      <c r="AJ276" s="96"/>
      <c r="AK276" s="96"/>
      <c r="AL276" s="96"/>
      <c r="AM276" s="96"/>
      <c r="AN276" s="96"/>
    </row>
    <row r="277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  <c r="AD277" s="96"/>
      <c r="AE277" s="96"/>
      <c r="AF277" s="96"/>
      <c r="AG277" s="96"/>
      <c r="AH277" s="96"/>
      <c r="AI277" s="96"/>
      <c r="AJ277" s="96"/>
      <c r="AK277" s="96"/>
      <c r="AL277" s="96"/>
      <c r="AM277" s="96"/>
      <c r="AN277" s="96"/>
    </row>
    <row r="278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</row>
    <row r="279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</row>
    <row r="280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  <c r="AD280" s="96"/>
      <c r="AE280" s="96"/>
      <c r="AF280" s="96"/>
      <c r="AG280" s="96"/>
      <c r="AH280" s="96"/>
      <c r="AI280" s="96"/>
      <c r="AJ280" s="96"/>
      <c r="AK280" s="96"/>
      <c r="AL280" s="96"/>
      <c r="AM280" s="96"/>
      <c r="AN280" s="96"/>
    </row>
    <row r="28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  <c r="AD281" s="96"/>
      <c r="AE281" s="96"/>
      <c r="AF281" s="96"/>
      <c r="AG281" s="96"/>
      <c r="AH281" s="96"/>
      <c r="AI281" s="96"/>
      <c r="AJ281" s="96"/>
      <c r="AK281" s="96"/>
      <c r="AL281" s="96"/>
      <c r="AM281" s="96"/>
      <c r="AN281" s="96"/>
    </row>
    <row r="282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  <c r="AD282" s="96"/>
      <c r="AE282" s="96"/>
      <c r="AF282" s="96"/>
      <c r="AG282" s="96"/>
      <c r="AH282" s="96"/>
      <c r="AI282" s="96"/>
      <c r="AJ282" s="96"/>
      <c r="AK282" s="96"/>
      <c r="AL282" s="96"/>
      <c r="AM282" s="96"/>
      <c r="AN282" s="96"/>
    </row>
    <row r="283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  <c r="AD283" s="96"/>
      <c r="AE283" s="96"/>
      <c r="AF283" s="96"/>
      <c r="AG283" s="96"/>
      <c r="AH283" s="96"/>
      <c r="AI283" s="96"/>
      <c r="AJ283" s="96"/>
      <c r="AK283" s="96"/>
      <c r="AL283" s="96"/>
      <c r="AM283" s="96"/>
      <c r="AN283" s="96"/>
    </row>
    <row r="284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  <c r="AD284" s="96"/>
      <c r="AE284" s="96"/>
      <c r="AF284" s="96"/>
      <c r="AG284" s="96"/>
      <c r="AH284" s="96"/>
      <c r="AI284" s="96"/>
      <c r="AJ284" s="96"/>
      <c r="AK284" s="96"/>
      <c r="AL284" s="96"/>
      <c r="AM284" s="96"/>
      <c r="AN284" s="96"/>
    </row>
    <row r="28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  <c r="AD285" s="96"/>
      <c r="AE285" s="96"/>
      <c r="AF285" s="96"/>
      <c r="AG285" s="96"/>
      <c r="AH285" s="96"/>
      <c r="AI285" s="96"/>
      <c r="AJ285" s="96"/>
      <c r="AK285" s="96"/>
      <c r="AL285" s="96"/>
      <c r="AM285" s="96"/>
      <c r="AN285" s="96"/>
    </row>
    <row r="286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  <c r="AD286" s="96"/>
      <c r="AE286" s="96"/>
      <c r="AF286" s="96"/>
      <c r="AG286" s="96"/>
      <c r="AH286" s="96"/>
      <c r="AI286" s="96"/>
      <c r="AJ286" s="96"/>
      <c r="AK286" s="96"/>
      <c r="AL286" s="96"/>
      <c r="AM286" s="96"/>
      <c r="AN286" s="96"/>
    </row>
    <row r="287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  <c r="AD287" s="96"/>
      <c r="AE287" s="96"/>
      <c r="AF287" s="96"/>
      <c r="AG287" s="96"/>
      <c r="AH287" s="96"/>
      <c r="AI287" s="96"/>
      <c r="AJ287" s="96"/>
      <c r="AK287" s="96"/>
      <c r="AL287" s="96"/>
      <c r="AM287" s="96"/>
      <c r="AN287" s="96"/>
    </row>
    <row r="288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  <c r="AD288" s="96"/>
      <c r="AE288" s="96"/>
      <c r="AF288" s="96"/>
      <c r="AG288" s="96"/>
      <c r="AH288" s="96"/>
      <c r="AI288" s="96"/>
      <c r="AJ288" s="96"/>
      <c r="AK288" s="96"/>
      <c r="AL288" s="96"/>
      <c r="AM288" s="96"/>
      <c r="AN288" s="96"/>
    </row>
    <row r="289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  <c r="AD289" s="96"/>
      <c r="AE289" s="96"/>
      <c r="AF289" s="96"/>
      <c r="AG289" s="96"/>
      <c r="AH289" s="96"/>
      <c r="AI289" s="96"/>
      <c r="AJ289" s="96"/>
      <c r="AK289" s="96"/>
      <c r="AL289" s="96"/>
      <c r="AM289" s="96"/>
      <c r="AN289" s="96"/>
    </row>
    <row r="290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  <c r="AM290" s="96"/>
      <c r="AN290" s="96"/>
    </row>
    <row r="29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  <c r="AD291" s="96"/>
      <c r="AE291" s="96"/>
      <c r="AF291" s="96"/>
      <c r="AG291" s="96"/>
      <c r="AH291" s="96"/>
      <c r="AI291" s="96"/>
      <c r="AJ291" s="96"/>
      <c r="AK291" s="96"/>
      <c r="AL291" s="96"/>
      <c r="AM291" s="96"/>
      <c r="AN291" s="96"/>
    </row>
    <row r="292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  <c r="AD292" s="96"/>
      <c r="AE292" s="96"/>
      <c r="AF292" s="96"/>
      <c r="AG292" s="96"/>
      <c r="AH292" s="96"/>
      <c r="AI292" s="96"/>
      <c r="AJ292" s="96"/>
      <c r="AK292" s="96"/>
      <c r="AL292" s="96"/>
      <c r="AM292" s="96"/>
      <c r="AN292" s="96"/>
    </row>
    <row r="293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  <c r="AD293" s="96"/>
      <c r="AE293" s="96"/>
      <c r="AF293" s="96"/>
      <c r="AG293" s="96"/>
      <c r="AH293" s="96"/>
      <c r="AI293" s="96"/>
      <c r="AJ293" s="96"/>
      <c r="AK293" s="96"/>
      <c r="AL293" s="96"/>
      <c r="AM293" s="96"/>
      <c r="AN293" s="96"/>
    </row>
    <row r="294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  <c r="AC294" s="96"/>
      <c r="AD294" s="96"/>
      <c r="AE294" s="96"/>
      <c r="AF294" s="96"/>
      <c r="AG294" s="96"/>
      <c r="AH294" s="96"/>
      <c r="AI294" s="96"/>
      <c r="AJ294" s="96"/>
      <c r="AK294" s="96"/>
      <c r="AL294" s="96"/>
      <c r="AM294" s="96"/>
      <c r="AN294" s="96"/>
    </row>
    <row r="29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  <c r="AC295" s="96"/>
      <c r="AD295" s="96"/>
      <c r="AE295" s="96"/>
      <c r="AF295" s="96"/>
      <c r="AG295" s="96"/>
      <c r="AH295" s="96"/>
      <c r="AI295" s="96"/>
      <c r="AJ295" s="96"/>
      <c r="AK295" s="96"/>
      <c r="AL295" s="96"/>
      <c r="AM295" s="96"/>
      <c r="AN295" s="96"/>
    </row>
    <row r="296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  <c r="AD296" s="96"/>
      <c r="AE296" s="96"/>
      <c r="AF296" s="96"/>
      <c r="AG296" s="96"/>
      <c r="AH296" s="96"/>
      <c r="AI296" s="96"/>
      <c r="AJ296" s="96"/>
      <c r="AK296" s="96"/>
      <c r="AL296" s="96"/>
      <c r="AM296" s="96"/>
      <c r="AN296" s="96"/>
    </row>
    <row r="297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  <c r="AC297" s="96"/>
      <c r="AD297" s="96"/>
      <c r="AE297" s="96"/>
      <c r="AF297" s="96"/>
      <c r="AG297" s="96"/>
      <c r="AH297" s="96"/>
      <c r="AI297" s="96"/>
      <c r="AJ297" s="96"/>
      <c r="AK297" s="96"/>
      <c r="AL297" s="96"/>
      <c r="AM297" s="96"/>
      <c r="AN297" s="96"/>
    </row>
    <row r="298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  <c r="AC298" s="96"/>
      <c r="AD298" s="96"/>
      <c r="AE298" s="96"/>
      <c r="AF298" s="96"/>
      <c r="AG298" s="96"/>
      <c r="AH298" s="96"/>
      <c r="AI298" s="96"/>
      <c r="AJ298" s="96"/>
      <c r="AK298" s="96"/>
      <c r="AL298" s="96"/>
      <c r="AM298" s="96"/>
      <c r="AN298" s="96"/>
    </row>
    <row r="299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  <c r="AC299" s="96"/>
      <c r="AD299" s="96"/>
      <c r="AE299" s="96"/>
      <c r="AF299" s="96"/>
      <c r="AG299" s="96"/>
      <c r="AH299" s="96"/>
      <c r="AI299" s="96"/>
      <c r="AJ299" s="96"/>
      <c r="AK299" s="96"/>
      <c r="AL299" s="96"/>
      <c r="AM299" s="96"/>
      <c r="AN299" s="96"/>
    </row>
    <row r="300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  <c r="AC300" s="96"/>
      <c r="AD300" s="96"/>
      <c r="AE300" s="96"/>
      <c r="AF300" s="96"/>
      <c r="AG300" s="96"/>
      <c r="AH300" s="96"/>
      <c r="AI300" s="96"/>
      <c r="AJ300" s="96"/>
      <c r="AK300" s="96"/>
      <c r="AL300" s="96"/>
      <c r="AM300" s="96"/>
      <c r="AN300" s="96"/>
    </row>
    <row r="30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  <c r="AC301" s="96"/>
      <c r="AD301" s="96"/>
      <c r="AE301" s="96"/>
      <c r="AF301" s="96"/>
      <c r="AG301" s="96"/>
      <c r="AH301" s="96"/>
      <c r="AI301" s="96"/>
      <c r="AJ301" s="96"/>
      <c r="AK301" s="96"/>
      <c r="AL301" s="96"/>
      <c r="AM301" s="96"/>
      <c r="AN301" s="96"/>
    </row>
    <row r="302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  <c r="AC302" s="96"/>
      <c r="AD302" s="96"/>
      <c r="AE302" s="96"/>
      <c r="AF302" s="96"/>
      <c r="AG302" s="96"/>
      <c r="AH302" s="96"/>
      <c r="AI302" s="96"/>
      <c r="AJ302" s="96"/>
      <c r="AK302" s="96"/>
      <c r="AL302" s="96"/>
      <c r="AM302" s="96"/>
      <c r="AN302" s="96"/>
    </row>
    <row r="303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  <c r="AC303" s="96"/>
      <c r="AD303" s="96"/>
      <c r="AE303" s="96"/>
      <c r="AF303" s="96"/>
      <c r="AG303" s="96"/>
      <c r="AH303" s="96"/>
      <c r="AI303" s="96"/>
      <c r="AJ303" s="96"/>
      <c r="AK303" s="96"/>
      <c r="AL303" s="96"/>
      <c r="AM303" s="96"/>
      <c r="AN303" s="96"/>
    </row>
    <row r="304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  <c r="AD304" s="96"/>
      <c r="AE304" s="96"/>
      <c r="AF304" s="96"/>
      <c r="AG304" s="96"/>
      <c r="AH304" s="96"/>
      <c r="AI304" s="96"/>
      <c r="AJ304" s="96"/>
      <c r="AK304" s="96"/>
      <c r="AL304" s="96"/>
      <c r="AM304" s="96"/>
      <c r="AN304" s="96"/>
    </row>
    <row r="30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  <c r="AC305" s="96"/>
      <c r="AD305" s="96"/>
      <c r="AE305" s="96"/>
      <c r="AF305" s="96"/>
      <c r="AG305" s="96"/>
      <c r="AH305" s="96"/>
      <c r="AI305" s="96"/>
      <c r="AJ305" s="96"/>
      <c r="AK305" s="96"/>
      <c r="AL305" s="96"/>
      <c r="AM305" s="96"/>
      <c r="AN305" s="96"/>
    </row>
    <row r="306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  <c r="AC306" s="96"/>
      <c r="AD306" s="96"/>
      <c r="AE306" s="96"/>
      <c r="AF306" s="96"/>
      <c r="AG306" s="96"/>
      <c r="AH306" s="96"/>
      <c r="AI306" s="96"/>
      <c r="AJ306" s="96"/>
      <c r="AK306" s="96"/>
      <c r="AL306" s="96"/>
      <c r="AM306" s="96"/>
      <c r="AN306" s="96"/>
    </row>
    <row r="307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  <c r="AC307" s="96"/>
      <c r="AD307" s="96"/>
      <c r="AE307" s="96"/>
      <c r="AF307" s="96"/>
      <c r="AG307" s="96"/>
      <c r="AH307" s="96"/>
      <c r="AI307" s="96"/>
      <c r="AJ307" s="96"/>
      <c r="AK307" s="96"/>
      <c r="AL307" s="96"/>
      <c r="AM307" s="96"/>
      <c r="AN307" s="96"/>
    </row>
    <row r="308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  <c r="AC308" s="96"/>
      <c r="AD308" s="96"/>
      <c r="AE308" s="96"/>
      <c r="AF308" s="96"/>
      <c r="AG308" s="96"/>
      <c r="AH308" s="96"/>
      <c r="AI308" s="96"/>
      <c r="AJ308" s="96"/>
      <c r="AK308" s="96"/>
      <c r="AL308" s="96"/>
      <c r="AM308" s="96"/>
      <c r="AN308" s="96"/>
    </row>
    <row r="309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  <c r="AC309" s="96"/>
      <c r="AD309" s="96"/>
      <c r="AE309" s="96"/>
      <c r="AF309" s="96"/>
      <c r="AG309" s="96"/>
      <c r="AH309" s="96"/>
      <c r="AI309" s="96"/>
      <c r="AJ309" s="96"/>
      <c r="AK309" s="96"/>
      <c r="AL309" s="96"/>
      <c r="AM309" s="96"/>
      <c r="AN309" s="96"/>
    </row>
    <row r="310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  <c r="AC310" s="96"/>
      <c r="AD310" s="96"/>
      <c r="AE310" s="96"/>
      <c r="AF310" s="96"/>
      <c r="AG310" s="96"/>
      <c r="AH310" s="96"/>
      <c r="AI310" s="96"/>
      <c r="AJ310" s="96"/>
      <c r="AK310" s="96"/>
      <c r="AL310" s="96"/>
      <c r="AM310" s="96"/>
      <c r="AN310" s="96"/>
    </row>
    <row r="31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  <c r="AC311" s="96"/>
      <c r="AD311" s="96"/>
      <c r="AE311" s="96"/>
      <c r="AF311" s="96"/>
      <c r="AG311" s="96"/>
      <c r="AH311" s="96"/>
      <c r="AI311" s="96"/>
      <c r="AJ311" s="96"/>
      <c r="AK311" s="96"/>
      <c r="AL311" s="96"/>
      <c r="AM311" s="96"/>
      <c r="AN311" s="96"/>
    </row>
    <row r="312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  <c r="AC312" s="96"/>
      <c r="AD312" s="96"/>
      <c r="AE312" s="96"/>
      <c r="AF312" s="96"/>
      <c r="AG312" s="96"/>
      <c r="AH312" s="96"/>
      <c r="AI312" s="96"/>
      <c r="AJ312" s="96"/>
      <c r="AK312" s="96"/>
      <c r="AL312" s="96"/>
      <c r="AM312" s="96"/>
      <c r="AN312" s="96"/>
    </row>
    <row r="313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  <c r="AC313" s="96"/>
      <c r="AD313" s="96"/>
      <c r="AE313" s="96"/>
      <c r="AF313" s="96"/>
      <c r="AG313" s="96"/>
      <c r="AH313" s="96"/>
      <c r="AI313" s="96"/>
      <c r="AJ313" s="96"/>
      <c r="AK313" s="96"/>
      <c r="AL313" s="96"/>
      <c r="AM313" s="96"/>
      <c r="AN313" s="96"/>
    </row>
    <row r="314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  <c r="AC314" s="96"/>
      <c r="AD314" s="96"/>
      <c r="AE314" s="96"/>
      <c r="AF314" s="96"/>
      <c r="AG314" s="96"/>
      <c r="AH314" s="96"/>
      <c r="AI314" s="96"/>
      <c r="AJ314" s="96"/>
      <c r="AK314" s="96"/>
      <c r="AL314" s="96"/>
      <c r="AM314" s="96"/>
      <c r="AN314" s="96"/>
    </row>
    <row r="31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  <c r="AC315" s="96"/>
      <c r="AD315" s="96"/>
      <c r="AE315" s="96"/>
      <c r="AF315" s="96"/>
      <c r="AG315" s="96"/>
      <c r="AH315" s="96"/>
      <c r="AI315" s="96"/>
      <c r="AJ315" s="96"/>
      <c r="AK315" s="96"/>
      <c r="AL315" s="96"/>
      <c r="AM315" s="96"/>
      <c r="AN315" s="96"/>
    </row>
    <row r="316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  <c r="AC316" s="96"/>
      <c r="AD316" s="96"/>
      <c r="AE316" s="96"/>
      <c r="AF316" s="96"/>
      <c r="AG316" s="96"/>
      <c r="AH316" s="96"/>
      <c r="AI316" s="96"/>
      <c r="AJ316" s="96"/>
      <c r="AK316" s="96"/>
      <c r="AL316" s="96"/>
      <c r="AM316" s="96"/>
      <c r="AN316" s="96"/>
    </row>
    <row r="317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  <c r="AD317" s="96"/>
      <c r="AE317" s="96"/>
      <c r="AF317" s="96"/>
      <c r="AG317" s="96"/>
      <c r="AH317" s="96"/>
      <c r="AI317" s="96"/>
      <c r="AJ317" s="96"/>
      <c r="AK317" s="96"/>
      <c r="AL317" s="96"/>
      <c r="AM317" s="96"/>
      <c r="AN317" s="96"/>
    </row>
    <row r="318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  <c r="AD318" s="96"/>
      <c r="AE318" s="96"/>
      <c r="AF318" s="96"/>
      <c r="AG318" s="96"/>
      <c r="AH318" s="96"/>
      <c r="AI318" s="96"/>
      <c r="AJ318" s="96"/>
      <c r="AK318" s="96"/>
      <c r="AL318" s="96"/>
      <c r="AM318" s="96"/>
      <c r="AN318" s="96"/>
    </row>
    <row r="319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  <c r="AD319" s="96"/>
      <c r="AE319" s="96"/>
      <c r="AF319" s="96"/>
      <c r="AG319" s="96"/>
      <c r="AH319" s="96"/>
      <c r="AI319" s="96"/>
      <c r="AJ319" s="96"/>
      <c r="AK319" s="96"/>
      <c r="AL319" s="96"/>
      <c r="AM319" s="96"/>
      <c r="AN319" s="96"/>
    </row>
    <row r="320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  <c r="AD320" s="96"/>
      <c r="AE320" s="96"/>
      <c r="AF320" s="96"/>
      <c r="AG320" s="96"/>
      <c r="AH320" s="96"/>
      <c r="AI320" s="96"/>
      <c r="AJ320" s="96"/>
      <c r="AK320" s="96"/>
      <c r="AL320" s="96"/>
      <c r="AM320" s="96"/>
      <c r="AN320" s="96"/>
    </row>
    <row r="32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  <c r="AM321" s="96"/>
      <c r="AN321" s="96"/>
    </row>
    <row r="322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  <c r="AD322" s="96"/>
      <c r="AE322" s="96"/>
      <c r="AF322" s="96"/>
      <c r="AG322" s="96"/>
      <c r="AH322" s="96"/>
      <c r="AI322" s="96"/>
      <c r="AJ322" s="96"/>
      <c r="AK322" s="96"/>
      <c r="AL322" s="96"/>
      <c r="AM322" s="96"/>
      <c r="AN322" s="96"/>
    </row>
    <row r="323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  <c r="AD323" s="96"/>
      <c r="AE323" s="96"/>
      <c r="AF323" s="96"/>
      <c r="AG323" s="96"/>
      <c r="AH323" s="96"/>
      <c r="AI323" s="96"/>
      <c r="AJ323" s="96"/>
      <c r="AK323" s="96"/>
      <c r="AL323" s="96"/>
      <c r="AM323" s="96"/>
      <c r="AN323" s="96"/>
    </row>
    <row r="324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  <c r="AC324" s="96"/>
      <c r="AD324" s="96"/>
      <c r="AE324" s="96"/>
      <c r="AF324" s="96"/>
      <c r="AG324" s="96"/>
      <c r="AH324" s="96"/>
      <c r="AI324" s="96"/>
      <c r="AJ324" s="96"/>
      <c r="AK324" s="96"/>
      <c r="AL324" s="96"/>
      <c r="AM324" s="96"/>
      <c r="AN324" s="96"/>
    </row>
    <row r="3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  <c r="AC325" s="96"/>
      <c r="AD325" s="96"/>
      <c r="AE325" s="96"/>
      <c r="AF325" s="96"/>
      <c r="AG325" s="96"/>
      <c r="AH325" s="96"/>
      <c r="AI325" s="96"/>
      <c r="AJ325" s="96"/>
      <c r="AK325" s="96"/>
      <c r="AL325" s="96"/>
      <c r="AM325" s="96"/>
      <c r="AN325" s="96"/>
    </row>
    <row r="326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  <c r="AM326" s="96"/>
      <c r="AN326" s="96"/>
    </row>
    <row r="327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  <c r="AM327" s="96"/>
      <c r="AN327" s="96"/>
    </row>
    <row r="328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  <c r="AM328" s="96"/>
      <c r="AN328" s="96"/>
    </row>
    <row r="329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  <c r="AD329" s="96"/>
      <c r="AE329" s="96"/>
      <c r="AF329" s="96"/>
      <c r="AG329" s="96"/>
      <c r="AH329" s="96"/>
      <c r="AI329" s="96"/>
      <c r="AJ329" s="96"/>
      <c r="AK329" s="96"/>
      <c r="AL329" s="96"/>
      <c r="AM329" s="96"/>
      <c r="AN329" s="96"/>
    </row>
    <row r="330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  <c r="AD330" s="96"/>
      <c r="AE330" s="96"/>
      <c r="AF330" s="96"/>
      <c r="AG330" s="96"/>
      <c r="AH330" s="96"/>
      <c r="AI330" s="96"/>
      <c r="AJ330" s="96"/>
      <c r="AK330" s="96"/>
      <c r="AL330" s="96"/>
      <c r="AM330" s="96"/>
      <c r="AN330" s="96"/>
    </row>
    <row r="33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  <c r="AC331" s="96"/>
      <c r="AD331" s="96"/>
      <c r="AE331" s="96"/>
      <c r="AF331" s="96"/>
      <c r="AG331" s="96"/>
      <c r="AH331" s="96"/>
      <c r="AI331" s="96"/>
      <c r="AJ331" s="96"/>
      <c r="AK331" s="96"/>
      <c r="AL331" s="96"/>
      <c r="AM331" s="96"/>
      <c r="AN331" s="96"/>
    </row>
    <row r="332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  <c r="AD332" s="96"/>
      <c r="AE332" s="96"/>
      <c r="AF332" s="96"/>
      <c r="AG332" s="96"/>
      <c r="AH332" s="96"/>
      <c r="AI332" s="96"/>
      <c r="AJ332" s="96"/>
      <c r="AK332" s="96"/>
      <c r="AL332" s="96"/>
      <c r="AM332" s="96"/>
      <c r="AN332" s="96"/>
    </row>
    <row r="333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  <c r="AC333" s="96"/>
      <c r="AD333" s="96"/>
      <c r="AE333" s="96"/>
      <c r="AF333" s="96"/>
      <c r="AG333" s="96"/>
      <c r="AH333" s="96"/>
      <c r="AI333" s="96"/>
      <c r="AJ333" s="96"/>
      <c r="AK333" s="96"/>
      <c r="AL333" s="96"/>
      <c r="AM333" s="96"/>
      <c r="AN333" s="96"/>
    </row>
    <row r="334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  <c r="AC334" s="96"/>
      <c r="AD334" s="96"/>
      <c r="AE334" s="96"/>
      <c r="AF334" s="96"/>
      <c r="AG334" s="96"/>
      <c r="AH334" s="96"/>
      <c r="AI334" s="96"/>
      <c r="AJ334" s="96"/>
      <c r="AK334" s="96"/>
      <c r="AL334" s="96"/>
      <c r="AM334" s="96"/>
      <c r="AN334" s="96"/>
    </row>
    <row r="33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  <c r="AC335" s="96"/>
      <c r="AD335" s="96"/>
      <c r="AE335" s="96"/>
      <c r="AF335" s="96"/>
      <c r="AG335" s="96"/>
      <c r="AH335" s="96"/>
      <c r="AI335" s="96"/>
      <c r="AJ335" s="96"/>
      <c r="AK335" s="96"/>
      <c r="AL335" s="96"/>
      <c r="AM335" s="96"/>
      <c r="AN335" s="96"/>
    </row>
    <row r="336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  <c r="AC336" s="96"/>
      <c r="AD336" s="96"/>
      <c r="AE336" s="96"/>
      <c r="AF336" s="96"/>
      <c r="AG336" s="96"/>
      <c r="AH336" s="96"/>
      <c r="AI336" s="96"/>
      <c r="AJ336" s="96"/>
      <c r="AK336" s="96"/>
      <c r="AL336" s="96"/>
      <c r="AM336" s="96"/>
      <c r="AN336" s="96"/>
    </row>
    <row r="337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  <c r="AC337" s="96"/>
      <c r="AD337" s="96"/>
      <c r="AE337" s="96"/>
      <c r="AF337" s="96"/>
      <c r="AG337" s="96"/>
      <c r="AH337" s="96"/>
      <c r="AI337" s="96"/>
      <c r="AJ337" s="96"/>
      <c r="AK337" s="96"/>
      <c r="AL337" s="96"/>
      <c r="AM337" s="96"/>
      <c r="AN337" s="96"/>
    </row>
    <row r="338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  <c r="AC338" s="96"/>
      <c r="AD338" s="96"/>
      <c r="AE338" s="96"/>
      <c r="AF338" s="96"/>
      <c r="AG338" s="96"/>
      <c r="AH338" s="96"/>
      <c r="AI338" s="96"/>
      <c r="AJ338" s="96"/>
      <c r="AK338" s="96"/>
      <c r="AL338" s="96"/>
      <c r="AM338" s="96"/>
      <c r="AN338" s="96"/>
    </row>
    <row r="339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  <c r="AC339" s="96"/>
      <c r="AD339" s="96"/>
      <c r="AE339" s="96"/>
      <c r="AF339" s="96"/>
      <c r="AG339" s="96"/>
      <c r="AH339" s="96"/>
      <c r="AI339" s="96"/>
      <c r="AJ339" s="96"/>
      <c r="AK339" s="96"/>
      <c r="AL339" s="96"/>
      <c r="AM339" s="96"/>
      <c r="AN339" s="96"/>
    </row>
    <row r="340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  <c r="AD340" s="96"/>
      <c r="AE340" s="96"/>
      <c r="AF340" s="96"/>
      <c r="AG340" s="96"/>
      <c r="AH340" s="96"/>
      <c r="AI340" s="96"/>
      <c r="AJ340" s="96"/>
      <c r="AK340" s="96"/>
      <c r="AL340" s="96"/>
      <c r="AM340" s="96"/>
      <c r="AN340" s="96"/>
    </row>
    <row r="34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  <c r="AM341" s="96"/>
      <c r="AN341" s="96"/>
    </row>
    <row r="342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  <c r="AM342" s="96"/>
      <c r="AN342" s="96"/>
    </row>
    <row r="343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  <c r="AC343" s="96"/>
      <c r="AD343" s="96"/>
      <c r="AE343" s="96"/>
      <c r="AF343" s="96"/>
      <c r="AG343" s="96"/>
      <c r="AH343" s="96"/>
      <c r="AI343" s="96"/>
      <c r="AJ343" s="96"/>
      <c r="AK343" s="96"/>
      <c r="AL343" s="96"/>
      <c r="AM343" s="96"/>
      <c r="AN343" s="96"/>
    </row>
    <row r="344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  <c r="AC344" s="96"/>
      <c r="AD344" s="96"/>
      <c r="AE344" s="96"/>
      <c r="AF344" s="96"/>
      <c r="AG344" s="96"/>
      <c r="AH344" s="96"/>
      <c r="AI344" s="96"/>
      <c r="AJ344" s="96"/>
      <c r="AK344" s="96"/>
      <c r="AL344" s="96"/>
      <c r="AM344" s="96"/>
      <c r="AN344" s="96"/>
    </row>
    <row r="34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  <c r="AD345" s="96"/>
      <c r="AE345" s="96"/>
      <c r="AF345" s="96"/>
      <c r="AG345" s="96"/>
      <c r="AH345" s="96"/>
      <c r="AI345" s="96"/>
      <c r="AJ345" s="96"/>
      <c r="AK345" s="96"/>
      <c r="AL345" s="96"/>
      <c r="AM345" s="96"/>
      <c r="AN345" s="96"/>
    </row>
    <row r="346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  <c r="AC346" s="96"/>
      <c r="AD346" s="96"/>
      <c r="AE346" s="96"/>
      <c r="AF346" s="96"/>
      <c r="AG346" s="96"/>
      <c r="AH346" s="96"/>
      <c r="AI346" s="96"/>
      <c r="AJ346" s="96"/>
      <c r="AK346" s="96"/>
      <c r="AL346" s="96"/>
      <c r="AM346" s="96"/>
      <c r="AN346" s="96"/>
    </row>
    <row r="347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  <c r="AC347" s="96"/>
      <c r="AD347" s="96"/>
      <c r="AE347" s="96"/>
      <c r="AF347" s="96"/>
      <c r="AG347" s="96"/>
      <c r="AH347" s="96"/>
      <c r="AI347" s="96"/>
      <c r="AJ347" s="96"/>
      <c r="AK347" s="96"/>
      <c r="AL347" s="96"/>
      <c r="AM347" s="96"/>
      <c r="AN347" s="96"/>
    </row>
    <row r="348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  <c r="AC348" s="96"/>
      <c r="AD348" s="96"/>
      <c r="AE348" s="96"/>
      <c r="AF348" s="96"/>
      <c r="AG348" s="96"/>
      <c r="AH348" s="96"/>
      <c r="AI348" s="96"/>
      <c r="AJ348" s="96"/>
      <c r="AK348" s="96"/>
      <c r="AL348" s="96"/>
      <c r="AM348" s="96"/>
      <c r="AN348" s="96"/>
    </row>
    <row r="349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  <c r="AC349" s="96"/>
      <c r="AD349" s="96"/>
      <c r="AE349" s="96"/>
      <c r="AF349" s="96"/>
      <c r="AG349" s="96"/>
      <c r="AH349" s="96"/>
      <c r="AI349" s="96"/>
      <c r="AJ349" s="96"/>
      <c r="AK349" s="96"/>
      <c r="AL349" s="96"/>
      <c r="AM349" s="96"/>
      <c r="AN349" s="96"/>
    </row>
    <row r="350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  <c r="AC350" s="96"/>
      <c r="AD350" s="96"/>
      <c r="AE350" s="96"/>
      <c r="AF350" s="96"/>
      <c r="AG350" s="96"/>
      <c r="AH350" s="96"/>
      <c r="AI350" s="96"/>
      <c r="AJ350" s="96"/>
      <c r="AK350" s="96"/>
      <c r="AL350" s="96"/>
      <c r="AM350" s="96"/>
      <c r="AN350" s="96"/>
    </row>
    <row r="35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  <c r="AC351" s="96"/>
      <c r="AD351" s="96"/>
      <c r="AE351" s="96"/>
      <c r="AF351" s="96"/>
      <c r="AG351" s="96"/>
      <c r="AH351" s="96"/>
      <c r="AI351" s="96"/>
      <c r="AJ351" s="96"/>
      <c r="AK351" s="96"/>
      <c r="AL351" s="96"/>
      <c r="AM351" s="96"/>
      <c r="AN351" s="96"/>
    </row>
    <row r="352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  <c r="AC352" s="96"/>
      <c r="AD352" s="96"/>
      <c r="AE352" s="96"/>
      <c r="AF352" s="96"/>
      <c r="AG352" s="96"/>
      <c r="AH352" s="96"/>
      <c r="AI352" s="96"/>
      <c r="AJ352" s="96"/>
      <c r="AK352" s="96"/>
      <c r="AL352" s="96"/>
      <c r="AM352" s="96"/>
      <c r="AN352" s="96"/>
    </row>
    <row r="353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  <c r="AC353" s="96"/>
      <c r="AD353" s="96"/>
      <c r="AE353" s="96"/>
      <c r="AF353" s="96"/>
      <c r="AG353" s="96"/>
      <c r="AH353" s="96"/>
      <c r="AI353" s="96"/>
      <c r="AJ353" s="96"/>
      <c r="AK353" s="96"/>
      <c r="AL353" s="96"/>
      <c r="AM353" s="96"/>
      <c r="AN353" s="96"/>
    </row>
    <row r="354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  <c r="AC354" s="96"/>
      <c r="AD354" s="96"/>
      <c r="AE354" s="96"/>
      <c r="AF354" s="96"/>
      <c r="AG354" s="96"/>
      <c r="AH354" s="96"/>
      <c r="AI354" s="96"/>
      <c r="AJ354" s="96"/>
      <c r="AK354" s="96"/>
      <c r="AL354" s="96"/>
      <c r="AM354" s="96"/>
      <c r="AN354" s="96"/>
    </row>
    <row r="35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  <c r="AC355" s="96"/>
      <c r="AD355" s="96"/>
      <c r="AE355" s="96"/>
      <c r="AF355" s="96"/>
      <c r="AG355" s="96"/>
      <c r="AH355" s="96"/>
      <c r="AI355" s="96"/>
      <c r="AJ355" s="96"/>
      <c r="AK355" s="96"/>
      <c r="AL355" s="96"/>
      <c r="AM355" s="96"/>
      <c r="AN355" s="96"/>
    </row>
    <row r="356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  <c r="AC356" s="96"/>
      <c r="AD356" s="96"/>
      <c r="AE356" s="96"/>
      <c r="AF356" s="96"/>
      <c r="AG356" s="96"/>
      <c r="AH356" s="96"/>
      <c r="AI356" s="96"/>
      <c r="AJ356" s="96"/>
      <c r="AK356" s="96"/>
      <c r="AL356" s="96"/>
      <c r="AM356" s="96"/>
      <c r="AN356" s="96"/>
    </row>
    <row r="357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  <c r="AC357" s="96"/>
      <c r="AD357" s="96"/>
      <c r="AE357" s="96"/>
      <c r="AF357" s="96"/>
      <c r="AG357" s="96"/>
      <c r="AH357" s="96"/>
      <c r="AI357" s="96"/>
      <c r="AJ357" s="96"/>
      <c r="AK357" s="96"/>
      <c r="AL357" s="96"/>
      <c r="AM357" s="96"/>
      <c r="AN357" s="96"/>
    </row>
    <row r="358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  <c r="AD358" s="96"/>
      <c r="AE358" s="96"/>
      <c r="AF358" s="96"/>
      <c r="AG358" s="96"/>
      <c r="AH358" s="96"/>
      <c r="AI358" s="96"/>
      <c r="AJ358" s="96"/>
      <c r="AK358" s="96"/>
      <c r="AL358" s="96"/>
      <c r="AM358" s="96"/>
      <c r="AN358" s="96"/>
    </row>
    <row r="359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  <c r="AC359" s="96"/>
      <c r="AD359" s="96"/>
      <c r="AE359" s="96"/>
      <c r="AF359" s="96"/>
      <c r="AG359" s="96"/>
      <c r="AH359" s="96"/>
      <c r="AI359" s="96"/>
      <c r="AJ359" s="96"/>
      <c r="AK359" s="96"/>
      <c r="AL359" s="96"/>
      <c r="AM359" s="96"/>
      <c r="AN359" s="96"/>
    </row>
    <row r="360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  <c r="AC360" s="96"/>
      <c r="AD360" s="96"/>
      <c r="AE360" s="96"/>
      <c r="AF360" s="96"/>
      <c r="AG360" s="96"/>
      <c r="AH360" s="96"/>
      <c r="AI360" s="96"/>
      <c r="AJ360" s="96"/>
      <c r="AK360" s="96"/>
      <c r="AL360" s="96"/>
      <c r="AM360" s="96"/>
      <c r="AN360" s="96"/>
    </row>
    <row r="36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  <c r="AC361" s="96"/>
      <c r="AD361" s="96"/>
      <c r="AE361" s="96"/>
      <c r="AF361" s="96"/>
      <c r="AG361" s="96"/>
      <c r="AH361" s="96"/>
      <c r="AI361" s="96"/>
      <c r="AJ361" s="96"/>
      <c r="AK361" s="96"/>
      <c r="AL361" s="96"/>
      <c r="AM361" s="96"/>
      <c r="AN361" s="96"/>
    </row>
    <row r="362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  <c r="AD362" s="96"/>
      <c r="AE362" s="96"/>
      <c r="AF362" s="96"/>
      <c r="AG362" s="96"/>
      <c r="AH362" s="96"/>
      <c r="AI362" s="96"/>
      <c r="AJ362" s="96"/>
      <c r="AK362" s="96"/>
      <c r="AL362" s="96"/>
      <c r="AM362" s="96"/>
      <c r="AN362" s="96"/>
    </row>
    <row r="363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  <c r="AD363" s="96"/>
      <c r="AE363" s="96"/>
      <c r="AF363" s="96"/>
      <c r="AG363" s="96"/>
      <c r="AH363" s="96"/>
      <c r="AI363" s="96"/>
      <c r="AJ363" s="96"/>
      <c r="AK363" s="96"/>
      <c r="AL363" s="96"/>
      <c r="AM363" s="96"/>
      <c r="AN363" s="96"/>
    </row>
    <row r="364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  <c r="AC364" s="96"/>
      <c r="AD364" s="96"/>
      <c r="AE364" s="96"/>
      <c r="AF364" s="96"/>
      <c r="AG364" s="96"/>
      <c r="AH364" s="96"/>
      <c r="AI364" s="96"/>
      <c r="AJ364" s="96"/>
      <c r="AK364" s="96"/>
      <c r="AL364" s="96"/>
      <c r="AM364" s="96"/>
      <c r="AN364" s="96"/>
    </row>
    <row r="36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  <c r="AC365" s="96"/>
      <c r="AD365" s="96"/>
      <c r="AE365" s="96"/>
      <c r="AF365" s="96"/>
      <c r="AG365" s="96"/>
      <c r="AH365" s="96"/>
      <c r="AI365" s="96"/>
      <c r="AJ365" s="96"/>
      <c r="AK365" s="96"/>
      <c r="AL365" s="96"/>
      <c r="AM365" s="96"/>
      <c r="AN365" s="96"/>
    </row>
    <row r="366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  <c r="AC366" s="96"/>
      <c r="AD366" s="96"/>
      <c r="AE366" s="96"/>
      <c r="AF366" s="96"/>
      <c r="AG366" s="96"/>
      <c r="AH366" s="96"/>
      <c r="AI366" s="96"/>
      <c r="AJ366" s="96"/>
      <c r="AK366" s="96"/>
      <c r="AL366" s="96"/>
      <c r="AM366" s="96"/>
      <c r="AN366" s="96"/>
    </row>
    <row r="367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  <c r="AD367" s="96"/>
      <c r="AE367" s="96"/>
      <c r="AF367" s="96"/>
      <c r="AG367" s="96"/>
      <c r="AH367" s="96"/>
      <c r="AI367" s="96"/>
      <c r="AJ367" s="96"/>
      <c r="AK367" s="96"/>
      <c r="AL367" s="96"/>
      <c r="AM367" s="96"/>
      <c r="AN367" s="96"/>
    </row>
    <row r="368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  <c r="AD368" s="96"/>
      <c r="AE368" s="96"/>
      <c r="AF368" s="96"/>
      <c r="AG368" s="96"/>
      <c r="AH368" s="96"/>
      <c r="AI368" s="96"/>
      <c r="AJ368" s="96"/>
      <c r="AK368" s="96"/>
      <c r="AL368" s="96"/>
      <c r="AM368" s="96"/>
      <c r="AN368" s="96"/>
    </row>
    <row r="369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  <c r="AD369" s="96"/>
      <c r="AE369" s="96"/>
      <c r="AF369" s="96"/>
      <c r="AG369" s="96"/>
      <c r="AH369" s="96"/>
      <c r="AI369" s="96"/>
      <c r="AJ369" s="96"/>
      <c r="AK369" s="96"/>
      <c r="AL369" s="96"/>
      <c r="AM369" s="96"/>
      <c r="AN369" s="96"/>
    </row>
    <row r="370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  <c r="AD370" s="96"/>
      <c r="AE370" s="96"/>
      <c r="AF370" s="96"/>
      <c r="AG370" s="96"/>
      <c r="AH370" s="96"/>
      <c r="AI370" s="96"/>
      <c r="AJ370" s="96"/>
      <c r="AK370" s="96"/>
      <c r="AL370" s="96"/>
      <c r="AM370" s="96"/>
      <c r="AN370" s="96"/>
    </row>
    <row r="37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  <c r="AD371" s="96"/>
      <c r="AE371" s="96"/>
      <c r="AF371" s="96"/>
      <c r="AG371" s="96"/>
      <c r="AH371" s="96"/>
      <c r="AI371" s="96"/>
      <c r="AJ371" s="96"/>
      <c r="AK371" s="96"/>
      <c r="AL371" s="96"/>
      <c r="AM371" s="96"/>
      <c r="AN371" s="96"/>
    </row>
    <row r="372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  <c r="AD372" s="96"/>
      <c r="AE372" s="96"/>
      <c r="AF372" s="96"/>
      <c r="AG372" s="96"/>
      <c r="AH372" s="96"/>
      <c r="AI372" s="96"/>
      <c r="AJ372" s="96"/>
      <c r="AK372" s="96"/>
      <c r="AL372" s="96"/>
      <c r="AM372" s="96"/>
      <c r="AN372" s="96"/>
    </row>
    <row r="373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  <c r="AD373" s="96"/>
      <c r="AE373" s="96"/>
      <c r="AF373" s="96"/>
      <c r="AG373" s="96"/>
      <c r="AH373" s="96"/>
      <c r="AI373" s="96"/>
      <c r="AJ373" s="96"/>
      <c r="AK373" s="96"/>
      <c r="AL373" s="96"/>
      <c r="AM373" s="96"/>
      <c r="AN373" s="96"/>
    </row>
    <row r="374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  <c r="AC374" s="96"/>
      <c r="AD374" s="96"/>
      <c r="AE374" s="96"/>
      <c r="AF374" s="96"/>
      <c r="AG374" s="96"/>
      <c r="AH374" s="96"/>
      <c r="AI374" s="96"/>
      <c r="AJ374" s="96"/>
      <c r="AK374" s="96"/>
      <c r="AL374" s="96"/>
      <c r="AM374" s="96"/>
      <c r="AN374" s="96"/>
    </row>
    <row r="37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  <c r="AC375" s="96"/>
      <c r="AD375" s="96"/>
      <c r="AE375" s="96"/>
      <c r="AF375" s="96"/>
      <c r="AG375" s="96"/>
      <c r="AH375" s="96"/>
      <c r="AI375" s="96"/>
      <c r="AJ375" s="96"/>
      <c r="AK375" s="96"/>
      <c r="AL375" s="96"/>
      <c r="AM375" s="96"/>
      <c r="AN375" s="96"/>
    </row>
    <row r="376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  <c r="AC376" s="96"/>
      <c r="AD376" s="96"/>
      <c r="AE376" s="96"/>
      <c r="AF376" s="96"/>
      <c r="AG376" s="96"/>
      <c r="AH376" s="96"/>
      <c r="AI376" s="96"/>
      <c r="AJ376" s="96"/>
      <c r="AK376" s="96"/>
      <c r="AL376" s="96"/>
      <c r="AM376" s="96"/>
      <c r="AN376" s="96"/>
    </row>
    <row r="377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  <c r="AC377" s="96"/>
      <c r="AD377" s="96"/>
      <c r="AE377" s="96"/>
      <c r="AF377" s="96"/>
      <c r="AG377" s="96"/>
      <c r="AH377" s="96"/>
      <c r="AI377" s="96"/>
      <c r="AJ377" s="96"/>
      <c r="AK377" s="96"/>
      <c r="AL377" s="96"/>
      <c r="AM377" s="96"/>
      <c r="AN377" s="96"/>
    </row>
    <row r="378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  <c r="AD378" s="96"/>
      <c r="AE378" s="96"/>
      <c r="AF378" s="96"/>
      <c r="AG378" s="96"/>
      <c r="AH378" s="96"/>
      <c r="AI378" s="96"/>
      <c r="AJ378" s="96"/>
      <c r="AK378" s="96"/>
      <c r="AL378" s="96"/>
      <c r="AM378" s="96"/>
      <c r="AN378" s="96"/>
    </row>
    <row r="379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  <c r="AD379" s="96"/>
      <c r="AE379" s="96"/>
      <c r="AF379" s="96"/>
      <c r="AG379" s="96"/>
      <c r="AH379" s="96"/>
      <c r="AI379" s="96"/>
      <c r="AJ379" s="96"/>
      <c r="AK379" s="96"/>
      <c r="AL379" s="96"/>
      <c r="AM379" s="96"/>
      <c r="AN379" s="96"/>
    </row>
    <row r="380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  <c r="AD380" s="96"/>
      <c r="AE380" s="96"/>
      <c r="AF380" s="96"/>
      <c r="AG380" s="96"/>
      <c r="AH380" s="96"/>
      <c r="AI380" s="96"/>
      <c r="AJ380" s="96"/>
      <c r="AK380" s="96"/>
      <c r="AL380" s="96"/>
      <c r="AM380" s="96"/>
      <c r="AN380" s="96"/>
    </row>
    <row r="38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  <c r="AC381" s="96"/>
      <c r="AD381" s="96"/>
      <c r="AE381" s="96"/>
      <c r="AF381" s="96"/>
      <c r="AG381" s="96"/>
      <c r="AH381" s="96"/>
      <c r="AI381" s="96"/>
      <c r="AJ381" s="96"/>
      <c r="AK381" s="96"/>
      <c r="AL381" s="96"/>
      <c r="AM381" s="96"/>
      <c r="AN381" s="96"/>
    </row>
    <row r="382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  <c r="AC382" s="96"/>
      <c r="AD382" s="96"/>
      <c r="AE382" s="96"/>
      <c r="AF382" s="96"/>
      <c r="AG382" s="96"/>
      <c r="AH382" s="96"/>
      <c r="AI382" s="96"/>
      <c r="AJ382" s="96"/>
      <c r="AK382" s="96"/>
      <c r="AL382" s="96"/>
      <c r="AM382" s="96"/>
      <c r="AN382" s="96"/>
    </row>
    <row r="383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  <c r="AC383" s="96"/>
      <c r="AD383" s="96"/>
      <c r="AE383" s="96"/>
      <c r="AF383" s="96"/>
      <c r="AG383" s="96"/>
      <c r="AH383" s="96"/>
      <c r="AI383" s="96"/>
      <c r="AJ383" s="96"/>
      <c r="AK383" s="96"/>
      <c r="AL383" s="96"/>
      <c r="AM383" s="96"/>
      <c r="AN383" s="96"/>
    </row>
    <row r="384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  <c r="AC384" s="96"/>
      <c r="AD384" s="96"/>
      <c r="AE384" s="96"/>
      <c r="AF384" s="96"/>
      <c r="AG384" s="96"/>
      <c r="AH384" s="96"/>
      <c r="AI384" s="96"/>
      <c r="AJ384" s="96"/>
      <c r="AK384" s="96"/>
      <c r="AL384" s="96"/>
      <c r="AM384" s="96"/>
      <c r="AN384" s="96"/>
    </row>
    <row r="38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  <c r="AC385" s="96"/>
      <c r="AD385" s="96"/>
      <c r="AE385" s="96"/>
      <c r="AF385" s="96"/>
      <c r="AG385" s="96"/>
      <c r="AH385" s="96"/>
      <c r="AI385" s="96"/>
      <c r="AJ385" s="96"/>
      <c r="AK385" s="96"/>
      <c r="AL385" s="96"/>
      <c r="AM385" s="96"/>
      <c r="AN385" s="96"/>
    </row>
    <row r="386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  <c r="AC386" s="96"/>
      <c r="AD386" s="96"/>
      <c r="AE386" s="96"/>
      <c r="AF386" s="96"/>
      <c r="AG386" s="96"/>
      <c r="AH386" s="96"/>
      <c r="AI386" s="96"/>
      <c r="AJ386" s="96"/>
      <c r="AK386" s="96"/>
      <c r="AL386" s="96"/>
      <c r="AM386" s="96"/>
      <c r="AN386" s="96"/>
    </row>
    <row r="387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  <c r="AC387" s="96"/>
      <c r="AD387" s="96"/>
      <c r="AE387" s="96"/>
      <c r="AF387" s="96"/>
      <c r="AG387" s="96"/>
      <c r="AH387" s="96"/>
      <c r="AI387" s="96"/>
      <c r="AJ387" s="96"/>
      <c r="AK387" s="96"/>
      <c r="AL387" s="96"/>
      <c r="AM387" s="96"/>
      <c r="AN387" s="96"/>
    </row>
    <row r="388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  <c r="AC388" s="96"/>
      <c r="AD388" s="96"/>
      <c r="AE388" s="96"/>
      <c r="AF388" s="96"/>
      <c r="AG388" s="96"/>
      <c r="AH388" s="96"/>
      <c r="AI388" s="96"/>
      <c r="AJ388" s="96"/>
      <c r="AK388" s="96"/>
      <c r="AL388" s="96"/>
      <c r="AM388" s="96"/>
      <c r="AN388" s="96"/>
    </row>
    <row r="389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  <c r="AC389" s="96"/>
      <c r="AD389" s="96"/>
      <c r="AE389" s="96"/>
      <c r="AF389" s="96"/>
      <c r="AG389" s="96"/>
      <c r="AH389" s="96"/>
      <c r="AI389" s="96"/>
      <c r="AJ389" s="96"/>
      <c r="AK389" s="96"/>
      <c r="AL389" s="96"/>
      <c r="AM389" s="96"/>
      <c r="AN389" s="96"/>
    </row>
    <row r="390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  <c r="AD390" s="96"/>
      <c r="AE390" s="96"/>
      <c r="AF390" s="96"/>
      <c r="AG390" s="96"/>
      <c r="AH390" s="96"/>
      <c r="AI390" s="96"/>
      <c r="AJ390" s="96"/>
      <c r="AK390" s="96"/>
      <c r="AL390" s="96"/>
      <c r="AM390" s="96"/>
      <c r="AN390" s="96"/>
    </row>
    <row r="39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  <c r="AD391" s="96"/>
      <c r="AE391" s="96"/>
      <c r="AF391" s="96"/>
      <c r="AG391" s="96"/>
      <c r="AH391" s="96"/>
      <c r="AI391" s="96"/>
      <c r="AJ391" s="96"/>
      <c r="AK391" s="96"/>
      <c r="AL391" s="96"/>
      <c r="AM391" s="96"/>
      <c r="AN391" s="96"/>
    </row>
    <row r="392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  <c r="AC392" s="96"/>
      <c r="AD392" s="96"/>
      <c r="AE392" s="96"/>
      <c r="AF392" s="96"/>
      <c r="AG392" s="96"/>
      <c r="AH392" s="96"/>
      <c r="AI392" s="96"/>
      <c r="AJ392" s="96"/>
      <c r="AK392" s="96"/>
      <c r="AL392" s="96"/>
      <c r="AM392" s="96"/>
      <c r="AN392" s="96"/>
    </row>
    <row r="393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  <c r="AC393" s="96"/>
      <c r="AD393" s="96"/>
      <c r="AE393" s="96"/>
      <c r="AF393" s="96"/>
      <c r="AG393" s="96"/>
      <c r="AH393" s="96"/>
      <c r="AI393" s="96"/>
      <c r="AJ393" s="96"/>
      <c r="AK393" s="96"/>
      <c r="AL393" s="96"/>
      <c r="AM393" s="96"/>
      <c r="AN393" s="96"/>
    </row>
    <row r="394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  <c r="AC394" s="96"/>
      <c r="AD394" s="96"/>
      <c r="AE394" s="96"/>
      <c r="AF394" s="96"/>
      <c r="AG394" s="96"/>
      <c r="AH394" s="96"/>
      <c r="AI394" s="96"/>
      <c r="AJ394" s="96"/>
      <c r="AK394" s="96"/>
      <c r="AL394" s="96"/>
      <c r="AM394" s="96"/>
      <c r="AN394" s="96"/>
    </row>
    <row r="39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  <c r="AC395" s="96"/>
      <c r="AD395" s="96"/>
      <c r="AE395" s="96"/>
      <c r="AF395" s="96"/>
      <c r="AG395" s="96"/>
      <c r="AH395" s="96"/>
      <c r="AI395" s="96"/>
      <c r="AJ395" s="96"/>
      <c r="AK395" s="96"/>
      <c r="AL395" s="96"/>
      <c r="AM395" s="96"/>
      <c r="AN395" s="96"/>
    </row>
    <row r="396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  <c r="AC396" s="96"/>
      <c r="AD396" s="96"/>
      <c r="AE396" s="96"/>
      <c r="AF396" s="96"/>
      <c r="AG396" s="96"/>
      <c r="AH396" s="96"/>
      <c r="AI396" s="96"/>
      <c r="AJ396" s="96"/>
      <c r="AK396" s="96"/>
      <c r="AL396" s="96"/>
      <c r="AM396" s="96"/>
      <c r="AN396" s="96"/>
    </row>
    <row r="397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  <c r="AC397" s="96"/>
      <c r="AD397" s="96"/>
      <c r="AE397" s="96"/>
      <c r="AF397" s="96"/>
      <c r="AG397" s="96"/>
      <c r="AH397" s="96"/>
      <c r="AI397" s="96"/>
      <c r="AJ397" s="96"/>
      <c r="AK397" s="96"/>
      <c r="AL397" s="96"/>
      <c r="AM397" s="96"/>
      <c r="AN397" s="96"/>
    </row>
    <row r="398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  <c r="AD398" s="96"/>
      <c r="AE398" s="96"/>
      <c r="AF398" s="96"/>
      <c r="AG398" s="96"/>
      <c r="AH398" s="96"/>
      <c r="AI398" s="96"/>
      <c r="AJ398" s="96"/>
      <c r="AK398" s="96"/>
      <c r="AL398" s="96"/>
      <c r="AM398" s="96"/>
      <c r="AN398" s="96"/>
    </row>
    <row r="399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6"/>
      <c r="AD399" s="96"/>
      <c r="AE399" s="96"/>
      <c r="AF399" s="96"/>
      <c r="AG399" s="96"/>
      <c r="AH399" s="96"/>
      <c r="AI399" s="96"/>
      <c r="AJ399" s="96"/>
      <c r="AK399" s="96"/>
      <c r="AL399" s="96"/>
      <c r="AM399" s="96"/>
      <c r="AN399" s="96"/>
    </row>
    <row r="400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  <c r="AC400" s="96"/>
      <c r="AD400" s="96"/>
      <c r="AE400" s="96"/>
      <c r="AF400" s="96"/>
      <c r="AG400" s="96"/>
      <c r="AH400" s="96"/>
      <c r="AI400" s="96"/>
      <c r="AJ400" s="96"/>
      <c r="AK400" s="96"/>
      <c r="AL400" s="96"/>
      <c r="AM400" s="96"/>
      <c r="AN400" s="96"/>
    </row>
    <row r="40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  <c r="AD401" s="96"/>
      <c r="AE401" s="96"/>
      <c r="AF401" s="96"/>
      <c r="AG401" s="96"/>
      <c r="AH401" s="96"/>
      <c r="AI401" s="96"/>
      <c r="AJ401" s="96"/>
      <c r="AK401" s="96"/>
      <c r="AL401" s="96"/>
      <c r="AM401" s="96"/>
      <c r="AN401" s="96"/>
    </row>
    <row r="402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  <c r="AC402" s="96"/>
      <c r="AD402" s="96"/>
      <c r="AE402" s="96"/>
      <c r="AF402" s="96"/>
      <c r="AG402" s="96"/>
      <c r="AH402" s="96"/>
      <c r="AI402" s="96"/>
      <c r="AJ402" s="96"/>
      <c r="AK402" s="96"/>
      <c r="AL402" s="96"/>
      <c r="AM402" s="96"/>
      <c r="AN402" s="96"/>
    </row>
    <row r="403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  <c r="AC403" s="96"/>
      <c r="AD403" s="96"/>
      <c r="AE403" s="96"/>
      <c r="AF403" s="96"/>
      <c r="AG403" s="96"/>
      <c r="AH403" s="96"/>
      <c r="AI403" s="96"/>
      <c r="AJ403" s="96"/>
      <c r="AK403" s="96"/>
      <c r="AL403" s="96"/>
      <c r="AM403" s="96"/>
      <c r="AN403" s="96"/>
    </row>
    <row r="404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  <c r="AC404" s="96"/>
      <c r="AD404" s="96"/>
      <c r="AE404" s="96"/>
      <c r="AF404" s="96"/>
      <c r="AG404" s="96"/>
      <c r="AH404" s="96"/>
      <c r="AI404" s="96"/>
      <c r="AJ404" s="96"/>
      <c r="AK404" s="96"/>
      <c r="AL404" s="96"/>
      <c r="AM404" s="96"/>
      <c r="AN404" s="96"/>
    </row>
    <row r="40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  <c r="AC405" s="96"/>
      <c r="AD405" s="96"/>
      <c r="AE405" s="96"/>
      <c r="AF405" s="96"/>
      <c r="AG405" s="96"/>
      <c r="AH405" s="96"/>
      <c r="AI405" s="96"/>
      <c r="AJ405" s="96"/>
      <c r="AK405" s="96"/>
      <c r="AL405" s="96"/>
      <c r="AM405" s="96"/>
      <c r="AN405" s="96"/>
    </row>
    <row r="406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  <c r="AC406" s="96"/>
      <c r="AD406" s="96"/>
      <c r="AE406" s="96"/>
      <c r="AF406" s="96"/>
      <c r="AG406" s="96"/>
      <c r="AH406" s="96"/>
      <c r="AI406" s="96"/>
      <c r="AJ406" s="96"/>
      <c r="AK406" s="96"/>
      <c r="AL406" s="96"/>
      <c r="AM406" s="96"/>
      <c r="AN406" s="96"/>
    </row>
    <row r="407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  <c r="AC407" s="96"/>
      <c r="AD407" s="96"/>
      <c r="AE407" s="96"/>
      <c r="AF407" s="96"/>
      <c r="AG407" s="96"/>
      <c r="AH407" s="96"/>
      <c r="AI407" s="96"/>
      <c r="AJ407" s="96"/>
      <c r="AK407" s="96"/>
      <c r="AL407" s="96"/>
      <c r="AM407" s="96"/>
      <c r="AN407" s="96"/>
    </row>
    <row r="408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  <c r="AC408" s="96"/>
      <c r="AD408" s="96"/>
      <c r="AE408" s="96"/>
      <c r="AF408" s="96"/>
      <c r="AG408" s="96"/>
      <c r="AH408" s="96"/>
      <c r="AI408" s="96"/>
      <c r="AJ408" s="96"/>
      <c r="AK408" s="96"/>
      <c r="AL408" s="96"/>
      <c r="AM408" s="96"/>
      <c r="AN408" s="96"/>
    </row>
    <row r="409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  <c r="AC409" s="96"/>
      <c r="AD409" s="96"/>
      <c r="AE409" s="96"/>
      <c r="AF409" s="96"/>
      <c r="AG409" s="96"/>
      <c r="AH409" s="96"/>
      <c r="AI409" s="96"/>
      <c r="AJ409" s="96"/>
      <c r="AK409" s="96"/>
      <c r="AL409" s="96"/>
      <c r="AM409" s="96"/>
      <c r="AN409" s="96"/>
    </row>
    <row r="410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  <c r="AC410" s="96"/>
      <c r="AD410" s="96"/>
      <c r="AE410" s="96"/>
      <c r="AF410" s="96"/>
      <c r="AG410" s="96"/>
      <c r="AH410" s="96"/>
      <c r="AI410" s="96"/>
      <c r="AJ410" s="96"/>
      <c r="AK410" s="96"/>
      <c r="AL410" s="96"/>
      <c r="AM410" s="96"/>
      <c r="AN410" s="96"/>
    </row>
    <row r="41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  <c r="AC411" s="96"/>
      <c r="AD411" s="96"/>
      <c r="AE411" s="96"/>
      <c r="AF411" s="96"/>
      <c r="AG411" s="96"/>
      <c r="AH411" s="96"/>
      <c r="AI411" s="96"/>
      <c r="AJ411" s="96"/>
      <c r="AK411" s="96"/>
      <c r="AL411" s="96"/>
      <c r="AM411" s="96"/>
      <c r="AN411" s="96"/>
    </row>
    <row r="412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  <c r="AC412" s="96"/>
      <c r="AD412" s="96"/>
      <c r="AE412" s="96"/>
      <c r="AF412" s="96"/>
      <c r="AG412" s="96"/>
      <c r="AH412" s="96"/>
      <c r="AI412" s="96"/>
      <c r="AJ412" s="96"/>
      <c r="AK412" s="96"/>
      <c r="AL412" s="96"/>
      <c r="AM412" s="96"/>
      <c r="AN412" s="96"/>
    </row>
    <row r="413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  <c r="AC413" s="96"/>
      <c r="AD413" s="96"/>
      <c r="AE413" s="96"/>
      <c r="AF413" s="96"/>
      <c r="AG413" s="96"/>
      <c r="AH413" s="96"/>
      <c r="AI413" s="96"/>
      <c r="AJ413" s="96"/>
      <c r="AK413" s="96"/>
      <c r="AL413" s="96"/>
      <c r="AM413" s="96"/>
      <c r="AN413" s="96"/>
    </row>
    <row r="414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  <c r="AC414" s="96"/>
      <c r="AD414" s="96"/>
      <c r="AE414" s="96"/>
      <c r="AF414" s="96"/>
      <c r="AG414" s="96"/>
      <c r="AH414" s="96"/>
      <c r="AI414" s="96"/>
      <c r="AJ414" s="96"/>
      <c r="AK414" s="96"/>
      <c r="AL414" s="96"/>
      <c r="AM414" s="96"/>
      <c r="AN414" s="96"/>
    </row>
    <row r="41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  <c r="AD415" s="96"/>
      <c r="AE415" s="96"/>
      <c r="AF415" s="96"/>
      <c r="AG415" s="96"/>
      <c r="AH415" s="96"/>
      <c r="AI415" s="96"/>
      <c r="AJ415" s="96"/>
      <c r="AK415" s="96"/>
      <c r="AL415" s="96"/>
      <c r="AM415" s="96"/>
      <c r="AN415" s="96"/>
    </row>
    <row r="416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  <c r="AD416" s="96"/>
      <c r="AE416" s="96"/>
      <c r="AF416" s="96"/>
      <c r="AG416" s="96"/>
      <c r="AH416" s="96"/>
      <c r="AI416" s="96"/>
      <c r="AJ416" s="96"/>
      <c r="AK416" s="96"/>
      <c r="AL416" s="96"/>
      <c r="AM416" s="96"/>
      <c r="AN416" s="96"/>
    </row>
    <row r="417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  <c r="AD417" s="96"/>
      <c r="AE417" s="96"/>
      <c r="AF417" s="96"/>
      <c r="AG417" s="96"/>
      <c r="AH417" s="96"/>
      <c r="AI417" s="96"/>
      <c r="AJ417" s="96"/>
      <c r="AK417" s="96"/>
      <c r="AL417" s="96"/>
      <c r="AM417" s="96"/>
      <c r="AN417" s="96"/>
    </row>
    <row r="418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  <c r="AD418" s="96"/>
      <c r="AE418" s="96"/>
      <c r="AF418" s="96"/>
      <c r="AG418" s="96"/>
      <c r="AH418" s="96"/>
      <c r="AI418" s="96"/>
      <c r="AJ418" s="96"/>
      <c r="AK418" s="96"/>
      <c r="AL418" s="96"/>
      <c r="AM418" s="96"/>
      <c r="AN418" s="96"/>
    </row>
    <row r="419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  <c r="AD419" s="96"/>
      <c r="AE419" s="96"/>
      <c r="AF419" s="96"/>
      <c r="AG419" s="96"/>
      <c r="AH419" s="96"/>
      <c r="AI419" s="96"/>
      <c r="AJ419" s="96"/>
      <c r="AK419" s="96"/>
      <c r="AL419" s="96"/>
      <c r="AM419" s="96"/>
      <c r="AN419" s="96"/>
    </row>
    <row r="420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  <c r="AD420" s="96"/>
      <c r="AE420" s="96"/>
      <c r="AF420" s="96"/>
      <c r="AG420" s="96"/>
      <c r="AH420" s="96"/>
      <c r="AI420" s="96"/>
      <c r="AJ420" s="96"/>
      <c r="AK420" s="96"/>
      <c r="AL420" s="96"/>
      <c r="AM420" s="96"/>
      <c r="AN420" s="96"/>
    </row>
    <row r="42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  <c r="AD421" s="96"/>
      <c r="AE421" s="96"/>
      <c r="AF421" s="96"/>
      <c r="AG421" s="96"/>
      <c r="AH421" s="96"/>
      <c r="AI421" s="96"/>
      <c r="AJ421" s="96"/>
      <c r="AK421" s="96"/>
      <c r="AL421" s="96"/>
      <c r="AM421" s="96"/>
      <c r="AN421" s="96"/>
    </row>
    <row r="422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  <c r="AD422" s="96"/>
      <c r="AE422" s="96"/>
      <c r="AF422" s="96"/>
      <c r="AG422" s="96"/>
      <c r="AH422" s="96"/>
      <c r="AI422" s="96"/>
      <c r="AJ422" s="96"/>
      <c r="AK422" s="96"/>
      <c r="AL422" s="96"/>
      <c r="AM422" s="96"/>
      <c r="AN422" s="96"/>
    </row>
    <row r="423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  <c r="AD423" s="96"/>
      <c r="AE423" s="96"/>
      <c r="AF423" s="96"/>
      <c r="AG423" s="96"/>
      <c r="AH423" s="96"/>
      <c r="AI423" s="96"/>
      <c r="AJ423" s="96"/>
      <c r="AK423" s="96"/>
      <c r="AL423" s="96"/>
      <c r="AM423" s="96"/>
      <c r="AN423" s="96"/>
    </row>
    <row r="424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  <c r="AE424" s="96"/>
      <c r="AF424" s="96"/>
      <c r="AG424" s="96"/>
      <c r="AH424" s="96"/>
      <c r="AI424" s="96"/>
      <c r="AJ424" s="96"/>
      <c r="AK424" s="96"/>
      <c r="AL424" s="96"/>
      <c r="AM424" s="96"/>
      <c r="AN424" s="96"/>
    </row>
    <row r="4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  <c r="AC425" s="96"/>
      <c r="AD425" s="96"/>
      <c r="AE425" s="96"/>
      <c r="AF425" s="96"/>
      <c r="AG425" s="96"/>
      <c r="AH425" s="96"/>
      <c r="AI425" s="96"/>
      <c r="AJ425" s="96"/>
      <c r="AK425" s="96"/>
      <c r="AL425" s="96"/>
      <c r="AM425" s="96"/>
      <c r="AN425" s="96"/>
    </row>
    <row r="426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  <c r="AC426" s="96"/>
      <c r="AD426" s="96"/>
      <c r="AE426" s="96"/>
      <c r="AF426" s="96"/>
      <c r="AG426" s="96"/>
      <c r="AH426" s="96"/>
      <c r="AI426" s="96"/>
      <c r="AJ426" s="96"/>
      <c r="AK426" s="96"/>
      <c r="AL426" s="96"/>
      <c r="AM426" s="96"/>
      <c r="AN426" s="96"/>
    </row>
    <row r="427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  <c r="AC427" s="96"/>
      <c r="AD427" s="96"/>
      <c r="AE427" s="96"/>
      <c r="AF427" s="96"/>
      <c r="AG427" s="96"/>
      <c r="AH427" s="96"/>
      <c r="AI427" s="96"/>
      <c r="AJ427" s="96"/>
      <c r="AK427" s="96"/>
      <c r="AL427" s="96"/>
      <c r="AM427" s="96"/>
      <c r="AN427" s="96"/>
    </row>
    <row r="428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  <c r="AD428" s="96"/>
      <c r="AE428" s="96"/>
      <c r="AF428" s="96"/>
      <c r="AG428" s="96"/>
      <c r="AH428" s="96"/>
      <c r="AI428" s="96"/>
      <c r="AJ428" s="96"/>
      <c r="AK428" s="96"/>
      <c r="AL428" s="96"/>
      <c r="AM428" s="96"/>
      <c r="AN428" s="96"/>
    </row>
    <row r="429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  <c r="AD429" s="96"/>
      <c r="AE429" s="96"/>
      <c r="AF429" s="96"/>
      <c r="AG429" s="96"/>
      <c r="AH429" s="96"/>
      <c r="AI429" s="96"/>
      <c r="AJ429" s="96"/>
      <c r="AK429" s="96"/>
      <c r="AL429" s="96"/>
      <c r="AM429" s="96"/>
      <c r="AN429" s="96"/>
    </row>
    <row r="430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  <c r="AD430" s="96"/>
      <c r="AE430" s="96"/>
      <c r="AF430" s="96"/>
      <c r="AG430" s="96"/>
      <c r="AH430" s="96"/>
      <c r="AI430" s="96"/>
      <c r="AJ430" s="96"/>
      <c r="AK430" s="96"/>
      <c r="AL430" s="96"/>
      <c r="AM430" s="96"/>
      <c r="AN430" s="96"/>
    </row>
    <row r="43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  <c r="AD431" s="96"/>
      <c r="AE431" s="96"/>
      <c r="AF431" s="96"/>
      <c r="AG431" s="96"/>
      <c r="AH431" s="96"/>
      <c r="AI431" s="96"/>
      <c r="AJ431" s="96"/>
      <c r="AK431" s="96"/>
      <c r="AL431" s="96"/>
      <c r="AM431" s="96"/>
      <c r="AN431" s="96"/>
    </row>
    <row r="432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  <c r="AC432" s="96"/>
      <c r="AD432" s="96"/>
      <c r="AE432" s="96"/>
      <c r="AF432" s="96"/>
      <c r="AG432" s="96"/>
      <c r="AH432" s="96"/>
      <c r="AI432" s="96"/>
      <c r="AJ432" s="96"/>
      <c r="AK432" s="96"/>
      <c r="AL432" s="96"/>
      <c r="AM432" s="96"/>
      <c r="AN432" s="96"/>
    </row>
    <row r="433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  <c r="AC433" s="96"/>
      <c r="AD433" s="96"/>
      <c r="AE433" s="96"/>
      <c r="AF433" s="96"/>
      <c r="AG433" s="96"/>
      <c r="AH433" s="96"/>
      <c r="AI433" s="96"/>
      <c r="AJ433" s="96"/>
      <c r="AK433" s="96"/>
      <c r="AL433" s="96"/>
      <c r="AM433" s="96"/>
      <c r="AN433" s="96"/>
    </row>
    <row r="434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  <c r="AC434" s="96"/>
      <c r="AD434" s="96"/>
      <c r="AE434" s="96"/>
      <c r="AF434" s="96"/>
      <c r="AG434" s="96"/>
      <c r="AH434" s="96"/>
      <c r="AI434" s="96"/>
      <c r="AJ434" s="96"/>
      <c r="AK434" s="96"/>
      <c r="AL434" s="96"/>
      <c r="AM434" s="96"/>
      <c r="AN434" s="96"/>
    </row>
    <row r="43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  <c r="AC435" s="96"/>
      <c r="AD435" s="96"/>
      <c r="AE435" s="96"/>
      <c r="AF435" s="96"/>
      <c r="AG435" s="96"/>
      <c r="AH435" s="96"/>
      <c r="AI435" s="96"/>
      <c r="AJ435" s="96"/>
      <c r="AK435" s="96"/>
      <c r="AL435" s="96"/>
      <c r="AM435" s="96"/>
      <c r="AN435" s="96"/>
    </row>
    <row r="436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  <c r="AC436" s="96"/>
      <c r="AD436" s="96"/>
      <c r="AE436" s="96"/>
      <c r="AF436" s="96"/>
      <c r="AG436" s="96"/>
      <c r="AH436" s="96"/>
      <c r="AI436" s="96"/>
      <c r="AJ436" s="96"/>
      <c r="AK436" s="96"/>
      <c r="AL436" s="96"/>
      <c r="AM436" s="96"/>
      <c r="AN436" s="96"/>
    </row>
    <row r="437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  <c r="AC437" s="96"/>
      <c r="AD437" s="96"/>
      <c r="AE437" s="96"/>
      <c r="AF437" s="96"/>
      <c r="AG437" s="96"/>
      <c r="AH437" s="96"/>
      <c r="AI437" s="96"/>
      <c r="AJ437" s="96"/>
      <c r="AK437" s="96"/>
      <c r="AL437" s="96"/>
      <c r="AM437" s="96"/>
      <c r="AN437" s="96"/>
    </row>
    <row r="438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  <c r="AC438" s="96"/>
      <c r="AD438" s="96"/>
      <c r="AE438" s="96"/>
      <c r="AF438" s="96"/>
      <c r="AG438" s="96"/>
      <c r="AH438" s="96"/>
      <c r="AI438" s="96"/>
      <c r="AJ438" s="96"/>
      <c r="AK438" s="96"/>
      <c r="AL438" s="96"/>
      <c r="AM438" s="96"/>
      <c r="AN438" s="96"/>
    </row>
    <row r="439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  <c r="AC439" s="96"/>
      <c r="AD439" s="96"/>
      <c r="AE439" s="96"/>
      <c r="AF439" s="96"/>
      <c r="AG439" s="96"/>
      <c r="AH439" s="96"/>
      <c r="AI439" s="96"/>
      <c r="AJ439" s="96"/>
      <c r="AK439" s="96"/>
      <c r="AL439" s="96"/>
      <c r="AM439" s="96"/>
      <c r="AN439" s="96"/>
    </row>
    <row r="440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  <c r="AC440" s="96"/>
      <c r="AD440" s="96"/>
      <c r="AE440" s="96"/>
      <c r="AF440" s="96"/>
      <c r="AG440" s="96"/>
      <c r="AH440" s="96"/>
      <c r="AI440" s="96"/>
      <c r="AJ440" s="96"/>
      <c r="AK440" s="96"/>
      <c r="AL440" s="96"/>
      <c r="AM440" s="96"/>
      <c r="AN440" s="96"/>
    </row>
    <row r="44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  <c r="AC441" s="96"/>
      <c r="AD441" s="96"/>
      <c r="AE441" s="96"/>
      <c r="AF441" s="96"/>
      <c r="AG441" s="96"/>
      <c r="AH441" s="96"/>
      <c r="AI441" s="96"/>
      <c r="AJ441" s="96"/>
      <c r="AK441" s="96"/>
      <c r="AL441" s="96"/>
      <c r="AM441" s="96"/>
      <c r="AN441" s="96"/>
    </row>
    <row r="442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  <c r="AC442" s="96"/>
      <c r="AD442" s="96"/>
      <c r="AE442" s="96"/>
      <c r="AF442" s="96"/>
      <c r="AG442" s="96"/>
      <c r="AH442" s="96"/>
      <c r="AI442" s="96"/>
      <c r="AJ442" s="96"/>
      <c r="AK442" s="96"/>
      <c r="AL442" s="96"/>
      <c r="AM442" s="96"/>
      <c r="AN442" s="96"/>
    </row>
    <row r="443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  <c r="AC443" s="96"/>
      <c r="AD443" s="96"/>
      <c r="AE443" s="96"/>
      <c r="AF443" s="96"/>
      <c r="AG443" s="96"/>
      <c r="AH443" s="96"/>
      <c r="AI443" s="96"/>
      <c r="AJ443" s="96"/>
      <c r="AK443" s="96"/>
      <c r="AL443" s="96"/>
      <c r="AM443" s="96"/>
      <c r="AN443" s="96"/>
    </row>
    <row r="444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  <c r="AC444" s="96"/>
      <c r="AD444" s="96"/>
      <c r="AE444" s="96"/>
      <c r="AF444" s="96"/>
      <c r="AG444" s="96"/>
      <c r="AH444" s="96"/>
      <c r="AI444" s="96"/>
      <c r="AJ444" s="96"/>
      <c r="AK444" s="96"/>
      <c r="AL444" s="96"/>
      <c r="AM444" s="96"/>
      <c r="AN444" s="96"/>
    </row>
    <row r="44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  <c r="AC445" s="96"/>
      <c r="AD445" s="96"/>
      <c r="AE445" s="96"/>
      <c r="AF445" s="96"/>
      <c r="AG445" s="96"/>
      <c r="AH445" s="96"/>
      <c r="AI445" s="96"/>
      <c r="AJ445" s="96"/>
      <c r="AK445" s="96"/>
      <c r="AL445" s="96"/>
      <c r="AM445" s="96"/>
      <c r="AN445" s="96"/>
    </row>
    <row r="446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  <c r="AC446" s="96"/>
      <c r="AD446" s="96"/>
      <c r="AE446" s="96"/>
      <c r="AF446" s="96"/>
      <c r="AG446" s="96"/>
      <c r="AH446" s="96"/>
      <c r="AI446" s="96"/>
      <c r="AJ446" s="96"/>
      <c r="AK446" s="96"/>
      <c r="AL446" s="96"/>
      <c r="AM446" s="96"/>
      <c r="AN446" s="96"/>
    </row>
    <row r="447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  <c r="AC447" s="96"/>
      <c r="AD447" s="96"/>
      <c r="AE447" s="96"/>
      <c r="AF447" s="96"/>
      <c r="AG447" s="96"/>
      <c r="AH447" s="96"/>
      <c r="AI447" s="96"/>
      <c r="AJ447" s="96"/>
      <c r="AK447" s="96"/>
      <c r="AL447" s="96"/>
      <c r="AM447" s="96"/>
      <c r="AN447" s="96"/>
    </row>
    <row r="448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  <c r="AC448" s="96"/>
      <c r="AD448" s="96"/>
      <c r="AE448" s="96"/>
      <c r="AF448" s="96"/>
      <c r="AG448" s="96"/>
      <c r="AH448" s="96"/>
      <c r="AI448" s="96"/>
      <c r="AJ448" s="96"/>
      <c r="AK448" s="96"/>
      <c r="AL448" s="96"/>
      <c r="AM448" s="96"/>
      <c r="AN448" s="96"/>
    </row>
    <row r="449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  <c r="AC449" s="96"/>
      <c r="AD449" s="96"/>
      <c r="AE449" s="96"/>
      <c r="AF449" s="96"/>
      <c r="AG449" s="96"/>
      <c r="AH449" s="96"/>
      <c r="AI449" s="96"/>
      <c r="AJ449" s="96"/>
      <c r="AK449" s="96"/>
      <c r="AL449" s="96"/>
      <c r="AM449" s="96"/>
      <c r="AN449" s="96"/>
    </row>
    <row r="450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  <c r="AC450" s="96"/>
      <c r="AD450" s="96"/>
      <c r="AE450" s="96"/>
      <c r="AF450" s="96"/>
      <c r="AG450" s="96"/>
      <c r="AH450" s="96"/>
      <c r="AI450" s="96"/>
      <c r="AJ450" s="96"/>
      <c r="AK450" s="96"/>
      <c r="AL450" s="96"/>
      <c r="AM450" s="96"/>
      <c r="AN450" s="96"/>
    </row>
    <row r="45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  <c r="AC451" s="96"/>
      <c r="AD451" s="96"/>
      <c r="AE451" s="96"/>
      <c r="AF451" s="96"/>
      <c r="AG451" s="96"/>
      <c r="AH451" s="96"/>
      <c r="AI451" s="96"/>
      <c r="AJ451" s="96"/>
      <c r="AK451" s="96"/>
      <c r="AL451" s="96"/>
      <c r="AM451" s="96"/>
      <c r="AN451" s="96"/>
    </row>
    <row r="452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  <c r="AC452" s="96"/>
      <c r="AD452" s="96"/>
      <c r="AE452" s="96"/>
      <c r="AF452" s="96"/>
      <c r="AG452" s="96"/>
      <c r="AH452" s="96"/>
      <c r="AI452" s="96"/>
      <c r="AJ452" s="96"/>
      <c r="AK452" s="96"/>
      <c r="AL452" s="96"/>
      <c r="AM452" s="96"/>
      <c r="AN452" s="96"/>
    </row>
    <row r="453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  <c r="AD453" s="96"/>
      <c r="AE453" s="96"/>
      <c r="AF453" s="96"/>
      <c r="AG453" s="96"/>
      <c r="AH453" s="96"/>
      <c r="AI453" s="96"/>
      <c r="AJ453" s="96"/>
      <c r="AK453" s="96"/>
      <c r="AL453" s="96"/>
      <c r="AM453" s="96"/>
      <c r="AN453" s="96"/>
    </row>
    <row r="454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  <c r="AC454" s="96"/>
      <c r="AD454" s="96"/>
      <c r="AE454" s="96"/>
      <c r="AF454" s="96"/>
      <c r="AG454" s="96"/>
      <c r="AH454" s="96"/>
      <c r="AI454" s="96"/>
      <c r="AJ454" s="96"/>
      <c r="AK454" s="96"/>
      <c r="AL454" s="96"/>
      <c r="AM454" s="96"/>
      <c r="AN454" s="96"/>
    </row>
    <row r="45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  <c r="AC455" s="96"/>
      <c r="AD455" s="96"/>
      <c r="AE455" s="96"/>
      <c r="AF455" s="96"/>
      <c r="AG455" s="96"/>
      <c r="AH455" s="96"/>
      <c r="AI455" s="96"/>
      <c r="AJ455" s="96"/>
      <c r="AK455" s="96"/>
      <c r="AL455" s="96"/>
      <c r="AM455" s="96"/>
      <c r="AN455" s="96"/>
    </row>
    <row r="456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  <c r="AC456" s="96"/>
      <c r="AD456" s="96"/>
      <c r="AE456" s="96"/>
      <c r="AF456" s="96"/>
      <c r="AG456" s="96"/>
      <c r="AH456" s="96"/>
      <c r="AI456" s="96"/>
      <c r="AJ456" s="96"/>
      <c r="AK456" s="96"/>
      <c r="AL456" s="96"/>
      <c r="AM456" s="96"/>
      <c r="AN456" s="96"/>
    </row>
    <row r="457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  <c r="AC457" s="96"/>
      <c r="AD457" s="96"/>
      <c r="AE457" s="96"/>
      <c r="AF457" s="96"/>
      <c r="AG457" s="96"/>
      <c r="AH457" s="96"/>
      <c r="AI457" s="96"/>
      <c r="AJ457" s="96"/>
      <c r="AK457" s="96"/>
      <c r="AL457" s="96"/>
      <c r="AM457" s="96"/>
      <c r="AN457" s="96"/>
    </row>
    <row r="458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  <c r="AC458" s="96"/>
      <c r="AD458" s="96"/>
      <c r="AE458" s="96"/>
      <c r="AF458" s="96"/>
      <c r="AG458" s="96"/>
      <c r="AH458" s="96"/>
      <c r="AI458" s="96"/>
      <c r="AJ458" s="96"/>
      <c r="AK458" s="96"/>
      <c r="AL458" s="96"/>
      <c r="AM458" s="96"/>
      <c r="AN458" s="96"/>
    </row>
    <row r="459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  <c r="AC459" s="96"/>
      <c r="AD459" s="96"/>
      <c r="AE459" s="96"/>
      <c r="AF459" s="96"/>
      <c r="AG459" s="96"/>
      <c r="AH459" s="96"/>
      <c r="AI459" s="96"/>
      <c r="AJ459" s="96"/>
      <c r="AK459" s="96"/>
      <c r="AL459" s="96"/>
      <c r="AM459" s="96"/>
      <c r="AN459" s="96"/>
    </row>
    <row r="460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  <c r="AC460" s="96"/>
      <c r="AD460" s="96"/>
      <c r="AE460" s="96"/>
      <c r="AF460" s="96"/>
      <c r="AG460" s="96"/>
      <c r="AH460" s="96"/>
      <c r="AI460" s="96"/>
      <c r="AJ460" s="96"/>
      <c r="AK460" s="96"/>
      <c r="AL460" s="96"/>
      <c r="AM460" s="96"/>
      <c r="AN460" s="96"/>
    </row>
    <row r="46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  <c r="AC461" s="96"/>
      <c r="AD461" s="96"/>
      <c r="AE461" s="96"/>
      <c r="AF461" s="96"/>
      <c r="AG461" s="96"/>
      <c r="AH461" s="96"/>
      <c r="AI461" s="96"/>
      <c r="AJ461" s="96"/>
      <c r="AK461" s="96"/>
      <c r="AL461" s="96"/>
      <c r="AM461" s="96"/>
      <c r="AN461" s="96"/>
    </row>
    <row r="462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  <c r="AC462" s="96"/>
      <c r="AD462" s="96"/>
      <c r="AE462" s="96"/>
      <c r="AF462" s="96"/>
      <c r="AG462" s="96"/>
      <c r="AH462" s="96"/>
      <c r="AI462" s="96"/>
      <c r="AJ462" s="96"/>
      <c r="AK462" s="96"/>
      <c r="AL462" s="96"/>
      <c r="AM462" s="96"/>
      <c r="AN462" s="96"/>
    </row>
    <row r="463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  <c r="AC463" s="96"/>
      <c r="AD463" s="96"/>
      <c r="AE463" s="96"/>
      <c r="AF463" s="96"/>
      <c r="AG463" s="96"/>
      <c r="AH463" s="96"/>
      <c r="AI463" s="96"/>
      <c r="AJ463" s="96"/>
      <c r="AK463" s="96"/>
      <c r="AL463" s="96"/>
      <c r="AM463" s="96"/>
      <c r="AN463" s="96"/>
    </row>
    <row r="464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  <c r="AC464" s="96"/>
      <c r="AD464" s="96"/>
      <c r="AE464" s="96"/>
      <c r="AF464" s="96"/>
      <c r="AG464" s="96"/>
      <c r="AH464" s="96"/>
      <c r="AI464" s="96"/>
      <c r="AJ464" s="96"/>
      <c r="AK464" s="96"/>
      <c r="AL464" s="96"/>
      <c r="AM464" s="96"/>
      <c r="AN464" s="96"/>
    </row>
    <row r="46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  <c r="AD465" s="96"/>
      <c r="AE465" s="96"/>
      <c r="AF465" s="96"/>
      <c r="AG465" s="96"/>
      <c r="AH465" s="96"/>
      <c r="AI465" s="96"/>
      <c r="AJ465" s="96"/>
      <c r="AK465" s="96"/>
      <c r="AL465" s="96"/>
      <c r="AM465" s="96"/>
      <c r="AN465" s="96"/>
    </row>
    <row r="466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  <c r="AC466" s="96"/>
      <c r="AD466" s="96"/>
      <c r="AE466" s="96"/>
      <c r="AF466" s="96"/>
      <c r="AG466" s="96"/>
      <c r="AH466" s="96"/>
      <c r="AI466" s="96"/>
      <c r="AJ466" s="96"/>
      <c r="AK466" s="96"/>
      <c r="AL466" s="96"/>
      <c r="AM466" s="96"/>
      <c r="AN466" s="96"/>
    </row>
    <row r="467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  <c r="AC467" s="96"/>
      <c r="AD467" s="96"/>
      <c r="AE467" s="96"/>
      <c r="AF467" s="96"/>
      <c r="AG467" s="96"/>
      <c r="AH467" s="96"/>
      <c r="AI467" s="96"/>
      <c r="AJ467" s="96"/>
      <c r="AK467" s="96"/>
      <c r="AL467" s="96"/>
      <c r="AM467" s="96"/>
      <c r="AN467" s="96"/>
    </row>
    <row r="468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  <c r="AC468" s="96"/>
      <c r="AD468" s="96"/>
      <c r="AE468" s="96"/>
      <c r="AF468" s="96"/>
      <c r="AG468" s="96"/>
      <c r="AH468" s="96"/>
      <c r="AI468" s="96"/>
      <c r="AJ468" s="96"/>
      <c r="AK468" s="96"/>
      <c r="AL468" s="96"/>
      <c r="AM468" s="96"/>
      <c r="AN468" s="96"/>
    </row>
    <row r="469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  <c r="AC469" s="96"/>
      <c r="AD469" s="96"/>
      <c r="AE469" s="96"/>
      <c r="AF469" s="96"/>
      <c r="AG469" s="96"/>
      <c r="AH469" s="96"/>
      <c r="AI469" s="96"/>
      <c r="AJ469" s="96"/>
      <c r="AK469" s="96"/>
      <c r="AL469" s="96"/>
      <c r="AM469" s="96"/>
      <c r="AN469" s="96"/>
    </row>
    <row r="470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  <c r="AC470" s="96"/>
      <c r="AD470" s="96"/>
      <c r="AE470" s="96"/>
      <c r="AF470" s="96"/>
      <c r="AG470" s="96"/>
      <c r="AH470" s="96"/>
      <c r="AI470" s="96"/>
      <c r="AJ470" s="96"/>
      <c r="AK470" s="96"/>
      <c r="AL470" s="96"/>
      <c r="AM470" s="96"/>
      <c r="AN470" s="96"/>
    </row>
    <row r="47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  <c r="AC471" s="96"/>
      <c r="AD471" s="96"/>
      <c r="AE471" s="96"/>
      <c r="AF471" s="96"/>
      <c r="AG471" s="96"/>
      <c r="AH471" s="96"/>
      <c r="AI471" s="96"/>
      <c r="AJ471" s="96"/>
      <c r="AK471" s="96"/>
      <c r="AL471" s="96"/>
      <c r="AM471" s="96"/>
      <c r="AN471" s="96"/>
    </row>
    <row r="472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  <c r="AC472" s="96"/>
      <c r="AD472" s="96"/>
      <c r="AE472" s="96"/>
      <c r="AF472" s="96"/>
      <c r="AG472" s="96"/>
      <c r="AH472" s="96"/>
      <c r="AI472" s="96"/>
      <c r="AJ472" s="96"/>
      <c r="AK472" s="96"/>
      <c r="AL472" s="96"/>
      <c r="AM472" s="96"/>
      <c r="AN472" s="96"/>
    </row>
    <row r="473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  <c r="AC473" s="96"/>
      <c r="AD473" s="96"/>
      <c r="AE473" s="96"/>
      <c r="AF473" s="96"/>
      <c r="AG473" s="96"/>
      <c r="AH473" s="96"/>
      <c r="AI473" s="96"/>
      <c r="AJ473" s="96"/>
      <c r="AK473" s="96"/>
      <c r="AL473" s="96"/>
      <c r="AM473" s="96"/>
      <c r="AN473" s="96"/>
    </row>
    <row r="474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  <c r="AD474" s="96"/>
      <c r="AE474" s="96"/>
      <c r="AF474" s="96"/>
      <c r="AG474" s="96"/>
      <c r="AH474" s="96"/>
      <c r="AI474" s="96"/>
      <c r="AJ474" s="96"/>
      <c r="AK474" s="96"/>
      <c r="AL474" s="96"/>
      <c r="AM474" s="96"/>
      <c r="AN474" s="96"/>
    </row>
    <row r="47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  <c r="AD475" s="96"/>
      <c r="AE475" s="96"/>
      <c r="AF475" s="96"/>
      <c r="AG475" s="96"/>
      <c r="AH475" s="96"/>
      <c r="AI475" s="96"/>
      <c r="AJ475" s="96"/>
      <c r="AK475" s="96"/>
      <c r="AL475" s="96"/>
      <c r="AM475" s="96"/>
      <c r="AN475" s="96"/>
    </row>
    <row r="476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  <c r="AC476" s="96"/>
      <c r="AD476" s="96"/>
      <c r="AE476" s="96"/>
      <c r="AF476" s="96"/>
      <c r="AG476" s="96"/>
      <c r="AH476" s="96"/>
      <c r="AI476" s="96"/>
      <c r="AJ476" s="96"/>
      <c r="AK476" s="96"/>
      <c r="AL476" s="96"/>
      <c r="AM476" s="96"/>
      <c r="AN476" s="96"/>
    </row>
    <row r="477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  <c r="AC477" s="96"/>
      <c r="AD477" s="96"/>
      <c r="AE477" s="96"/>
      <c r="AF477" s="96"/>
      <c r="AG477" s="96"/>
      <c r="AH477" s="96"/>
      <c r="AI477" s="96"/>
      <c r="AJ477" s="96"/>
      <c r="AK477" s="96"/>
      <c r="AL477" s="96"/>
      <c r="AM477" s="96"/>
      <c r="AN477" s="96"/>
    </row>
    <row r="478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  <c r="AC478" s="96"/>
      <c r="AD478" s="96"/>
      <c r="AE478" s="96"/>
      <c r="AF478" s="96"/>
      <c r="AG478" s="96"/>
      <c r="AH478" s="96"/>
      <c r="AI478" s="96"/>
      <c r="AJ478" s="96"/>
      <c r="AK478" s="96"/>
      <c r="AL478" s="96"/>
      <c r="AM478" s="96"/>
      <c r="AN478" s="96"/>
    </row>
    <row r="479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  <c r="AC479" s="96"/>
      <c r="AD479" s="96"/>
      <c r="AE479" s="96"/>
      <c r="AF479" s="96"/>
      <c r="AG479" s="96"/>
      <c r="AH479" s="96"/>
      <c r="AI479" s="96"/>
      <c r="AJ479" s="96"/>
      <c r="AK479" s="96"/>
      <c r="AL479" s="96"/>
      <c r="AM479" s="96"/>
      <c r="AN479" s="96"/>
    </row>
    <row r="480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  <c r="AC480" s="96"/>
      <c r="AD480" s="96"/>
      <c r="AE480" s="96"/>
      <c r="AF480" s="96"/>
      <c r="AG480" s="96"/>
      <c r="AH480" s="96"/>
      <c r="AI480" s="96"/>
      <c r="AJ480" s="96"/>
      <c r="AK480" s="96"/>
      <c r="AL480" s="96"/>
      <c r="AM480" s="96"/>
      <c r="AN480" s="96"/>
    </row>
    <row r="48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  <c r="AC481" s="96"/>
      <c r="AD481" s="96"/>
      <c r="AE481" s="96"/>
      <c r="AF481" s="96"/>
      <c r="AG481" s="96"/>
      <c r="AH481" s="96"/>
      <c r="AI481" s="96"/>
      <c r="AJ481" s="96"/>
      <c r="AK481" s="96"/>
      <c r="AL481" s="96"/>
      <c r="AM481" s="96"/>
      <c r="AN481" s="96"/>
    </row>
    <row r="482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  <c r="AD482" s="96"/>
      <c r="AE482" s="96"/>
      <c r="AF482" s="96"/>
      <c r="AG482" s="96"/>
      <c r="AH482" s="96"/>
      <c r="AI482" s="96"/>
      <c r="AJ482" s="96"/>
      <c r="AK482" s="96"/>
      <c r="AL482" s="96"/>
      <c r="AM482" s="96"/>
      <c r="AN482" s="96"/>
    </row>
    <row r="483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  <c r="AD483" s="96"/>
      <c r="AE483" s="96"/>
      <c r="AF483" s="96"/>
      <c r="AG483" s="96"/>
      <c r="AH483" s="96"/>
      <c r="AI483" s="96"/>
      <c r="AJ483" s="96"/>
      <c r="AK483" s="96"/>
      <c r="AL483" s="96"/>
      <c r="AM483" s="96"/>
      <c r="AN483" s="96"/>
    </row>
    <row r="484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  <c r="AD484" s="96"/>
      <c r="AE484" s="96"/>
      <c r="AF484" s="96"/>
      <c r="AG484" s="96"/>
      <c r="AH484" s="96"/>
      <c r="AI484" s="96"/>
      <c r="AJ484" s="96"/>
      <c r="AK484" s="96"/>
      <c r="AL484" s="96"/>
      <c r="AM484" s="96"/>
      <c r="AN484" s="96"/>
    </row>
    <row r="48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  <c r="AC485" s="96"/>
      <c r="AD485" s="96"/>
      <c r="AE485" s="96"/>
      <c r="AF485" s="96"/>
      <c r="AG485" s="96"/>
      <c r="AH485" s="96"/>
      <c r="AI485" s="96"/>
      <c r="AJ485" s="96"/>
      <c r="AK485" s="96"/>
      <c r="AL485" s="96"/>
      <c r="AM485" s="96"/>
      <c r="AN485" s="96"/>
    </row>
    <row r="486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  <c r="AD486" s="96"/>
      <c r="AE486" s="96"/>
      <c r="AF486" s="96"/>
      <c r="AG486" s="96"/>
      <c r="AH486" s="96"/>
      <c r="AI486" s="96"/>
      <c r="AJ486" s="96"/>
      <c r="AK486" s="96"/>
      <c r="AL486" s="96"/>
      <c r="AM486" s="96"/>
      <c r="AN486" s="96"/>
    </row>
    <row r="487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  <c r="AD487" s="96"/>
      <c r="AE487" s="96"/>
      <c r="AF487" s="96"/>
      <c r="AG487" s="96"/>
      <c r="AH487" s="96"/>
      <c r="AI487" s="96"/>
      <c r="AJ487" s="96"/>
      <c r="AK487" s="96"/>
      <c r="AL487" s="96"/>
      <c r="AM487" s="96"/>
      <c r="AN487" s="96"/>
    </row>
    <row r="488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  <c r="AC488" s="96"/>
      <c r="AD488" s="96"/>
      <c r="AE488" s="96"/>
      <c r="AF488" s="96"/>
      <c r="AG488" s="96"/>
      <c r="AH488" s="96"/>
      <c r="AI488" s="96"/>
      <c r="AJ488" s="96"/>
      <c r="AK488" s="96"/>
      <c r="AL488" s="96"/>
      <c r="AM488" s="96"/>
      <c r="AN488" s="96"/>
    </row>
    <row r="489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  <c r="AC489" s="96"/>
      <c r="AD489" s="96"/>
      <c r="AE489" s="96"/>
      <c r="AF489" s="96"/>
      <c r="AG489" s="96"/>
      <c r="AH489" s="96"/>
      <c r="AI489" s="96"/>
      <c r="AJ489" s="96"/>
      <c r="AK489" s="96"/>
      <c r="AL489" s="96"/>
      <c r="AM489" s="96"/>
      <c r="AN489" s="96"/>
    </row>
    <row r="490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  <c r="AC490" s="96"/>
      <c r="AD490" s="96"/>
      <c r="AE490" s="96"/>
      <c r="AF490" s="96"/>
      <c r="AG490" s="96"/>
      <c r="AH490" s="96"/>
      <c r="AI490" s="96"/>
      <c r="AJ490" s="96"/>
      <c r="AK490" s="96"/>
      <c r="AL490" s="96"/>
      <c r="AM490" s="96"/>
      <c r="AN490" s="96"/>
    </row>
    <row r="49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  <c r="AC491" s="96"/>
      <c r="AD491" s="96"/>
      <c r="AE491" s="96"/>
      <c r="AF491" s="96"/>
      <c r="AG491" s="96"/>
      <c r="AH491" s="96"/>
      <c r="AI491" s="96"/>
      <c r="AJ491" s="96"/>
      <c r="AK491" s="96"/>
      <c r="AL491" s="96"/>
      <c r="AM491" s="96"/>
      <c r="AN491" s="96"/>
    </row>
    <row r="492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  <c r="AC492" s="96"/>
      <c r="AD492" s="96"/>
      <c r="AE492" s="96"/>
      <c r="AF492" s="96"/>
      <c r="AG492" s="96"/>
      <c r="AH492" s="96"/>
      <c r="AI492" s="96"/>
      <c r="AJ492" s="96"/>
      <c r="AK492" s="96"/>
      <c r="AL492" s="96"/>
      <c r="AM492" s="96"/>
      <c r="AN492" s="96"/>
    </row>
    <row r="493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  <c r="AC493" s="96"/>
      <c r="AD493" s="96"/>
      <c r="AE493" s="96"/>
      <c r="AF493" s="96"/>
      <c r="AG493" s="96"/>
      <c r="AH493" s="96"/>
      <c r="AI493" s="96"/>
      <c r="AJ493" s="96"/>
      <c r="AK493" s="96"/>
      <c r="AL493" s="96"/>
      <c r="AM493" s="96"/>
      <c r="AN493" s="96"/>
    </row>
    <row r="494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  <c r="AD494" s="96"/>
      <c r="AE494" s="96"/>
      <c r="AF494" s="96"/>
      <c r="AG494" s="96"/>
      <c r="AH494" s="96"/>
      <c r="AI494" s="96"/>
      <c r="AJ494" s="96"/>
      <c r="AK494" s="96"/>
      <c r="AL494" s="96"/>
      <c r="AM494" s="96"/>
      <c r="AN494" s="96"/>
    </row>
    <row r="49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  <c r="AD495" s="96"/>
      <c r="AE495" s="96"/>
      <c r="AF495" s="96"/>
      <c r="AG495" s="96"/>
      <c r="AH495" s="96"/>
      <c r="AI495" s="96"/>
      <c r="AJ495" s="96"/>
      <c r="AK495" s="96"/>
      <c r="AL495" s="96"/>
      <c r="AM495" s="96"/>
      <c r="AN495" s="96"/>
    </row>
    <row r="496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  <c r="AD496" s="96"/>
      <c r="AE496" s="96"/>
      <c r="AF496" s="96"/>
      <c r="AG496" s="96"/>
      <c r="AH496" s="96"/>
      <c r="AI496" s="96"/>
      <c r="AJ496" s="96"/>
      <c r="AK496" s="96"/>
      <c r="AL496" s="96"/>
      <c r="AM496" s="96"/>
      <c r="AN496" s="96"/>
    </row>
    <row r="497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  <c r="AC497" s="96"/>
      <c r="AD497" s="96"/>
      <c r="AE497" s="96"/>
      <c r="AF497" s="96"/>
      <c r="AG497" s="96"/>
      <c r="AH497" s="96"/>
      <c r="AI497" s="96"/>
      <c r="AJ497" s="96"/>
      <c r="AK497" s="96"/>
      <c r="AL497" s="96"/>
      <c r="AM497" s="96"/>
      <c r="AN497" s="96"/>
    </row>
    <row r="498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  <c r="AC498" s="96"/>
      <c r="AD498" s="96"/>
      <c r="AE498" s="96"/>
      <c r="AF498" s="96"/>
      <c r="AG498" s="96"/>
      <c r="AH498" s="96"/>
      <c r="AI498" s="96"/>
      <c r="AJ498" s="96"/>
      <c r="AK498" s="96"/>
      <c r="AL498" s="96"/>
      <c r="AM498" s="96"/>
      <c r="AN498" s="96"/>
    </row>
    <row r="499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  <c r="AC499" s="96"/>
      <c r="AD499" s="96"/>
      <c r="AE499" s="96"/>
      <c r="AF499" s="96"/>
      <c r="AG499" s="96"/>
      <c r="AH499" s="96"/>
      <c r="AI499" s="96"/>
      <c r="AJ499" s="96"/>
      <c r="AK499" s="96"/>
      <c r="AL499" s="96"/>
      <c r="AM499" s="96"/>
      <c r="AN499" s="96"/>
    </row>
    <row r="500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  <c r="AC500" s="96"/>
      <c r="AD500" s="96"/>
      <c r="AE500" s="96"/>
      <c r="AF500" s="96"/>
      <c r="AG500" s="96"/>
      <c r="AH500" s="96"/>
      <c r="AI500" s="96"/>
      <c r="AJ500" s="96"/>
      <c r="AK500" s="96"/>
      <c r="AL500" s="96"/>
      <c r="AM500" s="96"/>
      <c r="AN500" s="96"/>
    </row>
    <row r="50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  <c r="AC501" s="96"/>
      <c r="AD501" s="96"/>
      <c r="AE501" s="96"/>
      <c r="AF501" s="96"/>
      <c r="AG501" s="96"/>
      <c r="AH501" s="96"/>
      <c r="AI501" s="96"/>
      <c r="AJ501" s="96"/>
      <c r="AK501" s="96"/>
      <c r="AL501" s="96"/>
      <c r="AM501" s="96"/>
      <c r="AN501" s="96"/>
    </row>
    <row r="502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  <c r="AE502" s="96"/>
      <c r="AF502" s="96"/>
      <c r="AG502" s="96"/>
      <c r="AH502" s="96"/>
      <c r="AI502" s="96"/>
      <c r="AJ502" s="96"/>
      <c r="AK502" s="96"/>
      <c r="AL502" s="96"/>
      <c r="AM502" s="96"/>
      <c r="AN502" s="96"/>
    </row>
    <row r="503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  <c r="AC503" s="96"/>
      <c r="AD503" s="96"/>
      <c r="AE503" s="96"/>
      <c r="AF503" s="96"/>
      <c r="AG503" s="96"/>
      <c r="AH503" s="96"/>
      <c r="AI503" s="96"/>
      <c r="AJ503" s="96"/>
      <c r="AK503" s="96"/>
      <c r="AL503" s="96"/>
      <c r="AM503" s="96"/>
      <c r="AN503" s="96"/>
    </row>
    <row r="504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  <c r="AD504" s="96"/>
      <c r="AE504" s="96"/>
      <c r="AF504" s="96"/>
      <c r="AG504" s="96"/>
      <c r="AH504" s="96"/>
      <c r="AI504" s="96"/>
      <c r="AJ504" s="96"/>
      <c r="AK504" s="96"/>
      <c r="AL504" s="96"/>
      <c r="AM504" s="96"/>
      <c r="AN504" s="96"/>
    </row>
    <row r="50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  <c r="AD505" s="96"/>
      <c r="AE505" s="96"/>
      <c r="AF505" s="96"/>
      <c r="AG505" s="96"/>
      <c r="AH505" s="96"/>
      <c r="AI505" s="96"/>
      <c r="AJ505" s="96"/>
      <c r="AK505" s="96"/>
      <c r="AL505" s="96"/>
      <c r="AM505" s="96"/>
      <c r="AN505" s="96"/>
    </row>
    <row r="506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  <c r="AD506" s="96"/>
      <c r="AE506" s="96"/>
      <c r="AF506" s="96"/>
      <c r="AG506" s="96"/>
      <c r="AH506" s="96"/>
      <c r="AI506" s="96"/>
      <c r="AJ506" s="96"/>
      <c r="AK506" s="96"/>
      <c r="AL506" s="96"/>
      <c r="AM506" s="96"/>
      <c r="AN506" s="96"/>
    </row>
    <row r="507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  <c r="AD507" s="96"/>
      <c r="AE507" s="96"/>
      <c r="AF507" s="96"/>
      <c r="AG507" s="96"/>
      <c r="AH507" s="96"/>
      <c r="AI507" s="96"/>
      <c r="AJ507" s="96"/>
      <c r="AK507" s="96"/>
      <c r="AL507" s="96"/>
      <c r="AM507" s="96"/>
      <c r="AN507" s="96"/>
    </row>
    <row r="508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  <c r="AD508" s="96"/>
      <c r="AE508" s="96"/>
      <c r="AF508" s="96"/>
      <c r="AG508" s="96"/>
      <c r="AH508" s="96"/>
      <c r="AI508" s="96"/>
      <c r="AJ508" s="96"/>
      <c r="AK508" s="96"/>
      <c r="AL508" s="96"/>
      <c r="AM508" s="96"/>
      <c r="AN508" s="96"/>
    </row>
    <row r="509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  <c r="AD509" s="96"/>
      <c r="AE509" s="96"/>
      <c r="AF509" s="96"/>
      <c r="AG509" s="96"/>
      <c r="AH509" s="96"/>
      <c r="AI509" s="96"/>
      <c r="AJ509" s="96"/>
      <c r="AK509" s="96"/>
      <c r="AL509" s="96"/>
      <c r="AM509" s="96"/>
      <c r="AN509" s="96"/>
    </row>
    <row r="510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  <c r="AD510" s="96"/>
      <c r="AE510" s="96"/>
      <c r="AF510" s="96"/>
      <c r="AG510" s="96"/>
      <c r="AH510" s="96"/>
      <c r="AI510" s="96"/>
      <c r="AJ510" s="96"/>
      <c r="AK510" s="96"/>
      <c r="AL510" s="96"/>
      <c r="AM510" s="96"/>
      <c r="AN510" s="96"/>
    </row>
    <row r="51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  <c r="AD511" s="96"/>
      <c r="AE511" s="96"/>
      <c r="AF511" s="96"/>
      <c r="AG511" s="96"/>
      <c r="AH511" s="96"/>
      <c r="AI511" s="96"/>
      <c r="AJ511" s="96"/>
      <c r="AK511" s="96"/>
      <c r="AL511" s="96"/>
      <c r="AM511" s="96"/>
      <c r="AN511" s="96"/>
    </row>
    <row r="512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  <c r="AC512" s="96"/>
      <c r="AD512" s="96"/>
      <c r="AE512" s="96"/>
      <c r="AF512" s="96"/>
      <c r="AG512" s="96"/>
      <c r="AH512" s="96"/>
      <c r="AI512" s="96"/>
      <c r="AJ512" s="96"/>
      <c r="AK512" s="96"/>
      <c r="AL512" s="96"/>
      <c r="AM512" s="96"/>
      <c r="AN512" s="96"/>
    </row>
    <row r="513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  <c r="AC513" s="96"/>
      <c r="AD513" s="96"/>
      <c r="AE513" s="96"/>
      <c r="AF513" s="96"/>
      <c r="AG513" s="96"/>
      <c r="AH513" s="96"/>
      <c r="AI513" s="96"/>
      <c r="AJ513" s="96"/>
      <c r="AK513" s="96"/>
      <c r="AL513" s="96"/>
      <c r="AM513" s="96"/>
      <c r="AN513" s="96"/>
    </row>
    <row r="514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  <c r="AC514" s="96"/>
      <c r="AD514" s="96"/>
      <c r="AE514" s="96"/>
      <c r="AF514" s="96"/>
      <c r="AG514" s="96"/>
      <c r="AH514" s="96"/>
      <c r="AI514" s="96"/>
      <c r="AJ514" s="96"/>
      <c r="AK514" s="96"/>
      <c r="AL514" s="96"/>
      <c r="AM514" s="96"/>
      <c r="AN514" s="96"/>
    </row>
    <row r="51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  <c r="AC515" s="96"/>
      <c r="AD515" s="96"/>
      <c r="AE515" s="96"/>
      <c r="AF515" s="96"/>
      <c r="AG515" s="96"/>
      <c r="AH515" s="96"/>
      <c r="AI515" s="96"/>
      <c r="AJ515" s="96"/>
      <c r="AK515" s="96"/>
      <c r="AL515" s="96"/>
      <c r="AM515" s="96"/>
      <c r="AN515" s="96"/>
    </row>
    <row r="516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  <c r="AC516" s="96"/>
      <c r="AD516" s="96"/>
      <c r="AE516" s="96"/>
      <c r="AF516" s="96"/>
      <c r="AG516" s="96"/>
      <c r="AH516" s="96"/>
      <c r="AI516" s="96"/>
      <c r="AJ516" s="96"/>
      <c r="AK516" s="96"/>
      <c r="AL516" s="96"/>
      <c r="AM516" s="96"/>
      <c r="AN516" s="96"/>
    </row>
    <row r="517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  <c r="AC517" s="96"/>
      <c r="AD517" s="96"/>
      <c r="AE517" s="96"/>
      <c r="AF517" s="96"/>
      <c r="AG517" s="96"/>
      <c r="AH517" s="96"/>
      <c r="AI517" s="96"/>
      <c r="AJ517" s="96"/>
      <c r="AK517" s="96"/>
      <c r="AL517" s="96"/>
      <c r="AM517" s="96"/>
      <c r="AN517" s="96"/>
    </row>
    <row r="518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  <c r="AD518" s="96"/>
      <c r="AE518" s="96"/>
      <c r="AF518" s="96"/>
      <c r="AG518" s="96"/>
      <c r="AH518" s="96"/>
      <c r="AI518" s="96"/>
      <c r="AJ518" s="96"/>
      <c r="AK518" s="96"/>
      <c r="AL518" s="96"/>
      <c r="AM518" s="96"/>
      <c r="AN518" s="96"/>
    </row>
    <row r="519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  <c r="AD519" s="96"/>
      <c r="AE519" s="96"/>
      <c r="AF519" s="96"/>
      <c r="AG519" s="96"/>
      <c r="AH519" s="96"/>
      <c r="AI519" s="96"/>
      <c r="AJ519" s="96"/>
      <c r="AK519" s="96"/>
      <c r="AL519" s="96"/>
      <c r="AM519" s="96"/>
      <c r="AN519" s="96"/>
    </row>
    <row r="520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  <c r="AD520" s="96"/>
      <c r="AE520" s="96"/>
      <c r="AF520" s="96"/>
      <c r="AG520" s="96"/>
      <c r="AH520" s="96"/>
      <c r="AI520" s="96"/>
      <c r="AJ520" s="96"/>
      <c r="AK520" s="96"/>
      <c r="AL520" s="96"/>
      <c r="AM520" s="96"/>
      <c r="AN520" s="96"/>
    </row>
    <row r="52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  <c r="AC521" s="96"/>
      <c r="AD521" s="96"/>
      <c r="AE521" s="96"/>
      <c r="AF521" s="96"/>
      <c r="AG521" s="96"/>
      <c r="AH521" s="96"/>
      <c r="AI521" s="96"/>
      <c r="AJ521" s="96"/>
      <c r="AK521" s="96"/>
      <c r="AL521" s="96"/>
      <c r="AM521" s="96"/>
      <c r="AN521" s="96"/>
    </row>
    <row r="522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  <c r="AC522" s="96"/>
      <c r="AD522" s="96"/>
      <c r="AE522" s="96"/>
      <c r="AF522" s="96"/>
      <c r="AG522" s="96"/>
      <c r="AH522" s="96"/>
      <c r="AI522" s="96"/>
      <c r="AJ522" s="96"/>
      <c r="AK522" s="96"/>
      <c r="AL522" s="96"/>
      <c r="AM522" s="96"/>
      <c r="AN522" s="96"/>
    </row>
    <row r="523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  <c r="AC523" s="96"/>
      <c r="AD523" s="96"/>
      <c r="AE523" s="96"/>
      <c r="AF523" s="96"/>
      <c r="AG523" s="96"/>
      <c r="AH523" s="96"/>
      <c r="AI523" s="96"/>
      <c r="AJ523" s="96"/>
      <c r="AK523" s="96"/>
      <c r="AL523" s="96"/>
      <c r="AM523" s="96"/>
      <c r="AN523" s="96"/>
    </row>
    <row r="524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  <c r="AC524" s="96"/>
      <c r="AD524" s="96"/>
      <c r="AE524" s="96"/>
      <c r="AF524" s="96"/>
      <c r="AG524" s="96"/>
      <c r="AH524" s="96"/>
      <c r="AI524" s="96"/>
      <c r="AJ524" s="96"/>
      <c r="AK524" s="96"/>
      <c r="AL524" s="96"/>
      <c r="AM524" s="96"/>
      <c r="AN524" s="96"/>
    </row>
    <row r="52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  <c r="AC525" s="96"/>
      <c r="AD525" s="96"/>
      <c r="AE525" s="96"/>
      <c r="AF525" s="96"/>
      <c r="AG525" s="96"/>
      <c r="AH525" s="96"/>
      <c r="AI525" s="96"/>
      <c r="AJ525" s="96"/>
      <c r="AK525" s="96"/>
      <c r="AL525" s="96"/>
      <c r="AM525" s="96"/>
      <c r="AN525" s="96"/>
    </row>
    <row r="526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  <c r="AC526" s="96"/>
      <c r="AD526" s="96"/>
      <c r="AE526" s="96"/>
      <c r="AF526" s="96"/>
      <c r="AG526" s="96"/>
      <c r="AH526" s="96"/>
      <c r="AI526" s="96"/>
      <c r="AJ526" s="96"/>
      <c r="AK526" s="96"/>
      <c r="AL526" s="96"/>
      <c r="AM526" s="96"/>
      <c r="AN526" s="96"/>
    </row>
    <row r="527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  <c r="AC527" s="96"/>
      <c r="AD527" s="96"/>
      <c r="AE527" s="96"/>
      <c r="AF527" s="96"/>
      <c r="AG527" s="96"/>
      <c r="AH527" s="96"/>
      <c r="AI527" s="96"/>
      <c r="AJ527" s="96"/>
      <c r="AK527" s="96"/>
      <c r="AL527" s="96"/>
      <c r="AM527" s="96"/>
      <c r="AN527" s="96"/>
    </row>
    <row r="528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  <c r="AC528" s="96"/>
      <c r="AD528" s="96"/>
      <c r="AE528" s="96"/>
      <c r="AF528" s="96"/>
      <c r="AG528" s="96"/>
      <c r="AH528" s="96"/>
      <c r="AI528" s="96"/>
      <c r="AJ528" s="96"/>
      <c r="AK528" s="96"/>
      <c r="AL528" s="96"/>
      <c r="AM528" s="96"/>
      <c r="AN528" s="96"/>
    </row>
    <row r="529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  <c r="AC529" s="96"/>
      <c r="AD529" s="96"/>
      <c r="AE529" s="96"/>
      <c r="AF529" s="96"/>
      <c r="AG529" s="96"/>
      <c r="AH529" s="96"/>
      <c r="AI529" s="96"/>
      <c r="AJ529" s="96"/>
      <c r="AK529" s="96"/>
      <c r="AL529" s="96"/>
      <c r="AM529" s="96"/>
      <c r="AN529" s="96"/>
    </row>
    <row r="530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  <c r="AD530" s="96"/>
      <c r="AE530" s="96"/>
      <c r="AF530" s="96"/>
      <c r="AG530" s="96"/>
      <c r="AH530" s="96"/>
      <c r="AI530" s="96"/>
      <c r="AJ530" s="96"/>
      <c r="AK530" s="96"/>
      <c r="AL530" s="96"/>
      <c r="AM530" s="96"/>
      <c r="AN530" s="96"/>
    </row>
    <row r="53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  <c r="AD531" s="96"/>
      <c r="AE531" s="96"/>
      <c r="AF531" s="96"/>
      <c r="AG531" s="96"/>
      <c r="AH531" s="96"/>
      <c r="AI531" s="96"/>
      <c r="AJ531" s="96"/>
      <c r="AK531" s="96"/>
      <c r="AL531" s="96"/>
      <c r="AM531" s="96"/>
      <c r="AN531" s="96"/>
    </row>
    <row r="532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  <c r="AC532" s="96"/>
      <c r="AD532" s="96"/>
      <c r="AE532" s="96"/>
      <c r="AF532" s="96"/>
      <c r="AG532" s="96"/>
      <c r="AH532" s="96"/>
      <c r="AI532" s="96"/>
      <c r="AJ532" s="96"/>
      <c r="AK532" s="96"/>
      <c r="AL532" s="96"/>
      <c r="AM532" s="96"/>
      <c r="AN532" s="96"/>
    </row>
    <row r="533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  <c r="AC533" s="96"/>
      <c r="AD533" s="96"/>
      <c r="AE533" s="96"/>
      <c r="AF533" s="96"/>
      <c r="AG533" s="96"/>
      <c r="AH533" s="96"/>
      <c r="AI533" s="96"/>
      <c r="AJ533" s="96"/>
      <c r="AK533" s="96"/>
      <c r="AL533" s="96"/>
      <c r="AM533" s="96"/>
      <c r="AN533" s="96"/>
    </row>
    <row r="534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  <c r="AC534" s="96"/>
      <c r="AD534" s="96"/>
      <c r="AE534" s="96"/>
      <c r="AF534" s="96"/>
      <c r="AG534" s="96"/>
      <c r="AH534" s="96"/>
      <c r="AI534" s="96"/>
      <c r="AJ534" s="96"/>
      <c r="AK534" s="96"/>
      <c r="AL534" s="96"/>
      <c r="AM534" s="96"/>
      <c r="AN534" s="96"/>
    </row>
    <row r="53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  <c r="AC535" s="96"/>
      <c r="AD535" s="96"/>
      <c r="AE535" s="96"/>
      <c r="AF535" s="96"/>
      <c r="AG535" s="96"/>
      <c r="AH535" s="96"/>
      <c r="AI535" s="96"/>
      <c r="AJ535" s="96"/>
      <c r="AK535" s="96"/>
      <c r="AL535" s="96"/>
      <c r="AM535" s="96"/>
      <c r="AN535" s="96"/>
    </row>
    <row r="536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  <c r="AC536" s="96"/>
      <c r="AD536" s="96"/>
      <c r="AE536" s="96"/>
      <c r="AF536" s="96"/>
      <c r="AG536" s="96"/>
      <c r="AH536" s="96"/>
      <c r="AI536" s="96"/>
      <c r="AJ536" s="96"/>
      <c r="AK536" s="96"/>
      <c r="AL536" s="96"/>
      <c r="AM536" s="96"/>
      <c r="AN536" s="96"/>
    </row>
    <row r="537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  <c r="AC537" s="96"/>
      <c r="AD537" s="96"/>
      <c r="AE537" s="96"/>
      <c r="AF537" s="96"/>
      <c r="AG537" s="96"/>
      <c r="AH537" s="96"/>
      <c r="AI537" s="96"/>
      <c r="AJ537" s="96"/>
      <c r="AK537" s="96"/>
      <c r="AL537" s="96"/>
      <c r="AM537" s="96"/>
      <c r="AN537" s="96"/>
    </row>
    <row r="538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  <c r="AC538" s="96"/>
      <c r="AD538" s="96"/>
      <c r="AE538" s="96"/>
      <c r="AF538" s="96"/>
      <c r="AG538" s="96"/>
      <c r="AH538" s="96"/>
      <c r="AI538" s="96"/>
      <c r="AJ538" s="96"/>
      <c r="AK538" s="96"/>
      <c r="AL538" s="96"/>
      <c r="AM538" s="96"/>
      <c r="AN538" s="96"/>
    </row>
    <row r="539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  <c r="AD539" s="96"/>
      <c r="AE539" s="96"/>
      <c r="AF539" s="96"/>
      <c r="AG539" s="96"/>
      <c r="AH539" s="96"/>
      <c r="AI539" s="96"/>
      <c r="AJ539" s="96"/>
      <c r="AK539" s="96"/>
      <c r="AL539" s="96"/>
      <c r="AM539" s="96"/>
      <c r="AN539" s="96"/>
    </row>
    <row r="540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  <c r="AC540" s="96"/>
      <c r="AD540" s="96"/>
      <c r="AE540" s="96"/>
      <c r="AF540" s="96"/>
      <c r="AG540" s="96"/>
      <c r="AH540" s="96"/>
      <c r="AI540" s="96"/>
      <c r="AJ540" s="96"/>
      <c r="AK540" s="96"/>
      <c r="AL540" s="96"/>
      <c r="AM540" s="96"/>
      <c r="AN540" s="96"/>
    </row>
    <row r="54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  <c r="AC541" s="96"/>
      <c r="AD541" s="96"/>
      <c r="AE541" s="96"/>
      <c r="AF541" s="96"/>
      <c r="AG541" s="96"/>
      <c r="AH541" s="96"/>
      <c r="AI541" s="96"/>
      <c r="AJ541" s="96"/>
      <c r="AK541" s="96"/>
      <c r="AL541" s="96"/>
      <c r="AM541" s="96"/>
      <c r="AN541" s="96"/>
    </row>
    <row r="542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  <c r="AC542" s="96"/>
      <c r="AD542" s="96"/>
      <c r="AE542" s="96"/>
      <c r="AF542" s="96"/>
      <c r="AG542" s="96"/>
      <c r="AH542" s="96"/>
      <c r="AI542" s="96"/>
      <c r="AJ542" s="96"/>
      <c r="AK542" s="96"/>
      <c r="AL542" s="96"/>
      <c r="AM542" s="96"/>
      <c r="AN542" s="96"/>
    </row>
    <row r="543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  <c r="AC543" s="96"/>
      <c r="AD543" s="96"/>
      <c r="AE543" s="96"/>
      <c r="AF543" s="96"/>
      <c r="AG543" s="96"/>
      <c r="AH543" s="96"/>
      <c r="AI543" s="96"/>
      <c r="AJ543" s="96"/>
      <c r="AK543" s="96"/>
      <c r="AL543" s="96"/>
      <c r="AM543" s="96"/>
      <c r="AN543" s="96"/>
    </row>
    <row r="544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  <c r="AC544" s="96"/>
      <c r="AD544" s="96"/>
      <c r="AE544" s="96"/>
      <c r="AF544" s="96"/>
      <c r="AG544" s="96"/>
      <c r="AH544" s="96"/>
      <c r="AI544" s="96"/>
      <c r="AJ544" s="96"/>
      <c r="AK544" s="96"/>
      <c r="AL544" s="96"/>
      <c r="AM544" s="96"/>
      <c r="AN544" s="96"/>
    </row>
    <row r="54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  <c r="AC545" s="96"/>
      <c r="AD545" s="96"/>
      <c r="AE545" s="96"/>
      <c r="AF545" s="96"/>
      <c r="AG545" s="96"/>
      <c r="AH545" s="96"/>
      <c r="AI545" s="96"/>
      <c r="AJ545" s="96"/>
      <c r="AK545" s="96"/>
      <c r="AL545" s="96"/>
      <c r="AM545" s="96"/>
      <c r="AN545" s="96"/>
    </row>
    <row r="546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  <c r="AC546" s="96"/>
      <c r="AD546" s="96"/>
      <c r="AE546" s="96"/>
      <c r="AF546" s="96"/>
      <c r="AG546" s="96"/>
      <c r="AH546" s="96"/>
      <c r="AI546" s="96"/>
      <c r="AJ546" s="96"/>
      <c r="AK546" s="96"/>
      <c r="AL546" s="96"/>
      <c r="AM546" s="96"/>
      <c r="AN546" s="96"/>
    </row>
    <row r="547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  <c r="AC547" s="96"/>
      <c r="AD547" s="96"/>
      <c r="AE547" s="96"/>
      <c r="AF547" s="96"/>
      <c r="AG547" s="96"/>
      <c r="AH547" s="96"/>
      <c r="AI547" s="96"/>
      <c r="AJ547" s="96"/>
      <c r="AK547" s="96"/>
      <c r="AL547" s="96"/>
      <c r="AM547" s="96"/>
      <c r="AN547" s="96"/>
    </row>
    <row r="548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  <c r="AC548" s="96"/>
      <c r="AD548" s="96"/>
      <c r="AE548" s="96"/>
      <c r="AF548" s="96"/>
      <c r="AG548" s="96"/>
      <c r="AH548" s="96"/>
      <c r="AI548" s="96"/>
      <c r="AJ548" s="96"/>
      <c r="AK548" s="96"/>
      <c r="AL548" s="96"/>
      <c r="AM548" s="96"/>
      <c r="AN548" s="96"/>
    </row>
    <row r="549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  <c r="AC549" s="96"/>
      <c r="AD549" s="96"/>
      <c r="AE549" s="96"/>
      <c r="AF549" s="96"/>
      <c r="AG549" s="96"/>
      <c r="AH549" s="96"/>
      <c r="AI549" s="96"/>
      <c r="AJ549" s="96"/>
      <c r="AK549" s="96"/>
      <c r="AL549" s="96"/>
      <c r="AM549" s="96"/>
      <c r="AN549" s="96"/>
    </row>
    <row r="550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  <c r="AC550" s="96"/>
      <c r="AD550" s="96"/>
      <c r="AE550" s="96"/>
      <c r="AF550" s="96"/>
      <c r="AG550" s="96"/>
      <c r="AH550" s="96"/>
      <c r="AI550" s="96"/>
      <c r="AJ550" s="96"/>
      <c r="AK550" s="96"/>
      <c r="AL550" s="96"/>
      <c r="AM550" s="96"/>
      <c r="AN550" s="96"/>
    </row>
    <row r="55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  <c r="AC551" s="96"/>
      <c r="AD551" s="96"/>
      <c r="AE551" s="96"/>
      <c r="AF551" s="96"/>
      <c r="AG551" s="96"/>
      <c r="AH551" s="96"/>
      <c r="AI551" s="96"/>
      <c r="AJ551" s="96"/>
      <c r="AK551" s="96"/>
      <c r="AL551" s="96"/>
      <c r="AM551" s="96"/>
      <c r="AN551" s="96"/>
    </row>
    <row r="552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  <c r="AC552" s="96"/>
      <c r="AD552" s="96"/>
      <c r="AE552" s="96"/>
      <c r="AF552" s="96"/>
      <c r="AG552" s="96"/>
      <c r="AH552" s="96"/>
      <c r="AI552" s="96"/>
      <c r="AJ552" s="96"/>
      <c r="AK552" s="96"/>
      <c r="AL552" s="96"/>
      <c r="AM552" s="96"/>
      <c r="AN552" s="96"/>
    </row>
    <row r="553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  <c r="AC553" s="96"/>
      <c r="AD553" s="96"/>
      <c r="AE553" s="96"/>
      <c r="AF553" s="96"/>
      <c r="AG553" s="96"/>
      <c r="AH553" s="96"/>
      <c r="AI553" s="96"/>
      <c r="AJ553" s="96"/>
      <c r="AK553" s="96"/>
      <c r="AL553" s="96"/>
      <c r="AM553" s="96"/>
      <c r="AN553" s="96"/>
    </row>
    <row r="554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  <c r="AC554" s="96"/>
      <c r="AD554" s="96"/>
      <c r="AE554" s="96"/>
      <c r="AF554" s="96"/>
      <c r="AG554" s="96"/>
      <c r="AH554" s="96"/>
      <c r="AI554" s="96"/>
      <c r="AJ554" s="96"/>
      <c r="AK554" s="96"/>
      <c r="AL554" s="96"/>
      <c r="AM554" s="96"/>
      <c r="AN554" s="96"/>
    </row>
    <row r="55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  <c r="AC555" s="96"/>
      <c r="AD555" s="96"/>
      <c r="AE555" s="96"/>
      <c r="AF555" s="96"/>
      <c r="AG555" s="96"/>
      <c r="AH555" s="96"/>
      <c r="AI555" s="96"/>
      <c r="AJ555" s="96"/>
      <c r="AK555" s="96"/>
      <c r="AL555" s="96"/>
      <c r="AM555" s="96"/>
      <c r="AN555" s="96"/>
    </row>
    <row r="556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  <c r="AC556" s="96"/>
      <c r="AD556" s="96"/>
      <c r="AE556" s="96"/>
      <c r="AF556" s="96"/>
      <c r="AG556" s="96"/>
      <c r="AH556" s="96"/>
      <c r="AI556" s="96"/>
      <c r="AJ556" s="96"/>
      <c r="AK556" s="96"/>
      <c r="AL556" s="96"/>
      <c r="AM556" s="96"/>
      <c r="AN556" s="96"/>
    </row>
    <row r="557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  <c r="AC557" s="96"/>
      <c r="AD557" s="96"/>
      <c r="AE557" s="96"/>
      <c r="AF557" s="96"/>
      <c r="AG557" s="96"/>
      <c r="AH557" s="96"/>
      <c r="AI557" s="96"/>
      <c r="AJ557" s="96"/>
      <c r="AK557" s="96"/>
      <c r="AL557" s="96"/>
      <c r="AM557" s="96"/>
      <c r="AN557" s="96"/>
    </row>
    <row r="558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  <c r="AC558" s="96"/>
      <c r="AD558" s="96"/>
      <c r="AE558" s="96"/>
      <c r="AF558" s="96"/>
      <c r="AG558" s="96"/>
      <c r="AH558" s="96"/>
      <c r="AI558" s="96"/>
      <c r="AJ558" s="96"/>
      <c r="AK558" s="96"/>
      <c r="AL558" s="96"/>
      <c r="AM558" s="96"/>
      <c r="AN558" s="96"/>
    </row>
    <row r="559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  <c r="AC559" s="96"/>
      <c r="AD559" s="96"/>
      <c r="AE559" s="96"/>
      <c r="AF559" s="96"/>
      <c r="AG559" s="96"/>
      <c r="AH559" s="96"/>
      <c r="AI559" s="96"/>
      <c r="AJ559" s="96"/>
      <c r="AK559" s="96"/>
      <c r="AL559" s="96"/>
      <c r="AM559" s="96"/>
      <c r="AN559" s="96"/>
    </row>
    <row r="560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  <c r="AC560" s="96"/>
      <c r="AD560" s="96"/>
      <c r="AE560" s="96"/>
      <c r="AF560" s="96"/>
      <c r="AG560" s="96"/>
      <c r="AH560" s="96"/>
      <c r="AI560" s="96"/>
      <c r="AJ560" s="96"/>
      <c r="AK560" s="96"/>
      <c r="AL560" s="96"/>
      <c r="AM560" s="96"/>
      <c r="AN560" s="96"/>
    </row>
    <row r="56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  <c r="AC561" s="96"/>
      <c r="AD561" s="96"/>
      <c r="AE561" s="96"/>
      <c r="AF561" s="96"/>
      <c r="AG561" s="96"/>
      <c r="AH561" s="96"/>
      <c r="AI561" s="96"/>
      <c r="AJ561" s="96"/>
      <c r="AK561" s="96"/>
      <c r="AL561" s="96"/>
      <c r="AM561" s="96"/>
      <c r="AN561" s="96"/>
    </row>
    <row r="562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  <c r="AC562" s="96"/>
      <c r="AD562" s="96"/>
      <c r="AE562" s="96"/>
      <c r="AF562" s="96"/>
      <c r="AG562" s="96"/>
      <c r="AH562" s="96"/>
      <c r="AI562" s="96"/>
      <c r="AJ562" s="96"/>
      <c r="AK562" s="96"/>
      <c r="AL562" s="96"/>
      <c r="AM562" s="96"/>
      <c r="AN562" s="96"/>
    </row>
    <row r="563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  <c r="AC563" s="96"/>
      <c r="AD563" s="96"/>
      <c r="AE563" s="96"/>
      <c r="AF563" s="96"/>
      <c r="AG563" s="96"/>
      <c r="AH563" s="96"/>
      <c r="AI563" s="96"/>
      <c r="AJ563" s="96"/>
      <c r="AK563" s="96"/>
      <c r="AL563" s="96"/>
      <c r="AM563" s="96"/>
      <c r="AN563" s="96"/>
    </row>
    <row r="564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  <c r="AD564" s="96"/>
      <c r="AE564" s="96"/>
      <c r="AF564" s="96"/>
      <c r="AG564" s="96"/>
      <c r="AH564" s="96"/>
      <c r="AI564" s="96"/>
      <c r="AJ564" s="96"/>
      <c r="AK564" s="96"/>
      <c r="AL564" s="96"/>
      <c r="AM564" s="96"/>
      <c r="AN564" s="96"/>
    </row>
    <row r="56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  <c r="AC565" s="96"/>
      <c r="AD565" s="96"/>
      <c r="AE565" s="96"/>
      <c r="AF565" s="96"/>
      <c r="AG565" s="96"/>
      <c r="AH565" s="96"/>
      <c r="AI565" s="96"/>
      <c r="AJ565" s="96"/>
      <c r="AK565" s="96"/>
      <c r="AL565" s="96"/>
      <c r="AM565" s="96"/>
      <c r="AN565" s="96"/>
    </row>
    <row r="566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  <c r="AC566" s="96"/>
      <c r="AD566" s="96"/>
      <c r="AE566" s="96"/>
      <c r="AF566" s="96"/>
      <c r="AG566" s="96"/>
      <c r="AH566" s="96"/>
      <c r="AI566" s="96"/>
      <c r="AJ566" s="96"/>
      <c r="AK566" s="96"/>
      <c r="AL566" s="96"/>
      <c r="AM566" s="96"/>
      <c r="AN566" s="96"/>
    </row>
    <row r="567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/>
      <c r="AD567" s="96"/>
      <c r="AE567" s="96"/>
      <c r="AF567" s="96"/>
      <c r="AG567" s="96"/>
      <c r="AH567" s="96"/>
      <c r="AI567" s="96"/>
      <c r="AJ567" s="96"/>
      <c r="AK567" s="96"/>
      <c r="AL567" s="96"/>
      <c r="AM567" s="96"/>
      <c r="AN567" s="96"/>
    </row>
    <row r="568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  <c r="AC568" s="96"/>
      <c r="AD568" s="96"/>
      <c r="AE568" s="96"/>
      <c r="AF568" s="96"/>
      <c r="AG568" s="96"/>
      <c r="AH568" s="96"/>
      <c r="AI568" s="96"/>
      <c r="AJ568" s="96"/>
      <c r="AK568" s="96"/>
      <c r="AL568" s="96"/>
      <c r="AM568" s="96"/>
      <c r="AN568" s="96"/>
    </row>
    <row r="569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  <c r="AC569" s="96"/>
      <c r="AD569" s="96"/>
      <c r="AE569" s="96"/>
      <c r="AF569" s="96"/>
      <c r="AG569" s="96"/>
      <c r="AH569" s="96"/>
      <c r="AI569" s="96"/>
      <c r="AJ569" s="96"/>
      <c r="AK569" s="96"/>
      <c r="AL569" s="96"/>
      <c r="AM569" s="96"/>
      <c r="AN569" s="96"/>
    </row>
    <row r="570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  <c r="AC570" s="96"/>
      <c r="AD570" s="96"/>
      <c r="AE570" s="96"/>
      <c r="AF570" s="96"/>
      <c r="AG570" s="96"/>
      <c r="AH570" s="96"/>
      <c r="AI570" s="96"/>
      <c r="AJ570" s="96"/>
      <c r="AK570" s="96"/>
      <c r="AL570" s="96"/>
      <c r="AM570" s="96"/>
      <c r="AN570" s="96"/>
    </row>
    <row r="57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  <c r="AC571" s="96"/>
      <c r="AD571" s="96"/>
      <c r="AE571" s="96"/>
      <c r="AF571" s="96"/>
      <c r="AG571" s="96"/>
      <c r="AH571" s="96"/>
      <c r="AI571" s="96"/>
      <c r="AJ571" s="96"/>
      <c r="AK571" s="96"/>
      <c r="AL571" s="96"/>
      <c r="AM571" s="96"/>
      <c r="AN571" s="96"/>
    </row>
    <row r="572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  <c r="AC572" s="96"/>
      <c r="AD572" s="96"/>
      <c r="AE572" s="96"/>
      <c r="AF572" s="96"/>
      <c r="AG572" s="96"/>
      <c r="AH572" s="96"/>
      <c r="AI572" s="96"/>
      <c r="AJ572" s="96"/>
      <c r="AK572" s="96"/>
      <c r="AL572" s="96"/>
      <c r="AM572" s="96"/>
      <c r="AN572" s="96"/>
    </row>
    <row r="573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  <c r="AC573" s="96"/>
      <c r="AD573" s="96"/>
      <c r="AE573" s="96"/>
      <c r="AF573" s="96"/>
      <c r="AG573" s="96"/>
      <c r="AH573" s="96"/>
      <c r="AI573" s="96"/>
      <c r="AJ573" s="96"/>
      <c r="AK573" s="96"/>
      <c r="AL573" s="96"/>
      <c r="AM573" s="96"/>
      <c r="AN573" s="96"/>
    </row>
    <row r="574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  <c r="AC574" s="96"/>
      <c r="AD574" s="96"/>
      <c r="AE574" s="96"/>
      <c r="AF574" s="96"/>
      <c r="AG574" s="96"/>
      <c r="AH574" s="96"/>
      <c r="AI574" s="96"/>
      <c r="AJ574" s="96"/>
      <c r="AK574" s="96"/>
      <c r="AL574" s="96"/>
      <c r="AM574" s="96"/>
      <c r="AN574" s="96"/>
    </row>
    <row r="57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  <c r="AC575" s="96"/>
      <c r="AD575" s="96"/>
      <c r="AE575" s="96"/>
      <c r="AF575" s="96"/>
      <c r="AG575" s="96"/>
      <c r="AH575" s="96"/>
      <c r="AI575" s="96"/>
      <c r="AJ575" s="96"/>
      <c r="AK575" s="96"/>
      <c r="AL575" s="96"/>
      <c r="AM575" s="96"/>
      <c r="AN575" s="96"/>
    </row>
    <row r="576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  <c r="AD576" s="96"/>
      <c r="AE576" s="96"/>
      <c r="AF576" s="96"/>
      <c r="AG576" s="96"/>
      <c r="AH576" s="96"/>
      <c r="AI576" s="96"/>
      <c r="AJ576" s="96"/>
      <c r="AK576" s="96"/>
      <c r="AL576" s="96"/>
      <c r="AM576" s="96"/>
      <c r="AN576" s="96"/>
    </row>
    <row r="577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  <c r="AC577" s="96"/>
      <c r="AD577" s="96"/>
      <c r="AE577" s="96"/>
      <c r="AF577" s="96"/>
      <c r="AG577" s="96"/>
      <c r="AH577" s="96"/>
      <c r="AI577" s="96"/>
      <c r="AJ577" s="96"/>
      <c r="AK577" s="96"/>
      <c r="AL577" s="96"/>
      <c r="AM577" s="96"/>
      <c r="AN577" s="96"/>
    </row>
    <row r="578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  <c r="AC578" s="96"/>
      <c r="AD578" s="96"/>
      <c r="AE578" s="96"/>
      <c r="AF578" s="96"/>
      <c r="AG578" s="96"/>
      <c r="AH578" s="96"/>
      <c r="AI578" s="96"/>
      <c r="AJ578" s="96"/>
      <c r="AK578" s="96"/>
      <c r="AL578" s="96"/>
      <c r="AM578" s="96"/>
      <c r="AN578" s="96"/>
    </row>
    <row r="579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  <c r="AC579" s="96"/>
      <c r="AD579" s="96"/>
      <c r="AE579" s="96"/>
      <c r="AF579" s="96"/>
      <c r="AG579" s="96"/>
      <c r="AH579" s="96"/>
      <c r="AI579" s="96"/>
      <c r="AJ579" s="96"/>
      <c r="AK579" s="96"/>
      <c r="AL579" s="96"/>
      <c r="AM579" s="96"/>
      <c r="AN579" s="96"/>
    </row>
    <row r="580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  <c r="AC580" s="96"/>
      <c r="AD580" s="96"/>
      <c r="AE580" s="96"/>
      <c r="AF580" s="96"/>
      <c r="AG580" s="96"/>
      <c r="AH580" s="96"/>
      <c r="AI580" s="96"/>
      <c r="AJ580" s="96"/>
      <c r="AK580" s="96"/>
      <c r="AL580" s="96"/>
      <c r="AM580" s="96"/>
      <c r="AN580" s="96"/>
    </row>
    <row r="58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  <c r="AC581" s="96"/>
      <c r="AD581" s="96"/>
      <c r="AE581" s="96"/>
      <c r="AF581" s="96"/>
      <c r="AG581" s="96"/>
      <c r="AH581" s="96"/>
      <c r="AI581" s="96"/>
      <c r="AJ581" s="96"/>
      <c r="AK581" s="96"/>
      <c r="AL581" s="96"/>
      <c r="AM581" s="96"/>
      <c r="AN581" s="96"/>
    </row>
    <row r="582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  <c r="AC582" s="96"/>
      <c r="AD582" s="96"/>
      <c r="AE582" s="96"/>
      <c r="AF582" s="96"/>
      <c r="AG582" s="96"/>
      <c r="AH582" s="96"/>
      <c r="AI582" s="96"/>
      <c r="AJ582" s="96"/>
      <c r="AK582" s="96"/>
      <c r="AL582" s="96"/>
      <c r="AM582" s="96"/>
      <c r="AN582" s="96"/>
    </row>
    <row r="583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  <c r="AC583" s="96"/>
      <c r="AD583" s="96"/>
      <c r="AE583" s="96"/>
      <c r="AF583" s="96"/>
      <c r="AG583" s="96"/>
      <c r="AH583" s="96"/>
      <c r="AI583" s="96"/>
      <c r="AJ583" s="96"/>
      <c r="AK583" s="96"/>
      <c r="AL583" s="96"/>
      <c r="AM583" s="96"/>
      <c r="AN583" s="96"/>
    </row>
    <row r="584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  <c r="AC584" s="96"/>
      <c r="AD584" s="96"/>
      <c r="AE584" s="96"/>
      <c r="AF584" s="96"/>
      <c r="AG584" s="96"/>
      <c r="AH584" s="96"/>
      <c r="AI584" s="96"/>
      <c r="AJ584" s="96"/>
      <c r="AK584" s="96"/>
      <c r="AL584" s="96"/>
      <c r="AM584" s="96"/>
      <c r="AN584" s="96"/>
    </row>
    <row r="58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  <c r="AC585" s="96"/>
      <c r="AD585" s="96"/>
      <c r="AE585" s="96"/>
      <c r="AF585" s="96"/>
      <c r="AG585" s="96"/>
      <c r="AH585" s="96"/>
      <c r="AI585" s="96"/>
      <c r="AJ585" s="96"/>
      <c r="AK585" s="96"/>
      <c r="AL585" s="96"/>
      <c r="AM585" s="96"/>
      <c r="AN585" s="96"/>
    </row>
    <row r="586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  <c r="AC586" s="96"/>
      <c r="AD586" s="96"/>
      <c r="AE586" s="96"/>
      <c r="AF586" s="96"/>
      <c r="AG586" s="96"/>
      <c r="AH586" s="96"/>
      <c r="AI586" s="96"/>
      <c r="AJ586" s="96"/>
      <c r="AK586" s="96"/>
      <c r="AL586" s="96"/>
      <c r="AM586" s="96"/>
      <c r="AN586" s="96"/>
    </row>
    <row r="587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  <c r="AC587" s="96"/>
      <c r="AD587" s="96"/>
      <c r="AE587" s="96"/>
      <c r="AF587" s="96"/>
      <c r="AG587" s="96"/>
      <c r="AH587" s="96"/>
      <c r="AI587" s="96"/>
      <c r="AJ587" s="96"/>
      <c r="AK587" s="96"/>
      <c r="AL587" s="96"/>
      <c r="AM587" s="96"/>
      <c r="AN587" s="96"/>
    </row>
    <row r="588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  <c r="AC588" s="96"/>
      <c r="AD588" s="96"/>
      <c r="AE588" s="96"/>
      <c r="AF588" s="96"/>
      <c r="AG588" s="96"/>
      <c r="AH588" s="96"/>
      <c r="AI588" s="96"/>
      <c r="AJ588" s="96"/>
      <c r="AK588" s="96"/>
      <c r="AL588" s="96"/>
      <c r="AM588" s="96"/>
      <c r="AN588" s="96"/>
    </row>
    <row r="589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  <c r="AC589" s="96"/>
      <c r="AD589" s="96"/>
      <c r="AE589" s="96"/>
      <c r="AF589" s="96"/>
      <c r="AG589" s="96"/>
      <c r="AH589" s="96"/>
      <c r="AI589" s="96"/>
      <c r="AJ589" s="96"/>
      <c r="AK589" s="96"/>
      <c r="AL589" s="96"/>
      <c r="AM589" s="96"/>
      <c r="AN589" s="96"/>
    </row>
    <row r="590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  <c r="AC590" s="96"/>
      <c r="AD590" s="96"/>
      <c r="AE590" s="96"/>
      <c r="AF590" s="96"/>
      <c r="AG590" s="96"/>
      <c r="AH590" s="96"/>
      <c r="AI590" s="96"/>
      <c r="AJ590" s="96"/>
      <c r="AK590" s="96"/>
      <c r="AL590" s="96"/>
      <c r="AM590" s="96"/>
      <c r="AN590" s="96"/>
    </row>
    <row r="59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  <c r="AC591" s="96"/>
      <c r="AD591" s="96"/>
      <c r="AE591" s="96"/>
      <c r="AF591" s="96"/>
      <c r="AG591" s="96"/>
      <c r="AH591" s="96"/>
      <c r="AI591" s="96"/>
      <c r="AJ591" s="96"/>
      <c r="AK591" s="96"/>
      <c r="AL591" s="96"/>
      <c r="AM591" s="96"/>
      <c r="AN591" s="96"/>
    </row>
    <row r="592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  <c r="AC592" s="96"/>
      <c r="AD592" s="96"/>
      <c r="AE592" s="96"/>
      <c r="AF592" s="96"/>
      <c r="AG592" s="96"/>
      <c r="AH592" s="96"/>
      <c r="AI592" s="96"/>
      <c r="AJ592" s="96"/>
      <c r="AK592" s="96"/>
      <c r="AL592" s="96"/>
      <c r="AM592" s="96"/>
      <c r="AN592" s="96"/>
    </row>
    <row r="593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  <c r="AC593" s="96"/>
      <c r="AD593" s="96"/>
      <c r="AE593" s="96"/>
      <c r="AF593" s="96"/>
      <c r="AG593" s="96"/>
      <c r="AH593" s="96"/>
      <c r="AI593" s="96"/>
      <c r="AJ593" s="96"/>
      <c r="AK593" s="96"/>
      <c r="AL593" s="96"/>
      <c r="AM593" s="96"/>
      <c r="AN593" s="96"/>
    </row>
    <row r="594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  <c r="AC594" s="96"/>
      <c r="AD594" s="96"/>
      <c r="AE594" s="96"/>
      <c r="AF594" s="96"/>
      <c r="AG594" s="96"/>
      <c r="AH594" s="96"/>
      <c r="AI594" s="96"/>
      <c r="AJ594" s="96"/>
      <c r="AK594" s="96"/>
      <c r="AL594" s="96"/>
      <c r="AM594" s="96"/>
      <c r="AN594" s="96"/>
    </row>
    <row r="59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  <c r="AD595" s="96"/>
      <c r="AE595" s="96"/>
      <c r="AF595" s="96"/>
      <c r="AG595" s="96"/>
      <c r="AH595" s="96"/>
      <c r="AI595" s="96"/>
      <c r="AJ595" s="96"/>
      <c r="AK595" s="96"/>
      <c r="AL595" s="96"/>
      <c r="AM595" s="96"/>
      <c r="AN595" s="96"/>
    </row>
    <row r="596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  <c r="AC596" s="96"/>
      <c r="AD596" s="96"/>
      <c r="AE596" s="96"/>
      <c r="AF596" s="96"/>
      <c r="AG596" s="96"/>
      <c r="AH596" s="96"/>
      <c r="AI596" s="96"/>
      <c r="AJ596" s="96"/>
      <c r="AK596" s="96"/>
      <c r="AL596" s="96"/>
      <c r="AM596" s="96"/>
      <c r="AN596" s="96"/>
    </row>
    <row r="597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  <c r="AD597" s="96"/>
      <c r="AE597" s="96"/>
      <c r="AF597" s="96"/>
      <c r="AG597" s="96"/>
      <c r="AH597" s="96"/>
      <c r="AI597" s="96"/>
      <c r="AJ597" s="96"/>
      <c r="AK597" s="96"/>
      <c r="AL597" s="96"/>
      <c r="AM597" s="96"/>
      <c r="AN597" s="96"/>
    </row>
    <row r="598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  <c r="AD598" s="96"/>
      <c r="AE598" s="96"/>
      <c r="AF598" s="96"/>
      <c r="AG598" s="96"/>
      <c r="AH598" s="96"/>
      <c r="AI598" s="96"/>
      <c r="AJ598" s="96"/>
      <c r="AK598" s="96"/>
      <c r="AL598" s="96"/>
      <c r="AM598" s="96"/>
      <c r="AN598" s="96"/>
    </row>
    <row r="599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  <c r="AD599" s="96"/>
      <c r="AE599" s="96"/>
      <c r="AF599" s="96"/>
      <c r="AG599" s="96"/>
      <c r="AH599" s="96"/>
      <c r="AI599" s="96"/>
      <c r="AJ599" s="96"/>
      <c r="AK599" s="96"/>
      <c r="AL599" s="96"/>
      <c r="AM599" s="96"/>
      <c r="AN599" s="96"/>
    </row>
    <row r="600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  <c r="AC600" s="96"/>
      <c r="AD600" s="96"/>
      <c r="AE600" s="96"/>
      <c r="AF600" s="96"/>
      <c r="AG600" s="96"/>
      <c r="AH600" s="96"/>
      <c r="AI600" s="96"/>
      <c r="AJ600" s="96"/>
      <c r="AK600" s="96"/>
      <c r="AL600" s="96"/>
      <c r="AM600" s="96"/>
      <c r="AN600" s="96"/>
    </row>
    <row r="60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  <c r="AC601" s="96"/>
      <c r="AD601" s="96"/>
      <c r="AE601" s="96"/>
      <c r="AF601" s="96"/>
      <c r="AG601" s="96"/>
      <c r="AH601" s="96"/>
      <c r="AI601" s="96"/>
      <c r="AJ601" s="96"/>
      <c r="AK601" s="96"/>
      <c r="AL601" s="96"/>
      <c r="AM601" s="96"/>
      <c r="AN601" s="96"/>
    </row>
    <row r="602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  <c r="AC602" s="96"/>
      <c r="AD602" s="96"/>
      <c r="AE602" s="96"/>
      <c r="AF602" s="96"/>
      <c r="AG602" s="96"/>
      <c r="AH602" s="96"/>
      <c r="AI602" s="96"/>
      <c r="AJ602" s="96"/>
      <c r="AK602" s="96"/>
      <c r="AL602" s="96"/>
      <c r="AM602" s="96"/>
      <c r="AN602" s="96"/>
    </row>
    <row r="603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  <c r="AC603" s="96"/>
      <c r="AD603" s="96"/>
      <c r="AE603" s="96"/>
      <c r="AF603" s="96"/>
      <c r="AG603" s="96"/>
      <c r="AH603" s="96"/>
      <c r="AI603" s="96"/>
      <c r="AJ603" s="96"/>
      <c r="AK603" s="96"/>
      <c r="AL603" s="96"/>
      <c r="AM603" s="96"/>
      <c r="AN603" s="96"/>
    </row>
    <row r="604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  <c r="AC604" s="96"/>
      <c r="AD604" s="96"/>
      <c r="AE604" s="96"/>
      <c r="AF604" s="96"/>
      <c r="AG604" s="96"/>
      <c r="AH604" s="96"/>
      <c r="AI604" s="96"/>
      <c r="AJ604" s="96"/>
      <c r="AK604" s="96"/>
      <c r="AL604" s="96"/>
      <c r="AM604" s="96"/>
      <c r="AN604" s="96"/>
    </row>
    <row r="60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  <c r="AC605" s="96"/>
      <c r="AD605" s="96"/>
      <c r="AE605" s="96"/>
      <c r="AF605" s="96"/>
      <c r="AG605" s="96"/>
      <c r="AH605" s="96"/>
      <c r="AI605" s="96"/>
      <c r="AJ605" s="96"/>
      <c r="AK605" s="96"/>
      <c r="AL605" s="96"/>
      <c r="AM605" s="96"/>
      <c r="AN605" s="96"/>
    </row>
    <row r="606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  <c r="AC606" s="96"/>
      <c r="AD606" s="96"/>
      <c r="AE606" s="96"/>
      <c r="AF606" s="96"/>
      <c r="AG606" s="96"/>
      <c r="AH606" s="96"/>
      <c r="AI606" s="96"/>
      <c r="AJ606" s="96"/>
      <c r="AK606" s="96"/>
      <c r="AL606" s="96"/>
      <c r="AM606" s="96"/>
      <c r="AN606" s="96"/>
    </row>
    <row r="607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  <c r="AD607" s="96"/>
      <c r="AE607" s="96"/>
      <c r="AF607" s="96"/>
      <c r="AG607" s="96"/>
      <c r="AH607" s="96"/>
      <c r="AI607" s="96"/>
      <c r="AJ607" s="96"/>
      <c r="AK607" s="96"/>
      <c r="AL607" s="96"/>
      <c r="AM607" s="96"/>
      <c r="AN607" s="96"/>
    </row>
    <row r="608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  <c r="AD608" s="96"/>
      <c r="AE608" s="96"/>
      <c r="AF608" s="96"/>
      <c r="AG608" s="96"/>
      <c r="AH608" s="96"/>
      <c r="AI608" s="96"/>
      <c r="AJ608" s="96"/>
      <c r="AK608" s="96"/>
      <c r="AL608" s="96"/>
      <c r="AM608" s="96"/>
      <c r="AN608" s="96"/>
    </row>
    <row r="609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  <c r="AD609" s="96"/>
      <c r="AE609" s="96"/>
      <c r="AF609" s="96"/>
      <c r="AG609" s="96"/>
      <c r="AH609" s="96"/>
      <c r="AI609" s="96"/>
      <c r="AJ609" s="96"/>
      <c r="AK609" s="96"/>
      <c r="AL609" s="96"/>
      <c r="AM609" s="96"/>
      <c r="AN609" s="96"/>
    </row>
    <row r="610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  <c r="AC610" s="96"/>
      <c r="AD610" s="96"/>
      <c r="AE610" s="96"/>
      <c r="AF610" s="96"/>
      <c r="AG610" s="96"/>
      <c r="AH610" s="96"/>
      <c r="AI610" s="96"/>
      <c r="AJ610" s="96"/>
      <c r="AK610" s="96"/>
      <c r="AL610" s="96"/>
      <c r="AM610" s="96"/>
      <c r="AN610" s="96"/>
    </row>
    <row r="61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  <c r="AC611" s="96"/>
      <c r="AD611" s="96"/>
      <c r="AE611" s="96"/>
      <c r="AF611" s="96"/>
      <c r="AG611" s="96"/>
      <c r="AH611" s="96"/>
      <c r="AI611" s="96"/>
      <c r="AJ611" s="96"/>
      <c r="AK611" s="96"/>
      <c r="AL611" s="96"/>
      <c r="AM611" s="96"/>
      <c r="AN611" s="96"/>
    </row>
    <row r="612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  <c r="AC612" s="96"/>
      <c r="AD612" s="96"/>
      <c r="AE612" s="96"/>
      <c r="AF612" s="96"/>
      <c r="AG612" s="96"/>
      <c r="AH612" s="96"/>
      <c r="AI612" s="96"/>
      <c r="AJ612" s="96"/>
      <c r="AK612" s="96"/>
      <c r="AL612" s="96"/>
      <c r="AM612" s="96"/>
      <c r="AN612" s="96"/>
    </row>
    <row r="613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  <c r="AC613" s="96"/>
      <c r="AD613" s="96"/>
      <c r="AE613" s="96"/>
      <c r="AF613" s="96"/>
      <c r="AG613" s="96"/>
      <c r="AH613" s="96"/>
      <c r="AI613" s="96"/>
      <c r="AJ613" s="96"/>
      <c r="AK613" s="96"/>
      <c r="AL613" s="96"/>
      <c r="AM613" s="96"/>
      <c r="AN613" s="96"/>
    </row>
    <row r="614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  <c r="AC614" s="96"/>
      <c r="AD614" s="96"/>
      <c r="AE614" s="96"/>
      <c r="AF614" s="96"/>
      <c r="AG614" s="96"/>
      <c r="AH614" s="96"/>
      <c r="AI614" s="96"/>
      <c r="AJ614" s="96"/>
      <c r="AK614" s="96"/>
      <c r="AL614" s="96"/>
      <c r="AM614" s="96"/>
      <c r="AN614" s="96"/>
    </row>
    <row r="61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  <c r="AC615" s="96"/>
      <c r="AD615" s="96"/>
      <c r="AE615" s="96"/>
      <c r="AF615" s="96"/>
      <c r="AG615" s="96"/>
      <c r="AH615" s="96"/>
      <c r="AI615" s="96"/>
      <c r="AJ615" s="96"/>
      <c r="AK615" s="96"/>
      <c r="AL615" s="96"/>
      <c r="AM615" s="96"/>
      <c r="AN615" s="96"/>
    </row>
    <row r="616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  <c r="AC616" s="96"/>
      <c r="AD616" s="96"/>
      <c r="AE616" s="96"/>
      <c r="AF616" s="96"/>
      <c r="AG616" s="96"/>
      <c r="AH616" s="96"/>
      <c r="AI616" s="96"/>
      <c r="AJ616" s="96"/>
      <c r="AK616" s="96"/>
      <c r="AL616" s="96"/>
      <c r="AM616" s="96"/>
      <c r="AN616" s="96"/>
    </row>
    <row r="617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  <c r="AC617" s="96"/>
      <c r="AD617" s="96"/>
      <c r="AE617" s="96"/>
      <c r="AF617" s="96"/>
      <c r="AG617" s="96"/>
      <c r="AH617" s="96"/>
      <c r="AI617" s="96"/>
      <c r="AJ617" s="96"/>
      <c r="AK617" s="96"/>
      <c r="AL617" s="96"/>
      <c r="AM617" s="96"/>
      <c r="AN617" s="96"/>
    </row>
    <row r="618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  <c r="AC618" s="96"/>
      <c r="AD618" s="96"/>
      <c r="AE618" s="96"/>
      <c r="AF618" s="96"/>
      <c r="AG618" s="96"/>
      <c r="AH618" s="96"/>
      <c r="AI618" s="96"/>
      <c r="AJ618" s="96"/>
      <c r="AK618" s="96"/>
      <c r="AL618" s="96"/>
      <c r="AM618" s="96"/>
      <c r="AN618" s="96"/>
    </row>
    <row r="619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  <c r="AD619" s="96"/>
      <c r="AE619" s="96"/>
      <c r="AF619" s="96"/>
      <c r="AG619" s="96"/>
      <c r="AH619" s="96"/>
      <c r="AI619" s="96"/>
      <c r="AJ619" s="96"/>
      <c r="AK619" s="96"/>
      <c r="AL619" s="96"/>
      <c r="AM619" s="96"/>
      <c r="AN619" s="96"/>
    </row>
    <row r="620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  <c r="AC620" s="96"/>
      <c r="AD620" s="96"/>
      <c r="AE620" s="96"/>
      <c r="AF620" s="96"/>
      <c r="AG620" s="96"/>
      <c r="AH620" s="96"/>
      <c r="AI620" s="96"/>
      <c r="AJ620" s="96"/>
      <c r="AK620" s="96"/>
      <c r="AL620" s="96"/>
      <c r="AM620" s="96"/>
      <c r="AN620" s="96"/>
    </row>
    <row r="62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  <c r="AC621" s="96"/>
      <c r="AD621" s="96"/>
      <c r="AE621" s="96"/>
      <c r="AF621" s="96"/>
      <c r="AG621" s="96"/>
      <c r="AH621" s="96"/>
      <c r="AI621" s="96"/>
      <c r="AJ621" s="96"/>
      <c r="AK621" s="96"/>
      <c r="AL621" s="96"/>
      <c r="AM621" s="96"/>
      <c r="AN621" s="96"/>
    </row>
    <row r="622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  <c r="AC622" s="96"/>
      <c r="AD622" s="96"/>
      <c r="AE622" s="96"/>
      <c r="AF622" s="96"/>
      <c r="AG622" s="96"/>
      <c r="AH622" s="96"/>
      <c r="AI622" s="96"/>
      <c r="AJ622" s="96"/>
      <c r="AK622" s="96"/>
      <c r="AL622" s="96"/>
      <c r="AM622" s="96"/>
      <c r="AN622" s="96"/>
    </row>
    <row r="623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  <c r="AC623" s="96"/>
      <c r="AD623" s="96"/>
      <c r="AE623" s="96"/>
      <c r="AF623" s="96"/>
      <c r="AG623" s="96"/>
      <c r="AH623" s="96"/>
      <c r="AI623" s="96"/>
      <c r="AJ623" s="96"/>
      <c r="AK623" s="96"/>
      <c r="AL623" s="96"/>
      <c r="AM623" s="96"/>
      <c r="AN623" s="96"/>
    </row>
    <row r="624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  <c r="AC624" s="96"/>
      <c r="AD624" s="96"/>
      <c r="AE624" s="96"/>
      <c r="AF624" s="96"/>
      <c r="AG624" s="96"/>
      <c r="AH624" s="96"/>
      <c r="AI624" s="96"/>
      <c r="AJ624" s="96"/>
      <c r="AK624" s="96"/>
      <c r="AL624" s="96"/>
      <c r="AM624" s="96"/>
      <c r="AN624" s="96"/>
    </row>
    <row r="62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  <c r="AC625" s="96"/>
      <c r="AD625" s="96"/>
      <c r="AE625" s="96"/>
      <c r="AF625" s="96"/>
      <c r="AG625" s="96"/>
      <c r="AH625" s="96"/>
      <c r="AI625" s="96"/>
      <c r="AJ625" s="96"/>
      <c r="AK625" s="96"/>
      <c r="AL625" s="96"/>
      <c r="AM625" s="96"/>
      <c r="AN625" s="96"/>
    </row>
    <row r="626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6"/>
      <c r="AD626" s="96"/>
      <c r="AE626" s="96"/>
      <c r="AF626" s="96"/>
      <c r="AG626" s="96"/>
      <c r="AH626" s="96"/>
      <c r="AI626" s="96"/>
      <c r="AJ626" s="96"/>
      <c r="AK626" s="96"/>
      <c r="AL626" s="96"/>
      <c r="AM626" s="96"/>
      <c r="AN626" s="96"/>
    </row>
    <row r="627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  <c r="AC627" s="96"/>
      <c r="AD627" s="96"/>
      <c r="AE627" s="96"/>
      <c r="AF627" s="96"/>
      <c r="AG627" s="96"/>
      <c r="AH627" s="96"/>
      <c r="AI627" s="96"/>
      <c r="AJ627" s="96"/>
      <c r="AK627" s="96"/>
      <c r="AL627" s="96"/>
      <c r="AM627" s="96"/>
      <c r="AN627" s="96"/>
    </row>
    <row r="628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  <c r="AC628" s="96"/>
      <c r="AD628" s="96"/>
      <c r="AE628" s="96"/>
      <c r="AF628" s="96"/>
      <c r="AG628" s="96"/>
      <c r="AH628" s="96"/>
      <c r="AI628" s="96"/>
      <c r="AJ628" s="96"/>
      <c r="AK628" s="96"/>
      <c r="AL628" s="96"/>
      <c r="AM628" s="96"/>
      <c r="AN628" s="96"/>
    </row>
    <row r="629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  <c r="AC629" s="96"/>
      <c r="AD629" s="96"/>
      <c r="AE629" s="96"/>
      <c r="AF629" s="96"/>
      <c r="AG629" s="96"/>
      <c r="AH629" s="96"/>
      <c r="AI629" s="96"/>
      <c r="AJ629" s="96"/>
      <c r="AK629" s="96"/>
      <c r="AL629" s="96"/>
      <c r="AM629" s="96"/>
      <c r="AN629" s="96"/>
    </row>
    <row r="630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  <c r="AC630" s="96"/>
      <c r="AD630" s="96"/>
      <c r="AE630" s="96"/>
      <c r="AF630" s="96"/>
      <c r="AG630" s="96"/>
      <c r="AH630" s="96"/>
      <c r="AI630" s="96"/>
      <c r="AJ630" s="96"/>
      <c r="AK630" s="96"/>
      <c r="AL630" s="96"/>
      <c r="AM630" s="96"/>
      <c r="AN630" s="96"/>
    </row>
    <row r="63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  <c r="AC631" s="96"/>
      <c r="AD631" s="96"/>
      <c r="AE631" s="96"/>
      <c r="AF631" s="96"/>
      <c r="AG631" s="96"/>
      <c r="AH631" s="96"/>
      <c r="AI631" s="96"/>
      <c r="AJ631" s="96"/>
      <c r="AK631" s="96"/>
      <c r="AL631" s="96"/>
      <c r="AM631" s="96"/>
      <c r="AN631" s="96"/>
    </row>
    <row r="632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  <c r="AC632" s="96"/>
      <c r="AD632" s="96"/>
      <c r="AE632" s="96"/>
      <c r="AF632" s="96"/>
      <c r="AG632" s="96"/>
      <c r="AH632" s="96"/>
      <c r="AI632" s="96"/>
      <c r="AJ632" s="96"/>
      <c r="AK632" s="96"/>
      <c r="AL632" s="96"/>
      <c r="AM632" s="96"/>
      <c r="AN632" s="96"/>
    </row>
    <row r="633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  <c r="AC633" s="96"/>
      <c r="AD633" s="96"/>
      <c r="AE633" s="96"/>
      <c r="AF633" s="96"/>
      <c r="AG633" s="96"/>
      <c r="AH633" s="96"/>
      <c r="AI633" s="96"/>
      <c r="AJ633" s="96"/>
      <c r="AK633" s="96"/>
      <c r="AL633" s="96"/>
      <c r="AM633" s="96"/>
      <c r="AN633" s="96"/>
    </row>
    <row r="634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  <c r="AC634" s="96"/>
      <c r="AD634" s="96"/>
      <c r="AE634" s="96"/>
      <c r="AF634" s="96"/>
      <c r="AG634" s="96"/>
      <c r="AH634" s="96"/>
      <c r="AI634" s="96"/>
      <c r="AJ634" s="96"/>
      <c r="AK634" s="96"/>
      <c r="AL634" s="96"/>
      <c r="AM634" s="96"/>
      <c r="AN634" s="96"/>
    </row>
    <row r="63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  <c r="AC635" s="96"/>
      <c r="AD635" s="96"/>
      <c r="AE635" s="96"/>
      <c r="AF635" s="96"/>
      <c r="AG635" s="96"/>
      <c r="AH635" s="96"/>
      <c r="AI635" s="96"/>
      <c r="AJ635" s="96"/>
      <c r="AK635" s="96"/>
      <c r="AL635" s="96"/>
      <c r="AM635" s="96"/>
      <c r="AN635" s="96"/>
    </row>
    <row r="636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  <c r="AC636" s="96"/>
      <c r="AD636" s="96"/>
      <c r="AE636" s="96"/>
      <c r="AF636" s="96"/>
      <c r="AG636" s="96"/>
      <c r="AH636" s="96"/>
      <c r="AI636" s="96"/>
      <c r="AJ636" s="96"/>
      <c r="AK636" s="96"/>
      <c r="AL636" s="96"/>
      <c r="AM636" s="96"/>
      <c r="AN636" s="96"/>
    </row>
    <row r="637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  <c r="AC637" s="96"/>
      <c r="AD637" s="96"/>
      <c r="AE637" s="96"/>
      <c r="AF637" s="96"/>
      <c r="AG637" s="96"/>
      <c r="AH637" s="96"/>
      <c r="AI637" s="96"/>
      <c r="AJ637" s="96"/>
      <c r="AK637" s="96"/>
      <c r="AL637" s="96"/>
      <c r="AM637" s="96"/>
      <c r="AN637" s="96"/>
    </row>
    <row r="638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  <c r="AC638" s="96"/>
      <c r="AD638" s="96"/>
      <c r="AE638" s="96"/>
      <c r="AF638" s="96"/>
      <c r="AG638" s="96"/>
      <c r="AH638" s="96"/>
      <c r="AI638" s="96"/>
      <c r="AJ638" s="96"/>
      <c r="AK638" s="96"/>
      <c r="AL638" s="96"/>
      <c r="AM638" s="96"/>
      <c r="AN638" s="96"/>
    </row>
    <row r="639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  <c r="AC639" s="96"/>
      <c r="AD639" s="96"/>
      <c r="AE639" s="96"/>
      <c r="AF639" s="96"/>
      <c r="AG639" s="96"/>
      <c r="AH639" s="96"/>
      <c r="AI639" s="96"/>
      <c r="AJ639" s="96"/>
      <c r="AK639" s="96"/>
      <c r="AL639" s="96"/>
      <c r="AM639" s="96"/>
      <c r="AN639" s="96"/>
    </row>
    <row r="640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  <c r="AC640" s="96"/>
      <c r="AD640" s="96"/>
      <c r="AE640" s="96"/>
      <c r="AF640" s="96"/>
      <c r="AG640" s="96"/>
      <c r="AH640" s="96"/>
      <c r="AI640" s="96"/>
      <c r="AJ640" s="96"/>
      <c r="AK640" s="96"/>
      <c r="AL640" s="96"/>
      <c r="AM640" s="96"/>
      <c r="AN640" s="96"/>
    </row>
    <row r="64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  <c r="AC641" s="96"/>
      <c r="AD641" s="96"/>
      <c r="AE641" s="96"/>
      <c r="AF641" s="96"/>
      <c r="AG641" s="96"/>
      <c r="AH641" s="96"/>
      <c r="AI641" s="96"/>
      <c r="AJ641" s="96"/>
      <c r="AK641" s="96"/>
      <c r="AL641" s="96"/>
      <c r="AM641" s="96"/>
      <c r="AN641" s="96"/>
    </row>
    <row r="642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  <c r="AC642" s="96"/>
      <c r="AD642" s="96"/>
      <c r="AE642" s="96"/>
      <c r="AF642" s="96"/>
      <c r="AG642" s="96"/>
      <c r="AH642" s="96"/>
      <c r="AI642" s="96"/>
      <c r="AJ642" s="96"/>
      <c r="AK642" s="96"/>
      <c r="AL642" s="96"/>
      <c r="AM642" s="96"/>
      <c r="AN642" s="96"/>
    </row>
    <row r="643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  <c r="AC643" s="96"/>
      <c r="AD643" s="96"/>
      <c r="AE643" s="96"/>
      <c r="AF643" s="96"/>
      <c r="AG643" s="96"/>
      <c r="AH643" s="96"/>
      <c r="AI643" s="96"/>
      <c r="AJ643" s="96"/>
      <c r="AK643" s="96"/>
      <c r="AL643" s="96"/>
      <c r="AM643" s="96"/>
      <c r="AN643" s="96"/>
    </row>
    <row r="644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  <c r="AC644" s="96"/>
      <c r="AD644" s="96"/>
      <c r="AE644" s="96"/>
      <c r="AF644" s="96"/>
      <c r="AG644" s="96"/>
      <c r="AH644" s="96"/>
      <c r="AI644" s="96"/>
      <c r="AJ644" s="96"/>
      <c r="AK644" s="96"/>
      <c r="AL644" s="96"/>
      <c r="AM644" s="96"/>
      <c r="AN644" s="96"/>
    </row>
    <row r="64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  <c r="AC645" s="96"/>
      <c r="AD645" s="96"/>
      <c r="AE645" s="96"/>
      <c r="AF645" s="96"/>
      <c r="AG645" s="96"/>
      <c r="AH645" s="96"/>
      <c r="AI645" s="96"/>
      <c r="AJ645" s="96"/>
      <c r="AK645" s="96"/>
      <c r="AL645" s="96"/>
      <c r="AM645" s="96"/>
      <c r="AN645" s="96"/>
    </row>
    <row r="646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  <c r="AC646" s="96"/>
      <c r="AD646" s="96"/>
      <c r="AE646" s="96"/>
      <c r="AF646" s="96"/>
      <c r="AG646" s="96"/>
      <c r="AH646" s="96"/>
      <c r="AI646" s="96"/>
      <c r="AJ646" s="96"/>
      <c r="AK646" s="96"/>
      <c r="AL646" s="96"/>
      <c r="AM646" s="96"/>
      <c r="AN646" s="96"/>
    </row>
    <row r="647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  <c r="AC647" s="96"/>
      <c r="AD647" s="96"/>
      <c r="AE647" s="96"/>
      <c r="AF647" s="96"/>
      <c r="AG647" s="96"/>
      <c r="AH647" s="96"/>
      <c r="AI647" s="96"/>
      <c r="AJ647" s="96"/>
      <c r="AK647" s="96"/>
      <c r="AL647" s="96"/>
      <c r="AM647" s="96"/>
      <c r="AN647" s="96"/>
    </row>
    <row r="648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  <c r="AC648" s="96"/>
      <c r="AD648" s="96"/>
      <c r="AE648" s="96"/>
      <c r="AF648" s="96"/>
      <c r="AG648" s="96"/>
      <c r="AH648" s="96"/>
      <c r="AI648" s="96"/>
      <c r="AJ648" s="96"/>
      <c r="AK648" s="96"/>
      <c r="AL648" s="96"/>
      <c r="AM648" s="96"/>
      <c r="AN648" s="96"/>
    </row>
    <row r="649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  <c r="AC649" s="96"/>
      <c r="AD649" s="96"/>
      <c r="AE649" s="96"/>
      <c r="AF649" s="96"/>
      <c r="AG649" s="96"/>
      <c r="AH649" s="96"/>
      <c r="AI649" s="96"/>
      <c r="AJ649" s="96"/>
      <c r="AK649" s="96"/>
      <c r="AL649" s="96"/>
      <c r="AM649" s="96"/>
      <c r="AN649" s="96"/>
    </row>
    <row r="650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  <c r="AC650" s="96"/>
      <c r="AD650" s="96"/>
      <c r="AE650" s="96"/>
      <c r="AF650" s="96"/>
      <c r="AG650" s="96"/>
      <c r="AH650" s="96"/>
      <c r="AI650" s="96"/>
      <c r="AJ650" s="96"/>
      <c r="AK650" s="96"/>
      <c r="AL650" s="96"/>
      <c r="AM650" s="96"/>
      <c r="AN650" s="96"/>
    </row>
    <row r="65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  <c r="AC651" s="96"/>
      <c r="AD651" s="96"/>
      <c r="AE651" s="96"/>
      <c r="AF651" s="96"/>
      <c r="AG651" s="96"/>
      <c r="AH651" s="96"/>
      <c r="AI651" s="96"/>
      <c r="AJ651" s="96"/>
      <c r="AK651" s="96"/>
      <c r="AL651" s="96"/>
      <c r="AM651" s="96"/>
      <c r="AN651" s="96"/>
    </row>
    <row r="652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  <c r="AC652" s="96"/>
      <c r="AD652" s="96"/>
      <c r="AE652" s="96"/>
      <c r="AF652" s="96"/>
      <c r="AG652" s="96"/>
      <c r="AH652" s="96"/>
      <c r="AI652" s="96"/>
      <c r="AJ652" s="96"/>
      <c r="AK652" s="96"/>
      <c r="AL652" s="96"/>
      <c r="AM652" s="96"/>
      <c r="AN652" s="96"/>
    </row>
    <row r="653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  <c r="AC653" s="96"/>
      <c r="AD653" s="96"/>
      <c r="AE653" s="96"/>
      <c r="AF653" s="96"/>
      <c r="AG653" s="96"/>
      <c r="AH653" s="96"/>
      <c r="AI653" s="96"/>
      <c r="AJ653" s="96"/>
      <c r="AK653" s="96"/>
      <c r="AL653" s="96"/>
      <c r="AM653" s="96"/>
      <c r="AN653" s="96"/>
    </row>
    <row r="654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  <c r="AC654" s="96"/>
      <c r="AD654" s="96"/>
      <c r="AE654" s="96"/>
      <c r="AF654" s="96"/>
      <c r="AG654" s="96"/>
      <c r="AH654" s="96"/>
      <c r="AI654" s="96"/>
      <c r="AJ654" s="96"/>
      <c r="AK654" s="96"/>
      <c r="AL654" s="96"/>
      <c r="AM654" s="96"/>
      <c r="AN654" s="96"/>
    </row>
    <row r="65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  <c r="AC655" s="96"/>
      <c r="AD655" s="96"/>
      <c r="AE655" s="96"/>
      <c r="AF655" s="96"/>
      <c r="AG655" s="96"/>
      <c r="AH655" s="96"/>
      <c r="AI655" s="96"/>
      <c r="AJ655" s="96"/>
      <c r="AK655" s="96"/>
      <c r="AL655" s="96"/>
      <c r="AM655" s="96"/>
      <c r="AN655" s="96"/>
    </row>
    <row r="656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  <c r="AC656" s="96"/>
      <c r="AD656" s="96"/>
      <c r="AE656" s="96"/>
      <c r="AF656" s="96"/>
      <c r="AG656" s="96"/>
      <c r="AH656" s="96"/>
      <c r="AI656" s="96"/>
      <c r="AJ656" s="96"/>
      <c r="AK656" s="96"/>
      <c r="AL656" s="96"/>
      <c r="AM656" s="96"/>
      <c r="AN656" s="96"/>
    </row>
    <row r="657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  <c r="AC657" s="96"/>
      <c r="AD657" s="96"/>
      <c r="AE657" s="96"/>
      <c r="AF657" s="96"/>
      <c r="AG657" s="96"/>
      <c r="AH657" s="96"/>
      <c r="AI657" s="96"/>
      <c r="AJ657" s="96"/>
      <c r="AK657" s="96"/>
      <c r="AL657" s="96"/>
      <c r="AM657" s="96"/>
      <c r="AN657" s="96"/>
    </row>
    <row r="658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  <c r="AC658" s="96"/>
      <c r="AD658" s="96"/>
      <c r="AE658" s="96"/>
      <c r="AF658" s="96"/>
      <c r="AG658" s="96"/>
      <c r="AH658" s="96"/>
      <c r="AI658" s="96"/>
      <c r="AJ658" s="96"/>
      <c r="AK658" s="96"/>
      <c r="AL658" s="96"/>
      <c r="AM658" s="96"/>
      <c r="AN658" s="96"/>
    </row>
    <row r="659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  <c r="AC659" s="96"/>
      <c r="AD659" s="96"/>
      <c r="AE659" s="96"/>
      <c r="AF659" s="96"/>
      <c r="AG659" s="96"/>
      <c r="AH659" s="96"/>
      <c r="AI659" s="96"/>
      <c r="AJ659" s="96"/>
      <c r="AK659" s="96"/>
      <c r="AL659" s="96"/>
      <c r="AM659" s="96"/>
      <c r="AN659" s="96"/>
    </row>
    <row r="660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  <c r="AC660" s="96"/>
      <c r="AD660" s="96"/>
      <c r="AE660" s="96"/>
      <c r="AF660" s="96"/>
      <c r="AG660" s="96"/>
      <c r="AH660" s="96"/>
      <c r="AI660" s="96"/>
      <c r="AJ660" s="96"/>
      <c r="AK660" s="96"/>
      <c r="AL660" s="96"/>
      <c r="AM660" s="96"/>
      <c r="AN660" s="96"/>
    </row>
    <row r="66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  <c r="AC661" s="96"/>
      <c r="AD661" s="96"/>
      <c r="AE661" s="96"/>
      <c r="AF661" s="96"/>
      <c r="AG661" s="96"/>
      <c r="AH661" s="96"/>
      <c r="AI661" s="96"/>
      <c r="AJ661" s="96"/>
      <c r="AK661" s="96"/>
      <c r="AL661" s="96"/>
      <c r="AM661" s="96"/>
      <c r="AN661" s="96"/>
    </row>
    <row r="662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  <c r="AC662" s="96"/>
      <c r="AD662" s="96"/>
      <c r="AE662" s="96"/>
      <c r="AF662" s="96"/>
      <c r="AG662" s="96"/>
      <c r="AH662" s="96"/>
      <c r="AI662" s="96"/>
      <c r="AJ662" s="96"/>
      <c r="AK662" s="96"/>
      <c r="AL662" s="96"/>
      <c r="AM662" s="96"/>
      <c r="AN662" s="96"/>
    </row>
    <row r="663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  <c r="AC663" s="96"/>
      <c r="AD663" s="96"/>
      <c r="AE663" s="96"/>
      <c r="AF663" s="96"/>
      <c r="AG663" s="96"/>
      <c r="AH663" s="96"/>
      <c r="AI663" s="96"/>
      <c r="AJ663" s="96"/>
      <c r="AK663" s="96"/>
      <c r="AL663" s="96"/>
      <c r="AM663" s="96"/>
      <c r="AN663" s="96"/>
    </row>
    <row r="664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  <c r="AC664" s="96"/>
      <c r="AD664" s="96"/>
      <c r="AE664" s="96"/>
      <c r="AF664" s="96"/>
      <c r="AG664" s="96"/>
      <c r="AH664" s="96"/>
      <c r="AI664" s="96"/>
      <c r="AJ664" s="96"/>
      <c r="AK664" s="96"/>
      <c r="AL664" s="96"/>
      <c r="AM664" s="96"/>
      <c r="AN664" s="96"/>
    </row>
    <row r="66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  <c r="AC665" s="96"/>
      <c r="AD665" s="96"/>
      <c r="AE665" s="96"/>
      <c r="AF665" s="96"/>
      <c r="AG665" s="96"/>
      <c r="AH665" s="96"/>
      <c r="AI665" s="96"/>
      <c r="AJ665" s="96"/>
      <c r="AK665" s="96"/>
      <c r="AL665" s="96"/>
      <c r="AM665" s="96"/>
      <c r="AN665" s="96"/>
    </row>
    <row r="666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  <c r="AC666" s="96"/>
      <c r="AD666" s="96"/>
      <c r="AE666" s="96"/>
      <c r="AF666" s="96"/>
      <c r="AG666" s="96"/>
      <c r="AH666" s="96"/>
      <c r="AI666" s="96"/>
      <c r="AJ666" s="96"/>
      <c r="AK666" s="96"/>
      <c r="AL666" s="96"/>
      <c r="AM666" s="96"/>
      <c r="AN666" s="96"/>
    </row>
    <row r="667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  <c r="AC667" s="96"/>
      <c r="AD667" s="96"/>
      <c r="AE667" s="96"/>
      <c r="AF667" s="96"/>
      <c r="AG667" s="96"/>
      <c r="AH667" s="96"/>
      <c r="AI667" s="96"/>
      <c r="AJ667" s="96"/>
      <c r="AK667" s="96"/>
      <c r="AL667" s="96"/>
      <c r="AM667" s="96"/>
      <c r="AN667" s="96"/>
    </row>
    <row r="668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  <c r="AC668" s="96"/>
      <c r="AD668" s="96"/>
      <c r="AE668" s="96"/>
      <c r="AF668" s="96"/>
      <c r="AG668" s="96"/>
      <c r="AH668" s="96"/>
      <c r="AI668" s="96"/>
      <c r="AJ668" s="96"/>
      <c r="AK668" s="96"/>
      <c r="AL668" s="96"/>
      <c r="AM668" s="96"/>
      <c r="AN668" s="96"/>
    </row>
    <row r="669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  <c r="AC669" s="96"/>
      <c r="AD669" s="96"/>
      <c r="AE669" s="96"/>
      <c r="AF669" s="96"/>
      <c r="AG669" s="96"/>
      <c r="AH669" s="96"/>
      <c r="AI669" s="96"/>
      <c r="AJ669" s="96"/>
      <c r="AK669" s="96"/>
      <c r="AL669" s="96"/>
      <c r="AM669" s="96"/>
      <c r="AN669" s="96"/>
    </row>
    <row r="670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  <c r="AC670" s="96"/>
      <c r="AD670" s="96"/>
      <c r="AE670" s="96"/>
      <c r="AF670" s="96"/>
      <c r="AG670" s="96"/>
      <c r="AH670" s="96"/>
      <c r="AI670" s="96"/>
      <c r="AJ670" s="96"/>
      <c r="AK670" s="96"/>
      <c r="AL670" s="96"/>
      <c r="AM670" s="96"/>
      <c r="AN670" s="96"/>
    </row>
    <row r="67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  <c r="AC671" s="96"/>
      <c r="AD671" s="96"/>
      <c r="AE671" s="96"/>
      <c r="AF671" s="96"/>
      <c r="AG671" s="96"/>
      <c r="AH671" s="96"/>
      <c r="AI671" s="96"/>
      <c r="AJ671" s="96"/>
      <c r="AK671" s="96"/>
      <c r="AL671" s="96"/>
      <c r="AM671" s="96"/>
      <c r="AN671" s="96"/>
    </row>
    <row r="672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  <c r="AC672" s="96"/>
      <c r="AD672" s="96"/>
      <c r="AE672" s="96"/>
      <c r="AF672" s="96"/>
      <c r="AG672" s="96"/>
      <c r="AH672" s="96"/>
      <c r="AI672" s="96"/>
      <c r="AJ672" s="96"/>
      <c r="AK672" s="96"/>
      <c r="AL672" s="96"/>
      <c r="AM672" s="96"/>
      <c r="AN672" s="96"/>
    </row>
    <row r="673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  <c r="AC673" s="96"/>
      <c r="AD673" s="96"/>
      <c r="AE673" s="96"/>
      <c r="AF673" s="96"/>
      <c r="AG673" s="96"/>
      <c r="AH673" s="96"/>
      <c r="AI673" s="96"/>
      <c r="AJ673" s="96"/>
      <c r="AK673" s="96"/>
      <c r="AL673" s="96"/>
      <c r="AM673" s="96"/>
      <c r="AN673" s="96"/>
    </row>
    <row r="674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  <c r="AC674" s="96"/>
      <c r="AD674" s="96"/>
      <c r="AE674" s="96"/>
      <c r="AF674" s="96"/>
      <c r="AG674" s="96"/>
      <c r="AH674" s="96"/>
      <c r="AI674" s="96"/>
      <c r="AJ674" s="96"/>
      <c r="AK674" s="96"/>
      <c r="AL674" s="96"/>
      <c r="AM674" s="96"/>
      <c r="AN674" s="96"/>
    </row>
    <row r="67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  <c r="AC675" s="96"/>
      <c r="AD675" s="96"/>
      <c r="AE675" s="96"/>
      <c r="AF675" s="96"/>
      <c r="AG675" s="96"/>
      <c r="AH675" s="96"/>
      <c r="AI675" s="96"/>
      <c r="AJ675" s="96"/>
      <c r="AK675" s="96"/>
      <c r="AL675" s="96"/>
      <c r="AM675" s="96"/>
      <c r="AN675" s="96"/>
    </row>
    <row r="676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  <c r="AC676" s="96"/>
      <c r="AD676" s="96"/>
      <c r="AE676" s="96"/>
      <c r="AF676" s="96"/>
      <c r="AG676" s="96"/>
      <c r="AH676" s="96"/>
      <c r="AI676" s="96"/>
      <c r="AJ676" s="96"/>
      <c r="AK676" s="96"/>
      <c r="AL676" s="96"/>
      <c r="AM676" s="96"/>
      <c r="AN676" s="96"/>
    </row>
    <row r="677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  <c r="AC677" s="96"/>
      <c r="AD677" s="96"/>
      <c r="AE677" s="96"/>
      <c r="AF677" s="96"/>
      <c r="AG677" s="96"/>
      <c r="AH677" s="96"/>
      <c r="AI677" s="96"/>
      <c r="AJ677" s="96"/>
      <c r="AK677" s="96"/>
      <c r="AL677" s="96"/>
      <c r="AM677" s="96"/>
      <c r="AN677" s="96"/>
    </row>
    <row r="678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  <c r="AC678" s="96"/>
      <c r="AD678" s="96"/>
      <c r="AE678" s="96"/>
      <c r="AF678" s="96"/>
      <c r="AG678" s="96"/>
      <c r="AH678" s="96"/>
      <c r="AI678" s="96"/>
      <c r="AJ678" s="96"/>
      <c r="AK678" s="96"/>
      <c r="AL678" s="96"/>
      <c r="AM678" s="96"/>
      <c r="AN678" s="96"/>
    </row>
    <row r="679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  <c r="AC679" s="96"/>
      <c r="AD679" s="96"/>
      <c r="AE679" s="96"/>
      <c r="AF679" s="96"/>
      <c r="AG679" s="96"/>
      <c r="AH679" s="96"/>
      <c r="AI679" s="96"/>
      <c r="AJ679" s="96"/>
      <c r="AK679" s="96"/>
      <c r="AL679" s="96"/>
      <c r="AM679" s="96"/>
      <c r="AN679" s="96"/>
    </row>
    <row r="680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  <c r="AC680" s="96"/>
      <c r="AD680" s="96"/>
      <c r="AE680" s="96"/>
      <c r="AF680" s="96"/>
      <c r="AG680" s="96"/>
      <c r="AH680" s="96"/>
      <c r="AI680" s="96"/>
      <c r="AJ680" s="96"/>
      <c r="AK680" s="96"/>
      <c r="AL680" s="96"/>
      <c r="AM680" s="96"/>
      <c r="AN680" s="96"/>
    </row>
    <row r="68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  <c r="AC681" s="96"/>
      <c r="AD681" s="96"/>
      <c r="AE681" s="96"/>
      <c r="AF681" s="96"/>
      <c r="AG681" s="96"/>
      <c r="AH681" s="96"/>
      <c r="AI681" s="96"/>
      <c r="AJ681" s="96"/>
      <c r="AK681" s="96"/>
      <c r="AL681" s="96"/>
      <c r="AM681" s="96"/>
      <c r="AN681" s="96"/>
    </row>
    <row r="682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  <c r="AC682" s="96"/>
      <c r="AD682" s="96"/>
      <c r="AE682" s="96"/>
      <c r="AF682" s="96"/>
      <c r="AG682" s="96"/>
      <c r="AH682" s="96"/>
      <c r="AI682" s="96"/>
      <c r="AJ682" s="96"/>
      <c r="AK682" s="96"/>
      <c r="AL682" s="96"/>
      <c r="AM682" s="96"/>
      <c r="AN682" s="96"/>
    </row>
    <row r="683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  <c r="AC683" s="96"/>
      <c r="AD683" s="96"/>
      <c r="AE683" s="96"/>
      <c r="AF683" s="96"/>
      <c r="AG683" s="96"/>
      <c r="AH683" s="96"/>
      <c r="AI683" s="96"/>
      <c r="AJ683" s="96"/>
      <c r="AK683" s="96"/>
      <c r="AL683" s="96"/>
      <c r="AM683" s="96"/>
      <c r="AN683" s="96"/>
    </row>
    <row r="684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  <c r="AD684" s="96"/>
      <c r="AE684" s="96"/>
      <c r="AF684" s="96"/>
      <c r="AG684" s="96"/>
      <c r="AH684" s="96"/>
      <c r="AI684" s="96"/>
      <c r="AJ684" s="96"/>
      <c r="AK684" s="96"/>
      <c r="AL684" s="96"/>
      <c r="AM684" s="96"/>
      <c r="AN684" s="96"/>
    </row>
    <row r="68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  <c r="AD685" s="96"/>
      <c r="AE685" s="96"/>
      <c r="AF685" s="96"/>
      <c r="AG685" s="96"/>
      <c r="AH685" s="96"/>
      <c r="AI685" s="96"/>
      <c r="AJ685" s="96"/>
      <c r="AK685" s="96"/>
      <c r="AL685" s="96"/>
      <c r="AM685" s="96"/>
      <c r="AN685" s="96"/>
    </row>
    <row r="686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  <c r="AC686" s="96"/>
      <c r="AD686" s="96"/>
      <c r="AE686" s="96"/>
      <c r="AF686" s="96"/>
      <c r="AG686" s="96"/>
      <c r="AH686" s="96"/>
      <c r="AI686" s="96"/>
      <c r="AJ686" s="96"/>
      <c r="AK686" s="96"/>
      <c r="AL686" s="96"/>
      <c r="AM686" s="96"/>
      <c r="AN686" s="96"/>
    </row>
    <row r="687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  <c r="AC687" s="96"/>
      <c r="AD687" s="96"/>
      <c r="AE687" s="96"/>
      <c r="AF687" s="96"/>
      <c r="AG687" s="96"/>
      <c r="AH687" s="96"/>
      <c r="AI687" s="96"/>
      <c r="AJ687" s="96"/>
      <c r="AK687" s="96"/>
      <c r="AL687" s="96"/>
      <c r="AM687" s="96"/>
      <c r="AN687" s="96"/>
    </row>
    <row r="688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  <c r="AD688" s="96"/>
      <c r="AE688" s="96"/>
      <c r="AF688" s="96"/>
      <c r="AG688" s="96"/>
      <c r="AH688" s="96"/>
      <c r="AI688" s="96"/>
      <c r="AJ688" s="96"/>
      <c r="AK688" s="96"/>
      <c r="AL688" s="96"/>
      <c r="AM688" s="96"/>
      <c r="AN688" s="96"/>
    </row>
    <row r="689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  <c r="AC689" s="96"/>
      <c r="AD689" s="96"/>
      <c r="AE689" s="96"/>
      <c r="AF689" s="96"/>
      <c r="AG689" s="96"/>
      <c r="AH689" s="96"/>
      <c r="AI689" s="96"/>
      <c r="AJ689" s="96"/>
      <c r="AK689" s="96"/>
      <c r="AL689" s="96"/>
      <c r="AM689" s="96"/>
      <c r="AN689" s="96"/>
    </row>
    <row r="690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  <c r="AC690" s="96"/>
      <c r="AD690" s="96"/>
      <c r="AE690" s="96"/>
      <c r="AF690" s="96"/>
      <c r="AG690" s="96"/>
      <c r="AH690" s="96"/>
      <c r="AI690" s="96"/>
      <c r="AJ690" s="96"/>
      <c r="AK690" s="96"/>
      <c r="AL690" s="96"/>
      <c r="AM690" s="96"/>
      <c r="AN690" s="96"/>
    </row>
    <row r="69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  <c r="AC691" s="96"/>
      <c r="AD691" s="96"/>
      <c r="AE691" s="96"/>
      <c r="AF691" s="96"/>
      <c r="AG691" s="96"/>
      <c r="AH691" s="96"/>
      <c r="AI691" s="96"/>
      <c r="AJ691" s="96"/>
      <c r="AK691" s="96"/>
      <c r="AL691" s="96"/>
      <c r="AM691" s="96"/>
      <c r="AN691" s="96"/>
    </row>
    <row r="692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  <c r="AD692" s="96"/>
      <c r="AE692" s="96"/>
      <c r="AF692" s="96"/>
      <c r="AG692" s="96"/>
      <c r="AH692" s="96"/>
      <c r="AI692" s="96"/>
      <c r="AJ692" s="96"/>
      <c r="AK692" s="96"/>
      <c r="AL692" s="96"/>
      <c r="AM692" s="96"/>
      <c r="AN692" s="96"/>
    </row>
    <row r="693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  <c r="AC693" s="96"/>
      <c r="AD693" s="96"/>
      <c r="AE693" s="96"/>
      <c r="AF693" s="96"/>
      <c r="AG693" s="96"/>
      <c r="AH693" s="96"/>
      <c r="AI693" s="96"/>
      <c r="AJ693" s="96"/>
      <c r="AK693" s="96"/>
      <c r="AL693" s="96"/>
      <c r="AM693" s="96"/>
      <c r="AN693" s="96"/>
    </row>
    <row r="694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  <c r="AC694" s="96"/>
      <c r="AD694" s="96"/>
      <c r="AE694" s="96"/>
      <c r="AF694" s="96"/>
      <c r="AG694" s="96"/>
      <c r="AH694" s="96"/>
      <c r="AI694" s="96"/>
      <c r="AJ694" s="96"/>
      <c r="AK694" s="96"/>
      <c r="AL694" s="96"/>
      <c r="AM694" s="96"/>
      <c r="AN694" s="96"/>
    </row>
    <row r="69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  <c r="AC695" s="96"/>
      <c r="AD695" s="96"/>
      <c r="AE695" s="96"/>
      <c r="AF695" s="96"/>
      <c r="AG695" s="96"/>
      <c r="AH695" s="96"/>
      <c r="AI695" s="96"/>
      <c r="AJ695" s="96"/>
      <c r="AK695" s="96"/>
      <c r="AL695" s="96"/>
      <c r="AM695" s="96"/>
      <c r="AN695" s="96"/>
    </row>
    <row r="696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  <c r="AC696" s="96"/>
      <c r="AD696" s="96"/>
      <c r="AE696" s="96"/>
      <c r="AF696" s="96"/>
      <c r="AG696" s="96"/>
      <c r="AH696" s="96"/>
      <c r="AI696" s="96"/>
      <c r="AJ696" s="96"/>
      <c r="AK696" s="96"/>
      <c r="AL696" s="96"/>
      <c r="AM696" s="96"/>
      <c r="AN696" s="96"/>
    </row>
    <row r="697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  <c r="AC697" s="96"/>
      <c r="AD697" s="96"/>
      <c r="AE697" s="96"/>
      <c r="AF697" s="96"/>
      <c r="AG697" s="96"/>
      <c r="AH697" s="96"/>
      <c r="AI697" s="96"/>
      <c r="AJ697" s="96"/>
      <c r="AK697" s="96"/>
      <c r="AL697" s="96"/>
      <c r="AM697" s="96"/>
      <c r="AN697" s="96"/>
    </row>
    <row r="698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  <c r="AC698" s="96"/>
      <c r="AD698" s="96"/>
      <c r="AE698" s="96"/>
      <c r="AF698" s="96"/>
      <c r="AG698" s="96"/>
      <c r="AH698" s="96"/>
      <c r="AI698" s="96"/>
      <c r="AJ698" s="96"/>
      <c r="AK698" s="96"/>
      <c r="AL698" s="96"/>
      <c r="AM698" s="96"/>
      <c r="AN698" s="96"/>
    </row>
    <row r="699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  <c r="AC699" s="96"/>
      <c r="AD699" s="96"/>
      <c r="AE699" s="96"/>
      <c r="AF699" s="96"/>
      <c r="AG699" s="96"/>
      <c r="AH699" s="96"/>
      <c r="AI699" s="96"/>
      <c r="AJ699" s="96"/>
      <c r="AK699" s="96"/>
      <c r="AL699" s="96"/>
      <c r="AM699" s="96"/>
      <c r="AN699" s="96"/>
    </row>
    <row r="700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  <c r="AC700" s="96"/>
      <c r="AD700" s="96"/>
      <c r="AE700" s="96"/>
      <c r="AF700" s="96"/>
      <c r="AG700" s="96"/>
      <c r="AH700" s="96"/>
      <c r="AI700" s="96"/>
      <c r="AJ700" s="96"/>
      <c r="AK700" s="96"/>
      <c r="AL700" s="96"/>
      <c r="AM700" s="96"/>
      <c r="AN700" s="96"/>
    </row>
    <row r="70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  <c r="AC701" s="96"/>
      <c r="AD701" s="96"/>
      <c r="AE701" s="96"/>
      <c r="AF701" s="96"/>
      <c r="AG701" s="96"/>
      <c r="AH701" s="96"/>
      <c r="AI701" s="96"/>
      <c r="AJ701" s="96"/>
      <c r="AK701" s="96"/>
      <c r="AL701" s="96"/>
      <c r="AM701" s="96"/>
      <c r="AN701" s="96"/>
    </row>
    <row r="702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  <c r="AC702" s="96"/>
      <c r="AD702" s="96"/>
      <c r="AE702" s="96"/>
      <c r="AF702" s="96"/>
      <c r="AG702" s="96"/>
      <c r="AH702" s="96"/>
      <c r="AI702" s="96"/>
      <c r="AJ702" s="96"/>
      <c r="AK702" s="96"/>
      <c r="AL702" s="96"/>
      <c r="AM702" s="96"/>
      <c r="AN702" s="96"/>
    </row>
    <row r="703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  <c r="AC703" s="96"/>
      <c r="AD703" s="96"/>
      <c r="AE703" s="96"/>
      <c r="AF703" s="96"/>
      <c r="AG703" s="96"/>
      <c r="AH703" s="96"/>
      <c r="AI703" s="96"/>
      <c r="AJ703" s="96"/>
      <c r="AK703" s="96"/>
      <c r="AL703" s="96"/>
      <c r="AM703" s="96"/>
      <c r="AN703" s="96"/>
    </row>
    <row r="704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  <c r="AC704" s="96"/>
      <c r="AD704" s="96"/>
      <c r="AE704" s="96"/>
      <c r="AF704" s="96"/>
      <c r="AG704" s="96"/>
      <c r="AH704" s="96"/>
      <c r="AI704" s="96"/>
      <c r="AJ704" s="96"/>
      <c r="AK704" s="96"/>
      <c r="AL704" s="96"/>
      <c r="AM704" s="96"/>
      <c r="AN704" s="96"/>
    </row>
    <row r="70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  <c r="AC705" s="96"/>
      <c r="AD705" s="96"/>
      <c r="AE705" s="96"/>
      <c r="AF705" s="96"/>
      <c r="AG705" s="96"/>
      <c r="AH705" s="96"/>
      <c r="AI705" s="96"/>
      <c r="AJ705" s="96"/>
      <c r="AK705" s="96"/>
      <c r="AL705" s="96"/>
      <c r="AM705" s="96"/>
      <c r="AN705" s="96"/>
    </row>
    <row r="706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  <c r="AC706" s="96"/>
      <c r="AD706" s="96"/>
      <c r="AE706" s="96"/>
      <c r="AF706" s="96"/>
      <c r="AG706" s="96"/>
      <c r="AH706" s="96"/>
      <c r="AI706" s="96"/>
      <c r="AJ706" s="96"/>
      <c r="AK706" s="96"/>
      <c r="AL706" s="96"/>
      <c r="AM706" s="96"/>
      <c r="AN706" s="96"/>
    </row>
    <row r="707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  <c r="AC707" s="96"/>
      <c r="AD707" s="96"/>
      <c r="AE707" s="96"/>
      <c r="AF707" s="96"/>
      <c r="AG707" s="96"/>
      <c r="AH707" s="96"/>
      <c r="AI707" s="96"/>
      <c r="AJ707" s="96"/>
      <c r="AK707" s="96"/>
      <c r="AL707" s="96"/>
      <c r="AM707" s="96"/>
      <c r="AN707" s="96"/>
    </row>
    <row r="708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  <c r="AC708" s="96"/>
      <c r="AD708" s="96"/>
      <c r="AE708" s="96"/>
      <c r="AF708" s="96"/>
      <c r="AG708" s="96"/>
      <c r="AH708" s="96"/>
      <c r="AI708" s="96"/>
      <c r="AJ708" s="96"/>
      <c r="AK708" s="96"/>
      <c r="AL708" s="96"/>
      <c r="AM708" s="96"/>
      <c r="AN708" s="96"/>
    </row>
    <row r="709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  <c r="AC709" s="96"/>
      <c r="AD709" s="96"/>
      <c r="AE709" s="96"/>
      <c r="AF709" s="96"/>
      <c r="AG709" s="96"/>
      <c r="AH709" s="96"/>
      <c r="AI709" s="96"/>
      <c r="AJ709" s="96"/>
      <c r="AK709" s="96"/>
      <c r="AL709" s="96"/>
      <c r="AM709" s="96"/>
      <c r="AN709" s="96"/>
    </row>
    <row r="710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  <c r="AC710" s="96"/>
      <c r="AD710" s="96"/>
      <c r="AE710" s="96"/>
      <c r="AF710" s="96"/>
      <c r="AG710" s="96"/>
      <c r="AH710" s="96"/>
      <c r="AI710" s="96"/>
      <c r="AJ710" s="96"/>
      <c r="AK710" s="96"/>
      <c r="AL710" s="96"/>
      <c r="AM710" s="96"/>
      <c r="AN710" s="96"/>
    </row>
    <row r="71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  <c r="AC711" s="96"/>
      <c r="AD711" s="96"/>
      <c r="AE711" s="96"/>
      <c r="AF711" s="96"/>
      <c r="AG711" s="96"/>
      <c r="AH711" s="96"/>
      <c r="AI711" s="96"/>
      <c r="AJ711" s="96"/>
      <c r="AK711" s="96"/>
      <c r="AL711" s="96"/>
      <c r="AM711" s="96"/>
      <c r="AN711" s="96"/>
    </row>
    <row r="712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  <c r="AC712" s="96"/>
      <c r="AD712" s="96"/>
      <c r="AE712" s="96"/>
      <c r="AF712" s="96"/>
      <c r="AG712" s="96"/>
      <c r="AH712" s="96"/>
      <c r="AI712" s="96"/>
      <c r="AJ712" s="96"/>
      <c r="AK712" s="96"/>
      <c r="AL712" s="96"/>
      <c r="AM712" s="96"/>
      <c r="AN712" s="96"/>
    </row>
    <row r="713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  <c r="AC713" s="96"/>
      <c r="AD713" s="96"/>
      <c r="AE713" s="96"/>
      <c r="AF713" s="96"/>
      <c r="AG713" s="96"/>
      <c r="AH713" s="96"/>
      <c r="AI713" s="96"/>
      <c r="AJ713" s="96"/>
      <c r="AK713" s="96"/>
      <c r="AL713" s="96"/>
      <c r="AM713" s="96"/>
      <c r="AN713" s="96"/>
    </row>
    <row r="714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  <c r="AC714" s="96"/>
      <c r="AD714" s="96"/>
      <c r="AE714" s="96"/>
      <c r="AF714" s="96"/>
      <c r="AG714" s="96"/>
      <c r="AH714" s="96"/>
      <c r="AI714" s="96"/>
      <c r="AJ714" s="96"/>
      <c r="AK714" s="96"/>
      <c r="AL714" s="96"/>
      <c r="AM714" s="96"/>
      <c r="AN714" s="96"/>
    </row>
    <row r="71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  <c r="AC715" s="96"/>
      <c r="AD715" s="96"/>
      <c r="AE715" s="96"/>
      <c r="AF715" s="96"/>
      <c r="AG715" s="96"/>
      <c r="AH715" s="96"/>
      <c r="AI715" s="96"/>
      <c r="AJ715" s="96"/>
      <c r="AK715" s="96"/>
      <c r="AL715" s="96"/>
      <c r="AM715" s="96"/>
      <c r="AN715" s="96"/>
    </row>
    <row r="716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  <c r="AC716" s="96"/>
      <c r="AD716" s="96"/>
      <c r="AE716" s="96"/>
      <c r="AF716" s="96"/>
      <c r="AG716" s="96"/>
      <c r="AH716" s="96"/>
      <c r="AI716" s="96"/>
      <c r="AJ716" s="96"/>
      <c r="AK716" s="96"/>
      <c r="AL716" s="96"/>
      <c r="AM716" s="96"/>
      <c r="AN716" s="96"/>
    </row>
    <row r="717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  <c r="AC717" s="96"/>
      <c r="AD717" s="96"/>
      <c r="AE717" s="96"/>
      <c r="AF717" s="96"/>
      <c r="AG717" s="96"/>
      <c r="AH717" s="96"/>
      <c r="AI717" s="96"/>
      <c r="AJ717" s="96"/>
      <c r="AK717" s="96"/>
      <c r="AL717" s="96"/>
      <c r="AM717" s="96"/>
      <c r="AN717" s="96"/>
    </row>
    <row r="718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  <c r="AC718" s="96"/>
      <c r="AD718" s="96"/>
      <c r="AE718" s="96"/>
      <c r="AF718" s="96"/>
      <c r="AG718" s="96"/>
      <c r="AH718" s="96"/>
      <c r="AI718" s="96"/>
      <c r="AJ718" s="96"/>
      <c r="AK718" s="96"/>
      <c r="AL718" s="96"/>
      <c r="AM718" s="96"/>
      <c r="AN718" s="96"/>
    </row>
    <row r="719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  <c r="AC719" s="96"/>
      <c r="AD719" s="96"/>
      <c r="AE719" s="96"/>
      <c r="AF719" s="96"/>
      <c r="AG719" s="96"/>
      <c r="AH719" s="96"/>
      <c r="AI719" s="96"/>
      <c r="AJ719" s="96"/>
      <c r="AK719" s="96"/>
      <c r="AL719" s="96"/>
      <c r="AM719" s="96"/>
      <c r="AN719" s="96"/>
    </row>
    <row r="720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  <c r="AC720" s="96"/>
      <c r="AD720" s="96"/>
      <c r="AE720" s="96"/>
      <c r="AF720" s="96"/>
      <c r="AG720" s="96"/>
      <c r="AH720" s="96"/>
      <c r="AI720" s="96"/>
      <c r="AJ720" s="96"/>
      <c r="AK720" s="96"/>
      <c r="AL720" s="96"/>
      <c r="AM720" s="96"/>
      <c r="AN720" s="96"/>
    </row>
    <row r="72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  <c r="AC721" s="96"/>
      <c r="AD721" s="96"/>
      <c r="AE721" s="96"/>
      <c r="AF721" s="96"/>
      <c r="AG721" s="96"/>
      <c r="AH721" s="96"/>
      <c r="AI721" s="96"/>
      <c r="AJ721" s="96"/>
      <c r="AK721" s="96"/>
      <c r="AL721" s="96"/>
      <c r="AM721" s="96"/>
      <c r="AN721" s="96"/>
    </row>
    <row r="722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  <c r="AC722" s="96"/>
      <c r="AD722" s="96"/>
      <c r="AE722" s="96"/>
      <c r="AF722" s="96"/>
      <c r="AG722" s="96"/>
      <c r="AH722" s="96"/>
      <c r="AI722" s="96"/>
      <c r="AJ722" s="96"/>
      <c r="AK722" s="96"/>
      <c r="AL722" s="96"/>
      <c r="AM722" s="96"/>
      <c r="AN722" s="96"/>
    </row>
    <row r="723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  <c r="AC723" s="96"/>
      <c r="AD723" s="96"/>
      <c r="AE723" s="96"/>
      <c r="AF723" s="96"/>
      <c r="AG723" s="96"/>
      <c r="AH723" s="96"/>
      <c r="AI723" s="96"/>
      <c r="AJ723" s="96"/>
      <c r="AK723" s="96"/>
      <c r="AL723" s="96"/>
      <c r="AM723" s="96"/>
      <c r="AN723" s="96"/>
    </row>
    <row r="724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  <c r="AC724" s="96"/>
      <c r="AD724" s="96"/>
      <c r="AE724" s="96"/>
      <c r="AF724" s="96"/>
      <c r="AG724" s="96"/>
      <c r="AH724" s="96"/>
      <c r="AI724" s="96"/>
      <c r="AJ724" s="96"/>
      <c r="AK724" s="96"/>
      <c r="AL724" s="96"/>
      <c r="AM724" s="96"/>
      <c r="AN724" s="96"/>
    </row>
    <row r="72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  <c r="AC725" s="96"/>
      <c r="AD725" s="96"/>
      <c r="AE725" s="96"/>
      <c r="AF725" s="96"/>
      <c r="AG725" s="96"/>
      <c r="AH725" s="96"/>
      <c r="AI725" s="96"/>
      <c r="AJ725" s="96"/>
      <c r="AK725" s="96"/>
      <c r="AL725" s="96"/>
      <c r="AM725" s="96"/>
      <c r="AN725" s="96"/>
    </row>
    <row r="726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  <c r="AC726" s="96"/>
      <c r="AD726" s="96"/>
      <c r="AE726" s="96"/>
      <c r="AF726" s="96"/>
      <c r="AG726" s="96"/>
      <c r="AH726" s="96"/>
      <c r="AI726" s="96"/>
      <c r="AJ726" s="96"/>
      <c r="AK726" s="96"/>
      <c r="AL726" s="96"/>
      <c r="AM726" s="96"/>
      <c r="AN726" s="96"/>
    </row>
    <row r="727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  <c r="AC727" s="96"/>
      <c r="AD727" s="96"/>
      <c r="AE727" s="96"/>
      <c r="AF727" s="96"/>
      <c r="AG727" s="96"/>
      <c r="AH727" s="96"/>
      <c r="AI727" s="96"/>
      <c r="AJ727" s="96"/>
      <c r="AK727" s="96"/>
      <c r="AL727" s="96"/>
      <c r="AM727" s="96"/>
      <c r="AN727" s="96"/>
    </row>
    <row r="728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  <c r="AC728" s="96"/>
      <c r="AD728" s="96"/>
      <c r="AE728" s="96"/>
      <c r="AF728" s="96"/>
      <c r="AG728" s="96"/>
      <c r="AH728" s="96"/>
      <c r="AI728" s="96"/>
      <c r="AJ728" s="96"/>
      <c r="AK728" s="96"/>
      <c r="AL728" s="96"/>
      <c r="AM728" s="96"/>
      <c r="AN728" s="96"/>
    </row>
    <row r="729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  <c r="AC729" s="96"/>
      <c r="AD729" s="96"/>
      <c r="AE729" s="96"/>
      <c r="AF729" s="96"/>
      <c r="AG729" s="96"/>
      <c r="AH729" s="96"/>
      <c r="AI729" s="96"/>
      <c r="AJ729" s="96"/>
      <c r="AK729" s="96"/>
      <c r="AL729" s="96"/>
      <c r="AM729" s="96"/>
      <c r="AN729" s="96"/>
    </row>
    <row r="730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  <c r="AC730" s="96"/>
      <c r="AD730" s="96"/>
      <c r="AE730" s="96"/>
      <c r="AF730" s="96"/>
      <c r="AG730" s="96"/>
      <c r="AH730" s="96"/>
      <c r="AI730" s="96"/>
      <c r="AJ730" s="96"/>
      <c r="AK730" s="96"/>
      <c r="AL730" s="96"/>
      <c r="AM730" s="96"/>
      <c r="AN730" s="96"/>
    </row>
    <row r="73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  <c r="AC731" s="96"/>
      <c r="AD731" s="96"/>
      <c r="AE731" s="96"/>
      <c r="AF731" s="96"/>
      <c r="AG731" s="96"/>
      <c r="AH731" s="96"/>
      <c r="AI731" s="96"/>
      <c r="AJ731" s="96"/>
      <c r="AK731" s="96"/>
      <c r="AL731" s="96"/>
      <c r="AM731" s="96"/>
      <c r="AN731" s="96"/>
    </row>
    <row r="732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  <c r="AC732" s="96"/>
      <c r="AD732" s="96"/>
      <c r="AE732" s="96"/>
      <c r="AF732" s="96"/>
      <c r="AG732" s="96"/>
      <c r="AH732" s="96"/>
      <c r="AI732" s="96"/>
      <c r="AJ732" s="96"/>
      <c r="AK732" s="96"/>
      <c r="AL732" s="96"/>
      <c r="AM732" s="96"/>
      <c r="AN732" s="96"/>
    </row>
    <row r="733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  <c r="AC733" s="96"/>
      <c r="AD733" s="96"/>
      <c r="AE733" s="96"/>
      <c r="AF733" s="96"/>
      <c r="AG733" s="96"/>
      <c r="AH733" s="96"/>
      <c r="AI733" s="96"/>
      <c r="AJ733" s="96"/>
      <c r="AK733" s="96"/>
      <c r="AL733" s="96"/>
      <c r="AM733" s="96"/>
      <c r="AN733" s="96"/>
    </row>
    <row r="734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  <c r="AC734" s="96"/>
      <c r="AD734" s="96"/>
      <c r="AE734" s="96"/>
      <c r="AF734" s="96"/>
      <c r="AG734" s="96"/>
      <c r="AH734" s="96"/>
      <c r="AI734" s="96"/>
      <c r="AJ734" s="96"/>
      <c r="AK734" s="96"/>
      <c r="AL734" s="96"/>
      <c r="AM734" s="96"/>
      <c r="AN734" s="96"/>
    </row>
    <row r="73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  <c r="AC735" s="96"/>
      <c r="AD735" s="96"/>
      <c r="AE735" s="96"/>
      <c r="AF735" s="96"/>
      <c r="AG735" s="96"/>
      <c r="AH735" s="96"/>
      <c r="AI735" s="96"/>
      <c r="AJ735" s="96"/>
      <c r="AK735" s="96"/>
      <c r="AL735" s="96"/>
      <c r="AM735" s="96"/>
      <c r="AN735" s="96"/>
    </row>
    <row r="736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  <c r="AC736" s="96"/>
      <c r="AD736" s="96"/>
      <c r="AE736" s="96"/>
      <c r="AF736" s="96"/>
      <c r="AG736" s="96"/>
      <c r="AH736" s="96"/>
      <c r="AI736" s="96"/>
      <c r="AJ736" s="96"/>
      <c r="AK736" s="96"/>
      <c r="AL736" s="96"/>
      <c r="AM736" s="96"/>
      <c r="AN736" s="96"/>
    </row>
    <row r="737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  <c r="AC737" s="96"/>
      <c r="AD737" s="96"/>
      <c r="AE737" s="96"/>
      <c r="AF737" s="96"/>
      <c r="AG737" s="96"/>
      <c r="AH737" s="96"/>
      <c r="AI737" s="96"/>
      <c r="AJ737" s="96"/>
      <c r="AK737" s="96"/>
      <c r="AL737" s="96"/>
      <c r="AM737" s="96"/>
      <c r="AN737" s="96"/>
    </row>
    <row r="738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  <c r="AC738" s="96"/>
      <c r="AD738" s="96"/>
      <c r="AE738" s="96"/>
      <c r="AF738" s="96"/>
      <c r="AG738" s="96"/>
      <c r="AH738" s="96"/>
      <c r="AI738" s="96"/>
      <c r="AJ738" s="96"/>
      <c r="AK738" s="96"/>
      <c r="AL738" s="96"/>
      <c r="AM738" s="96"/>
      <c r="AN738" s="96"/>
    </row>
    <row r="739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  <c r="AC739" s="96"/>
      <c r="AD739" s="96"/>
      <c r="AE739" s="96"/>
      <c r="AF739" s="96"/>
      <c r="AG739" s="96"/>
      <c r="AH739" s="96"/>
      <c r="AI739" s="96"/>
      <c r="AJ739" s="96"/>
      <c r="AK739" s="96"/>
      <c r="AL739" s="96"/>
      <c r="AM739" s="96"/>
      <c r="AN739" s="96"/>
    </row>
    <row r="740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  <c r="AC740" s="96"/>
      <c r="AD740" s="96"/>
      <c r="AE740" s="96"/>
      <c r="AF740" s="96"/>
      <c r="AG740" s="96"/>
      <c r="AH740" s="96"/>
      <c r="AI740" s="96"/>
      <c r="AJ740" s="96"/>
      <c r="AK740" s="96"/>
      <c r="AL740" s="96"/>
      <c r="AM740" s="96"/>
      <c r="AN740" s="96"/>
    </row>
    <row r="74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  <c r="AC741" s="96"/>
      <c r="AD741" s="96"/>
      <c r="AE741" s="96"/>
      <c r="AF741" s="96"/>
      <c r="AG741" s="96"/>
      <c r="AH741" s="96"/>
      <c r="AI741" s="96"/>
      <c r="AJ741" s="96"/>
      <c r="AK741" s="96"/>
      <c r="AL741" s="96"/>
      <c r="AM741" s="96"/>
      <c r="AN741" s="96"/>
    </row>
    <row r="742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  <c r="AC742" s="96"/>
      <c r="AD742" s="96"/>
      <c r="AE742" s="96"/>
      <c r="AF742" s="96"/>
      <c r="AG742" s="96"/>
      <c r="AH742" s="96"/>
      <c r="AI742" s="96"/>
      <c r="AJ742" s="96"/>
      <c r="AK742" s="96"/>
      <c r="AL742" s="96"/>
      <c r="AM742" s="96"/>
      <c r="AN742" s="96"/>
    </row>
    <row r="743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  <c r="AC743" s="96"/>
      <c r="AD743" s="96"/>
      <c r="AE743" s="96"/>
      <c r="AF743" s="96"/>
      <c r="AG743" s="96"/>
      <c r="AH743" s="96"/>
      <c r="AI743" s="96"/>
      <c r="AJ743" s="96"/>
      <c r="AK743" s="96"/>
      <c r="AL743" s="96"/>
      <c r="AM743" s="96"/>
      <c r="AN743" s="96"/>
    </row>
    <row r="744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  <c r="AC744" s="96"/>
      <c r="AD744" s="96"/>
      <c r="AE744" s="96"/>
      <c r="AF744" s="96"/>
      <c r="AG744" s="96"/>
      <c r="AH744" s="96"/>
      <c r="AI744" s="96"/>
      <c r="AJ744" s="96"/>
      <c r="AK744" s="96"/>
      <c r="AL744" s="96"/>
      <c r="AM744" s="96"/>
      <c r="AN744" s="96"/>
    </row>
    <row r="74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  <c r="AC745" s="96"/>
      <c r="AD745" s="96"/>
      <c r="AE745" s="96"/>
      <c r="AF745" s="96"/>
      <c r="AG745" s="96"/>
      <c r="AH745" s="96"/>
      <c r="AI745" s="96"/>
      <c r="AJ745" s="96"/>
      <c r="AK745" s="96"/>
      <c r="AL745" s="96"/>
      <c r="AM745" s="96"/>
      <c r="AN745" s="96"/>
    </row>
    <row r="746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  <c r="AC746" s="96"/>
      <c r="AD746" s="96"/>
      <c r="AE746" s="96"/>
      <c r="AF746" s="96"/>
      <c r="AG746" s="96"/>
      <c r="AH746" s="96"/>
      <c r="AI746" s="96"/>
      <c r="AJ746" s="96"/>
      <c r="AK746" s="96"/>
      <c r="AL746" s="96"/>
      <c r="AM746" s="96"/>
      <c r="AN746" s="96"/>
    </row>
    <row r="747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  <c r="AC747" s="96"/>
      <c r="AD747" s="96"/>
      <c r="AE747" s="96"/>
      <c r="AF747" s="96"/>
      <c r="AG747" s="96"/>
      <c r="AH747" s="96"/>
      <c r="AI747" s="96"/>
      <c r="AJ747" s="96"/>
      <c r="AK747" s="96"/>
      <c r="AL747" s="96"/>
      <c r="AM747" s="96"/>
      <c r="AN747" s="96"/>
    </row>
    <row r="748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  <c r="AC748" s="96"/>
      <c r="AD748" s="96"/>
      <c r="AE748" s="96"/>
      <c r="AF748" s="96"/>
      <c r="AG748" s="96"/>
      <c r="AH748" s="96"/>
      <c r="AI748" s="96"/>
      <c r="AJ748" s="96"/>
      <c r="AK748" s="96"/>
      <c r="AL748" s="96"/>
      <c r="AM748" s="96"/>
      <c r="AN748" s="96"/>
    </row>
    <row r="749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  <c r="AC749" s="96"/>
      <c r="AD749" s="96"/>
      <c r="AE749" s="96"/>
      <c r="AF749" s="96"/>
      <c r="AG749" s="96"/>
      <c r="AH749" s="96"/>
      <c r="AI749" s="96"/>
      <c r="AJ749" s="96"/>
      <c r="AK749" s="96"/>
      <c r="AL749" s="96"/>
      <c r="AM749" s="96"/>
      <c r="AN749" s="96"/>
    </row>
    <row r="750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  <c r="AC750" s="96"/>
      <c r="AD750" s="96"/>
      <c r="AE750" s="96"/>
      <c r="AF750" s="96"/>
      <c r="AG750" s="96"/>
      <c r="AH750" s="96"/>
      <c r="AI750" s="96"/>
      <c r="AJ750" s="96"/>
      <c r="AK750" s="96"/>
      <c r="AL750" s="96"/>
      <c r="AM750" s="96"/>
      <c r="AN750" s="96"/>
    </row>
    <row r="75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  <c r="AC751" s="96"/>
      <c r="AD751" s="96"/>
      <c r="AE751" s="96"/>
      <c r="AF751" s="96"/>
      <c r="AG751" s="96"/>
      <c r="AH751" s="96"/>
      <c r="AI751" s="96"/>
      <c r="AJ751" s="96"/>
      <c r="AK751" s="96"/>
      <c r="AL751" s="96"/>
      <c r="AM751" s="96"/>
      <c r="AN751" s="96"/>
    </row>
    <row r="752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  <c r="AC752" s="96"/>
      <c r="AD752" s="96"/>
      <c r="AE752" s="96"/>
      <c r="AF752" s="96"/>
      <c r="AG752" s="96"/>
      <c r="AH752" s="96"/>
      <c r="AI752" s="96"/>
      <c r="AJ752" s="96"/>
      <c r="AK752" s="96"/>
      <c r="AL752" s="96"/>
      <c r="AM752" s="96"/>
      <c r="AN752" s="96"/>
    </row>
    <row r="753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  <c r="AC753" s="96"/>
      <c r="AD753" s="96"/>
      <c r="AE753" s="96"/>
      <c r="AF753" s="96"/>
      <c r="AG753" s="96"/>
      <c r="AH753" s="96"/>
      <c r="AI753" s="96"/>
      <c r="AJ753" s="96"/>
      <c r="AK753" s="96"/>
      <c r="AL753" s="96"/>
      <c r="AM753" s="96"/>
      <c r="AN753" s="96"/>
    </row>
    <row r="754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  <c r="AC754" s="96"/>
      <c r="AD754" s="96"/>
      <c r="AE754" s="96"/>
      <c r="AF754" s="96"/>
      <c r="AG754" s="96"/>
      <c r="AH754" s="96"/>
      <c r="AI754" s="96"/>
      <c r="AJ754" s="96"/>
      <c r="AK754" s="96"/>
      <c r="AL754" s="96"/>
      <c r="AM754" s="96"/>
      <c r="AN754" s="96"/>
    </row>
    <row r="75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  <c r="AC755" s="96"/>
      <c r="AD755" s="96"/>
      <c r="AE755" s="96"/>
      <c r="AF755" s="96"/>
      <c r="AG755" s="96"/>
      <c r="AH755" s="96"/>
      <c r="AI755" s="96"/>
      <c r="AJ755" s="96"/>
      <c r="AK755" s="96"/>
      <c r="AL755" s="96"/>
      <c r="AM755" s="96"/>
      <c r="AN755" s="96"/>
    </row>
    <row r="756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  <c r="AC756" s="96"/>
      <c r="AD756" s="96"/>
      <c r="AE756" s="96"/>
      <c r="AF756" s="96"/>
      <c r="AG756" s="96"/>
      <c r="AH756" s="96"/>
      <c r="AI756" s="96"/>
      <c r="AJ756" s="96"/>
      <c r="AK756" s="96"/>
      <c r="AL756" s="96"/>
      <c r="AM756" s="96"/>
      <c r="AN756" s="96"/>
    </row>
    <row r="757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  <c r="AC757" s="96"/>
      <c r="AD757" s="96"/>
      <c r="AE757" s="96"/>
      <c r="AF757" s="96"/>
      <c r="AG757" s="96"/>
      <c r="AH757" s="96"/>
      <c r="AI757" s="96"/>
      <c r="AJ757" s="96"/>
      <c r="AK757" s="96"/>
      <c r="AL757" s="96"/>
      <c r="AM757" s="96"/>
      <c r="AN757" s="96"/>
    </row>
    <row r="758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  <c r="AC758" s="96"/>
      <c r="AD758" s="96"/>
      <c r="AE758" s="96"/>
      <c r="AF758" s="96"/>
      <c r="AG758" s="96"/>
      <c r="AH758" s="96"/>
      <c r="AI758" s="96"/>
      <c r="AJ758" s="96"/>
      <c r="AK758" s="96"/>
      <c r="AL758" s="96"/>
      <c r="AM758" s="96"/>
      <c r="AN758" s="96"/>
    </row>
    <row r="759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  <c r="AC759" s="96"/>
      <c r="AD759" s="96"/>
      <c r="AE759" s="96"/>
      <c r="AF759" s="96"/>
      <c r="AG759" s="96"/>
      <c r="AH759" s="96"/>
      <c r="AI759" s="96"/>
      <c r="AJ759" s="96"/>
      <c r="AK759" s="96"/>
      <c r="AL759" s="96"/>
      <c r="AM759" s="96"/>
      <c r="AN759" s="96"/>
    </row>
    <row r="760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  <c r="AC760" s="96"/>
      <c r="AD760" s="96"/>
      <c r="AE760" s="96"/>
      <c r="AF760" s="96"/>
      <c r="AG760" s="96"/>
      <c r="AH760" s="96"/>
      <c r="AI760" s="96"/>
      <c r="AJ760" s="96"/>
      <c r="AK760" s="96"/>
      <c r="AL760" s="96"/>
      <c r="AM760" s="96"/>
      <c r="AN760" s="96"/>
    </row>
    <row r="76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  <c r="AC761" s="96"/>
      <c r="AD761" s="96"/>
      <c r="AE761" s="96"/>
      <c r="AF761" s="96"/>
      <c r="AG761" s="96"/>
      <c r="AH761" s="96"/>
      <c r="AI761" s="96"/>
      <c r="AJ761" s="96"/>
      <c r="AK761" s="96"/>
      <c r="AL761" s="96"/>
      <c r="AM761" s="96"/>
      <c r="AN761" s="96"/>
    </row>
    <row r="762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  <c r="AC762" s="96"/>
      <c r="AD762" s="96"/>
      <c r="AE762" s="96"/>
      <c r="AF762" s="96"/>
      <c r="AG762" s="96"/>
      <c r="AH762" s="96"/>
      <c r="AI762" s="96"/>
      <c r="AJ762" s="96"/>
      <c r="AK762" s="96"/>
      <c r="AL762" s="96"/>
      <c r="AM762" s="96"/>
      <c r="AN762" s="96"/>
    </row>
    <row r="763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  <c r="AC763" s="96"/>
      <c r="AD763" s="96"/>
      <c r="AE763" s="96"/>
      <c r="AF763" s="96"/>
      <c r="AG763" s="96"/>
      <c r="AH763" s="96"/>
      <c r="AI763" s="96"/>
      <c r="AJ763" s="96"/>
      <c r="AK763" s="96"/>
      <c r="AL763" s="96"/>
      <c r="AM763" s="96"/>
      <c r="AN763" s="96"/>
    </row>
    <row r="764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  <c r="AC764" s="96"/>
      <c r="AD764" s="96"/>
      <c r="AE764" s="96"/>
      <c r="AF764" s="96"/>
      <c r="AG764" s="96"/>
      <c r="AH764" s="96"/>
      <c r="AI764" s="96"/>
      <c r="AJ764" s="96"/>
      <c r="AK764" s="96"/>
      <c r="AL764" s="96"/>
      <c r="AM764" s="96"/>
      <c r="AN764" s="96"/>
    </row>
    <row r="76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  <c r="AC765" s="96"/>
      <c r="AD765" s="96"/>
      <c r="AE765" s="96"/>
      <c r="AF765" s="96"/>
      <c r="AG765" s="96"/>
      <c r="AH765" s="96"/>
      <c r="AI765" s="96"/>
      <c r="AJ765" s="96"/>
      <c r="AK765" s="96"/>
      <c r="AL765" s="96"/>
      <c r="AM765" s="96"/>
      <c r="AN765" s="96"/>
    </row>
    <row r="766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  <c r="AC766" s="96"/>
      <c r="AD766" s="96"/>
      <c r="AE766" s="96"/>
      <c r="AF766" s="96"/>
      <c r="AG766" s="96"/>
      <c r="AH766" s="96"/>
      <c r="AI766" s="96"/>
      <c r="AJ766" s="96"/>
      <c r="AK766" s="96"/>
      <c r="AL766" s="96"/>
      <c r="AM766" s="96"/>
      <c r="AN766" s="96"/>
    </row>
    <row r="767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  <c r="AC767" s="96"/>
      <c r="AD767" s="96"/>
      <c r="AE767" s="96"/>
      <c r="AF767" s="96"/>
      <c r="AG767" s="96"/>
      <c r="AH767" s="96"/>
      <c r="AI767" s="96"/>
      <c r="AJ767" s="96"/>
      <c r="AK767" s="96"/>
      <c r="AL767" s="96"/>
      <c r="AM767" s="96"/>
      <c r="AN767" s="96"/>
    </row>
    <row r="768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  <c r="AC768" s="96"/>
      <c r="AD768" s="96"/>
      <c r="AE768" s="96"/>
      <c r="AF768" s="96"/>
      <c r="AG768" s="96"/>
      <c r="AH768" s="96"/>
      <c r="AI768" s="96"/>
      <c r="AJ768" s="96"/>
      <c r="AK768" s="96"/>
      <c r="AL768" s="96"/>
      <c r="AM768" s="96"/>
      <c r="AN768" s="96"/>
    </row>
    <row r="769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  <c r="AC769" s="96"/>
      <c r="AD769" s="96"/>
      <c r="AE769" s="96"/>
      <c r="AF769" s="96"/>
      <c r="AG769" s="96"/>
      <c r="AH769" s="96"/>
      <c r="AI769" s="96"/>
      <c r="AJ769" s="96"/>
      <c r="AK769" s="96"/>
      <c r="AL769" s="96"/>
      <c r="AM769" s="96"/>
      <c r="AN769" s="96"/>
    </row>
    <row r="770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  <c r="AC770" s="96"/>
      <c r="AD770" s="96"/>
      <c r="AE770" s="96"/>
      <c r="AF770" s="96"/>
      <c r="AG770" s="96"/>
      <c r="AH770" s="96"/>
      <c r="AI770" s="96"/>
      <c r="AJ770" s="96"/>
      <c r="AK770" s="96"/>
      <c r="AL770" s="96"/>
      <c r="AM770" s="96"/>
      <c r="AN770" s="96"/>
    </row>
    <row r="77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  <c r="AC771" s="96"/>
      <c r="AD771" s="96"/>
      <c r="AE771" s="96"/>
      <c r="AF771" s="96"/>
      <c r="AG771" s="96"/>
      <c r="AH771" s="96"/>
      <c r="AI771" s="96"/>
      <c r="AJ771" s="96"/>
      <c r="AK771" s="96"/>
      <c r="AL771" s="96"/>
      <c r="AM771" s="96"/>
      <c r="AN771" s="96"/>
    </row>
    <row r="772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  <c r="AC772" s="96"/>
      <c r="AD772" s="96"/>
      <c r="AE772" s="96"/>
      <c r="AF772" s="96"/>
      <c r="AG772" s="96"/>
      <c r="AH772" s="96"/>
      <c r="AI772" s="96"/>
      <c r="AJ772" s="96"/>
      <c r="AK772" s="96"/>
      <c r="AL772" s="96"/>
      <c r="AM772" s="96"/>
      <c r="AN772" s="96"/>
    </row>
    <row r="773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  <c r="AC773" s="96"/>
      <c r="AD773" s="96"/>
      <c r="AE773" s="96"/>
      <c r="AF773" s="96"/>
      <c r="AG773" s="96"/>
      <c r="AH773" s="96"/>
      <c r="AI773" s="96"/>
      <c r="AJ773" s="96"/>
      <c r="AK773" s="96"/>
      <c r="AL773" s="96"/>
      <c r="AM773" s="96"/>
      <c r="AN773" s="96"/>
    </row>
    <row r="774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  <c r="AC774" s="96"/>
      <c r="AD774" s="96"/>
      <c r="AE774" s="96"/>
      <c r="AF774" s="96"/>
      <c r="AG774" s="96"/>
      <c r="AH774" s="96"/>
      <c r="AI774" s="96"/>
      <c r="AJ774" s="96"/>
      <c r="AK774" s="96"/>
      <c r="AL774" s="96"/>
      <c r="AM774" s="96"/>
      <c r="AN774" s="96"/>
    </row>
    <row r="77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  <c r="AC775" s="96"/>
      <c r="AD775" s="96"/>
      <c r="AE775" s="96"/>
      <c r="AF775" s="96"/>
      <c r="AG775" s="96"/>
      <c r="AH775" s="96"/>
      <c r="AI775" s="96"/>
      <c r="AJ775" s="96"/>
      <c r="AK775" s="96"/>
      <c r="AL775" s="96"/>
      <c r="AM775" s="96"/>
      <c r="AN775" s="96"/>
    </row>
    <row r="776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  <c r="AC776" s="96"/>
      <c r="AD776" s="96"/>
      <c r="AE776" s="96"/>
      <c r="AF776" s="96"/>
      <c r="AG776" s="96"/>
      <c r="AH776" s="96"/>
      <c r="AI776" s="96"/>
      <c r="AJ776" s="96"/>
      <c r="AK776" s="96"/>
      <c r="AL776" s="96"/>
      <c r="AM776" s="96"/>
      <c r="AN776" s="96"/>
    </row>
    <row r="777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  <c r="AC777" s="96"/>
      <c r="AD777" s="96"/>
      <c r="AE777" s="96"/>
      <c r="AF777" s="96"/>
      <c r="AG777" s="96"/>
      <c r="AH777" s="96"/>
      <c r="AI777" s="96"/>
      <c r="AJ777" s="96"/>
      <c r="AK777" s="96"/>
      <c r="AL777" s="96"/>
      <c r="AM777" s="96"/>
      <c r="AN777" s="96"/>
    </row>
    <row r="778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  <c r="AC778" s="96"/>
      <c r="AD778" s="96"/>
      <c r="AE778" s="96"/>
      <c r="AF778" s="96"/>
      <c r="AG778" s="96"/>
      <c r="AH778" s="96"/>
      <c r="AI778" s="96"/>
      <c r="AJ778" s="96"/>
      <c r="AK778" s="96"/>
      <c r="AL778" s="96"/>
      <c r="AM778" s="96"/>
      <c r="AN778" s="96"/>
    </row>
    <row r="779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  <c r="AC779" s="96"/>
      <c r="AD779" s="96"/>
      <c r="AE779" s="96"/>
      <c r="AF779" s="96"/>
      <c r="AG779" s="96"/>
      <c r="AH779" s="96"/>
      <c r="AI779" s="96"/>
      <c r="AJ779" s="96"/>
      <c r="AK779" s="96"/>
      <c r="AL779" s="96"/>
      <c r="AM779" s="96"/>
      <c r="AN779" s="96"/>
    </row>
    <row r="780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  <c r="AC780" s="96"/>
      <c r="AD780" s="96"/>
      <c r="AE780" s="96"/>
      <c r="AF780" s="96"/>
      <c r="AG780" s="96"/>
      <c r="AH780" s="96"/>
      <c r="AI780" s="96"/>
      <c r="AJ780" s="96"/>
      <c r="AK780" s="96"/>
      <c r="AL780" s="96"/>
      <c r="AM780" s="96"/>
      <c r="AN780" s="96"/>
    </row>
    <row r="78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  <c r="AC781" s="96"/>
      <c r="AD781" s="96"/>
      <c r="AE781" s="96"/>
      <c r="AF781" s="96"/>
      <c r="AG781" s="96"/>
      <c r="AH781" s="96"/>
      <c r="AI781" s="96"/>
      <c r="AJ781" s="96"/>
      <c r="AK781" s="96"/>
      <c r="AL781" s="96"/>
      <c r="AM781" s="96"/>
      <c r="AN781" s="96"/>
    </row>
    <row r="782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  <c r="AC782" s="96"/>
      <c r="AD782" s="96"/>
      <c r="AE782" s="96"/>
      <c r="AF782" s="96"/>
      <c r="AG782" s="96"/>
      <c r="AH782" s="96"/>
      <c r="AI782" s="96"/>
      <c r="AJ782" s="96"/>
      <c r="AK782" s="96"/>
      <c r="AL782" s="96"/>
      <c r="AM782" s="96"/>
      <c r="AN782" s="96"/>
    </row>
    <row r="783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  <c r="AC783" s="96"/>
      <c r="AD783" s="96"/>
      <c r="AE783" s="96"/>
      <c r="AF783" s="96"/>
      <c r="AG783" s="96"/>
      <c r="AH783" s="96"/>
      <c r="AI783" s="96"/>
      <c r="AJ783" s="96"/>
      <c r="AK783" s="96"/>
      <c r="AL783" s="96"/>
      <c r="AM783" s="96"/>
      <c r="AN783" s="96"/>
    </row>
    <row r="784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  <c r="AC784" s="96"/>
      <c r="AD784" s="96"/>
      <c r="AE784" s="96"/>
      <c r="AF784" s="96"/>
      <c r="AG784" s="96"/>
      <c r="AH784" s="96"/>
      <c r="AI784" s="96"/>
      <c r="AJ784" s="96"/>
      <c r="AK784" s="96"/>
      <c r="AL784" s="96"/>
      <c r="AM784" s="96"/>
      <c r="AN784" s="96"/>
    </row>
    <row r="78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  <c r="AC785" s="96"/>
      <c r="AD785" s="96"/>
      <c r="AE785" s="96"/>
      <c r="AF785" s="96"/>
      <c r="AG785" s="96"/>
      <c r="AH785" s="96"/>
      <c r="AI785" s="96"/>
      <c r="AJ785" s="96"/>
      <c r="AK785" s="96"/>
      <c r="AL785" s="96"/>
      <c r="AM785" s="96"/>
      <c r="AN785" s="96"/>
    </row>
    <row r="786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  <c r="AC786" s="96"/>
      <c r="AD786" s="96"/>
      <c r="AE786" s="96"/>
      <c r="AF786" s="96"/>
      <c r="AG786" s="96"/>
      <c r="AH786" s="96"/>
      <c r="AI786" s="96"/>
      <c r="AJ786" s="96"/>
      <c r="AK786" s="96"/>
      <c r="AL786" s="96"/>
      <c r="AM786" s="96"/>
      <c r="AN786" s="96"/>
    </row>
    <row r="787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  <c r="AC787" s="96"/>
      <c r="AD787" s="96"/>
      <c r="AE787" s="96"/>
      <c r="AF787" s="96"/>
      <c r="AG787" s="96"/>
      <c r="AH787" s="96"/>
      <c r="AI787" s="96"/>
      <c r="AJ787" s="96"/>
      <c r="AK787" s="96"/>
      <c r="AL787" s="96"/>
      <c r="AM787" s="96"/>
      <c r="AN787" s="96"/>
    </row>
    <row r="788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  <c r="AC788" s="96"/>
      <c r="AD788" s="96"/>
      <c r="AE788" s="96"/>
      <c r="AF788" s="96"/>
      <c r="AG788" s="96"/>
      <c r="AH788" s="96"/>
      <c r="AI788" s="96"/>
      <c r="AJ788" s="96"/>
      <c r="AK788" s="96"/>
      <c r="AL788" s="96"/>
      <c r="AM788" s="96"/>
      <c r="AN788" s="96"/>
    </row>
    <row r="789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  <c r="AC789" s="96"/>
      <c r="AD789" s="96"/>
      <c r="AE789" s="96"/>
      <c r="AF789" s="96"/>
      <c r="AG789" s="96"/>
      <c r="AH789" s="96"/>
      <c r="AI789" s="96"/>
      <c r="AJ789" s="96"/>
      <c r="AK789" s="96"/>
      <c r="AL789" s="96"/>
      <c r="AM789" s="96"/>
      <c r="AN789" s="96"/>
    </row>
    <row r="790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  <c r="AC790" s="96"/>
      <c r="AD790" s="96"/>
      <c r="AE790" s="96"/>
      <c r="AF790" s="96"/>
      <c r="AG790" s="96"/>
      <c r="AH790" s="96"/>
      <c r="AI790" s="96"/>
      <c r="AJ790" s="96"/>
      <c r="AK790" s="96"/>
      <c r="AL790" s="96"/>
      <c r="AM790" s="96"/>
      <c r="AN790" s="96"/>
    </row>
    <row r="79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  <c r="AC791" s="96"/>
      <c r="AD791" s="96"/>
      <c r="AE791" s="96"/>
      <c r="AF791" s="96"/>
      <c r="AG791" s="96"/>
      <c r="AH791" s="96"/>
      <c r="AI791" s="96"/>
      <c r="AJ791" s="96"/>
      <c r="AK791" s="96"/>
      <c r="AL791" s="96"/>
      <c r="AM791" s="96"/>
      <c r="AN791" s="96"/>
    </row>
    <row r="792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  <c r="AC792" s="96"/>
      <c r="AD792" s="96"/>
      <c r="AE792" s="96"/>
      <c r="AF792" s="96"/>
      <c r="AG792" s="96"/>
      <c r="AH792" s="96"/>
      <c r="AI792" s="96"/>
      <c r="AJ792" s="96"/>
      <c r="AK792" s="96"/>
      <c r="AL792" s="96"/>
      <c r="AM792" s="96"/>
      <c r="AN792" s="96"/>
    </row>
    <row r="793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  <c r="AC793" s="96"/>
      <c r="AD793" s="96"/>
      <c r="AE793" s="96"/>
      <c r="AF793" s="96"/>
      <c r="AG793" s="96"/>
      <c r="AH793" s="96"/>
      <c r="AI793" s="96"/>
      <c r="AJ793" s="96"/>
      <c r="AK793" s="96"/>
      <c r="AL793" s="96"/>
      <c r="AM793" s="96"/>
      <c r="AN793" s="96"/>
    </row>
    <row r="794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  <c r="AC794" s="96"/>
      <c r="AD794" s="96"/>
      <c r="AE794" s="96"/>
      <c r="AF794" s="96"/>
      <c r="AG794" s="96"/>
      <c r="AH794" s="96"/>
      <c r="AI794" s="96"/>
      <c r="AJ794" s="96"/>
      <c r="AK794" s="96"/>
      <c r="AL794" s="96"/>
      <c r="AM794" s="96"/>
      <c r="AN794" s="96"/>
    </row>
    <row r="79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  <c r="AC795" s="96"/>
      <c r="AD795" s="96"/>
      <c r="AE795" s="96"/>
      <c r="AF795" s="96"/>
      <c r="AG795" s="96"/>
      <c r="AH795" s="96"/>
      <c r="AI795" s="96"/>
      <c r="AJ795" s="96"/>
      <c r="AK795" s="96"/>
      <c r="AL795" s="96"/>
      <c r="AM795" s="96"/>
      <c r="AN795" s="96"/>
    </row>
    <row r="796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  <c r="AC796" s="96"/>
      <c r="AD796" s="96"/>
      <c r="AE796" s="96"/>
      <c r="AF796" s="96"/>
      <c r="AG796" s="96"/>
      <c r="AH796" s="96"/>
      <c r="AI796" s="96"/>
      <c r="AJ796" s="96"/>
      <c r="AK796" s="96"/>
      <c r="AL796" s="96"/>
      <c r="AM796" s="96"/>
      <c r="AN796" s="96"/>
    </row>
    <row r="797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  <c r="AC797" s="96"/>
      <c r="AD797" s="96"/>
      <c r="AE797" s="96"/>
      <c r="AF797" s="96"/>
      <c r="AG797" s="96"/>
      <c r="AH797" s="96"/>
      <c r="AI797" s="96"/>
      <c r="AJ797" s="96"/>
      <c r="AK797" s="96"/>
      <c r="AL797" s="96"/>
      <c r="AM797" s="96"/>
      <c r="AN797" s="96"/>
    </row>
    <row r="798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  <c r="AC798" s="96"/>
      <c r="AD798" s="96"/>
      <c r="AE798" s="96"/>
      <c r="AF798" s="96"/>
      <c r="AG798" s="96"/>
      <c r="AH798" s="96"/>
      <c r="AI798" s="96"/>
      <c r="AJ798" s="96"/>
      <c r="AK798" s="96"/>
      <c r="AL798" s="96"/>
      <c r="AM798" s="96"/>
      <c r="AN798" s="96"/>
    </row>
    <row r="799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  <c r="AC799" s="96"/>
      <c r="AD799" s="96"/>
      <c r="AE799" s="96"/>
      <c r="AF799" s="96"/>
      <c r="AG799" s="96"/>
      <c r="AH799" s="96"/>
      <c r="AI799" s="96"/>
      <c r="AJ799" s="96"/>
      <c r="AK799" s="96"/>
      <c r="AL799" s="96"/>
      <c r="AM799" s="96"/>
      <c r="AN799" s="96"/>
    </row>
    <row r="800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  <c r="AC800" s="96"/>
      <c r="AD800" s="96"/>
      <c r="AE800" s="96"/>
      <c r="AF800" s="96"/>
      <c r="AG800" s="96"/>
      <c r="AH800" s="96"/>
      <c r="AI800" s="96"/>
      <c r="AJ800" s="96"/>
      <c r="AK800" s="96"/>
      <c r="AL800" s="96"/>
      <c r="AM800" s="96"/>
      <c r="AN800" s="96"/>
    </row>
    <row r="80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  <c r="AC801" s="96"/>
      <c r="AD801" s="96"/>
      <c r="AE801" s="96"/>
      <c r="AF801" s="96"/>
      <c r="AG801" s="96"/>
      <c r="AH801" s="96"/>
      <c r="AI801" s="96"/>
      <c r="AJ801" s="96"/>
      <c r="AK801" s="96"/>
      <c r="AL801" s="96"/>
      <c r="AM801" s="96"/>
      <c r="AN801" s="96"/>
    </row>
    <row r="802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  <c r="AC802" s="96"/>
      <c r="AD802" s="96"/>
      <c r="AE802" s="96"/>
      <c r="AF802" s="96"/>
      <c r="AG802" s="96"/>
      <c r="AH802" s="96"/>
      <c r="AI802" s="96"/>
      <c r="AJ802" s="96"/>
      <c r="AK802" s="96"/>
      <c r="AL802" s="96"/>
      <c r="AM802" s="96"/>
      <c r="AN802" s="96"/>
    </row>
    <row r="803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  <c r="AC803" s="96"/>
      <c r="AD803" s="96"/>
      <c r="AE803" s="96"/>
      <c r="AF803" s="96"/>
      <c r="AG803" s="96"/>
      <c r="AH803" s="96"/>
      <c r="AI803" s="96"/>
      <c r="AJ803" s="96"/>
      <c r="AK803" s="96"/>
      <c r="AL803" s="96"/>
      <c r="AM803" s="96"/>
      <c r="AN803" s="96"/>
    </row>
    <row r="804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  <c r="AC804" s="96"/>
      <c r="AD804" s="96"/>
      <c r="AE804" s="96"/>
      <c r="AF804" s="96"/>
      <c r="AG804" s="96"/>
      <c r="AH804" s="96"/>
      <c r="AI804" s="96"/>
      <c r="AJ804" s="96"/>
      <c r="AK804" s="96"/>
      <c r="AL804" s="96"/>
      <c r="AM804" s="96"/>
      <c r="AN804" s="96"/>
    </row>
    <row r="80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  <c r="AC805" s="96"/>
      <c r="AD805" s="96"/>
      <c r="AE805" s="96"/>
      <c r="AF805" s="96"/>
      <c r="AG805" s="96"/>
      <c r="AH805" s="96"/>
      <c r="AI805" s="96"/>
      <c r="AJ805" s="96"/>
      <c r="AK805" s="96"/>
      <c r="AL805" s="96"/>
      <c r="AM805" s="96"/>
      <c r="AN805" s="96"/>
    </row>
    <row r="806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  <c r="AC806" s="96"/>
      <c r="AD806" s="96"/>
      <c r="AE806" s="96"/>
      <c r="AF806" s="96"/>
      <c r="AG806" s="96"/>
      <c r="AH806" s="96"/>
      <c r="AI806" s="96"/>
      <c r="AJ806" s="96"/>
      <c r="AK806" s="96"/>
      <c r="AL806" s="96"/>
      <c r="AM806" s="96"/>
      <c r="AN806" s="96"/>
    </row>
    <row r="807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  <c r="AC807" s="96"/>
      <c r="AD807" s="96"/>
      <c r="AE807" s="96"/>
      <c r="AF807" s="96"/>
      <c r="AG807" s="96"/>
      <c r="AH807" s="96"/>
      <c r="AI807" s="96"/>
      <c r="AJ807" s="96"/>
      <c r="AK807" s="96"/>
      <c r="AL807" s="96"/>
      <c r="AM807" s="96"/>
      <c r="AN807" s="96"/>
    </row>
    <row r="808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  <c r="AC808" s="96"/>
      <c r="AD808" s="96"/>
      <c r="AE808" s="96"/>
      <c r="AF808" s="96"/>
      <c r="AG808" s="96"/>
      <c r="AH808" s="96"/>
      <c r="AI808" s="96"/>
      <c r="AJ808" s="96"/>
      <c r="AK808" s="96"/>
      <c r="AL808" s="96"/>
      <c r="AM808" s="96"/>
      <c r="AN808" s="96"/>
    </row>
    <row r="809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  <c r="AC809" s="96"/>
      <c r="AD809" s="96"/>
      <c r="AE809" s="96"/>
      <c r="AF809" s="96"/>
      <c r="AG809" s="96"/>
      <c r="AH809" s="96"/>
      <c r="AI809" s="96"/>
      <c r="AJ809" s="96"/>
      <c r="AK809" s="96"/>
      <c r="AL809" s="96"/>
      <c r="AM809" s="96"/>
      <c r="AN809" s="96"/>
    </row>
    <row r="810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  <c r="AC810" s="96"/>
      <c r="AD810" s="96"/>
      <c r="AE810" s="96"/>
      <c r="AF810" s="96"/>
      <c r="AG810" s="96"/>
      <c r="AH810" s="96"/>
      <c r="AI810" s="96"/>
      <c r="AJ810" s="96"/>
      <c r="AK810" s="96"/>
      <c r="AL810" s="96"/>
      <c r="AM810" s="96"/>
      <c r="AN810" s="96"/>
    </row>
    <row r="81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  <c r="AC811" s="96"/>
      <c r="AD811" s="96"/>
      <c r="AE811" s="96"/>
      <c r="AF811" s="96"/>
      <c r="AG811" s="96"/>
      <c r="AH811" s="96"/>
      <c r="AI811" s="96"/>
      <c r="AJ811" s="96"/>
      <c r="AK811" s="96"/>
      <c r="AL811" s="96"/>
      <c r="AM811" s="96"/>
      <c r="AN811" s="96"/>
    </row>
    <row r="812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  <c r="AC812" s="96"/>
      <c r="AD812" s="96"/>
      <c r="AE812" s="96"/>
      <c r="AF812" s="96"/>
      <c r="AG812" s="96"/>
      <c r="AH812" s="96"/>
      <c r="AI812" s="96"/>
      <c r="AJ812" s="96"/>
      <c r="AK812" s="96"/>
      <c r="AL812" s="96"/>
      <c r="AM812" s="96"/>
      <c r="AN812" s="96"/>
    </row>
    <row r="813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  <c r="AC813" s="96"/>
      <c r="AD813" s="96"/>
      <c r="AE813" s="96"/>
      <c r="AF813" s="96"/>
      <c r="AG813" s="96"/>
      <c r="AH813" s="96"/>
      <c r="AI813" s="96"/>
      <c r="AJ813" s="96"/>
      <c r="AK813" s="96"/>
      <c r="AL813" s="96"/>
      <c r="AM813" s="96"/>
      <c r="AN813" s="96"/>
    </row>
    <row r="814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  <c r="AC814" s="96"/>
      <c r="AD814" s="96"/>
      <c r="AE814" s="96"/>
      <c r="AF814" s="96"/>
      <c r="AG814" s="96"/>
      <c r="AH814" s="96"/>
      <c r="AI814" s="96"/>
      <c r="AJ814" s="96"/>
      <c r="AK814" s="96"/>
      <c r="AL814" s="96"/>
      <c r="AM814" s="96"/>
      <c r="AN814" s="96"/>
    </row>
    <row r="81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  <c r="AC815" s="96"/>
      <c r="AD815" s="96"/>
      <c r="AE815" s="96"/>
      <c r="AF815" s="96"/>
      <c r="AG815" s="96"/>
      <c r="AH815" s="96"/>
      <c r="AI815" s="96"/>
      <c r="AJ815" s="96"/>
      <c r="AK815" s="96"/>
      <c r="AL815" s="96"/>
      <c r="AM815" s="96"/>
      <c r="AN815" s="96"/>
    </row>
    <row r="816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  <c r="AC816" s="96"/>
      <c r="AD816" s="96"/>
      <c r="AE816" s="96"/>
      <c r="AF816" s="96"/>
      <c r="AG816" s="96"/>
      <c r="AH816" s="96"/>
      <c r="AI816" s="96"/>
      <c r="AJ816" s="96"/>
      <c r="AK816" s="96"/>
      <c r="AL816" s="96"/>
      <c r="AM816" s="96"/>
      <c r="AN816" s="96"/>
    </row>
    <row r="817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  <c r="AC817" s="96"/>
      <c r="AD817" s="96"/>
      <c r="AE817" s="96"/>
      <c r="AF817" s="96"/>
      <c r="AG817" s="96"/>
      <c r="AH817" s="96"/>
      <c r="AI817" s="96"/>
      <c r="AJ817" s="96"/>
      <c r="AK817" s="96"/>
      <c r="AL817" s="96"/>
      <c r="AM817" s="96"/>
      <c r="AN817" s="96"/>
    </row>
    <row r="818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  <c r="AC818" s="96"/>
      <c r="AD818" s="96"/>
      <c r="AE818" s="96"/>
      <c r="AF818" s="96"/>
      <c r="AG818" s="96"/>
      <c r="AH818" s="96"/>
      <c r="AI818" s="96"/>
      <c r="AJ818" s="96"/>
      <c r="AK818" s="96"/>
      <c r="AL818" s="96"/>
      <c r="AM818" s="96"/>
      <c r="AN818" s="96"/>
    </row>
    <row r="819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  <c r="AC819" s="96"/>
      <c r="AD819" s="96"/>
      <c r="AE819" s="96"/>
      <c r="AF819" s="96"/>
      <c r="AG819" s="96"/>
      <c r="AH819" s="96"/>
      <c r="AI819" s="96"/>
      <c r="AJ819" s="96"/>
      <c r="AK819" s="96"/>
      <c r="AL819" s="96"/>
      <c r="AM819" s="96"/>
      <c r="AN819" s="96"/>
    </row>
    <row r="820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  <c r="AC820" s="96"/>
      <c r="AD820" s="96"/>
      <c r="AE820" s="96"/>
      <c r="AF820" s="96"/>
      <c r="AG820" s="96"/>
      <c r="AH820" s="96"/>
      <c r="AI820" s="96"/>
      <c r="AJ820" s="96"/>
      <c r="AK820" s="96"/>
      <c r="AL820" s="96"/>
      <c r="AM820" s="96"/>
      <c r="AN820" s="96"/>
    </row>
    <row r="82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  <c r="AC821" s="96"/>
      <c r="AD821" s="96"/>
      <c r="AE821" s="96"/>
      <c r="AF821" s="96"/>
      <c r="AG821" s="96"/>
      <c r="AH821" s="96"/>
      <c r="AI821" s="96"/>
      <c r="AJ821" s="96"/>
      <c r="AK821" s="96"/>
      <c r="AL821" s="96"/>
      <c r="AM821" s="96"/>
      <c r="AN821" s="96"/>
    </row>
    <row r="822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  <c r="AC822" s="96"/>
      <c r="AD822" s="96"/>
      <c r="AE822" s="96"/>
      <c r="AF822" s="96"/>
      <c r="AG822" s="96"/>
      <c r="AH822" s="96"/>
      <c r="AI822" s="96"/>
      <c r="AJ822" s="96"/>
      <c r="AK822" s="96"/>
      <c r="AL822" s="96"/>
      <c r="AM822" s="96"/>
      <c r="AN822" s="96"/>
    </row>
    <row r="823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  <c r="AC823" s="96"/>
      <c r="AD823" s="96"/>
      <c r="AE823" s="96"/>
      <c r="AF823" s="96"/>
      <c r="AG823" s="96"/>
      <c r="AH823" s="96"/>
      <c r="AI823" s="96"/>
      <c r="AJ823" s="96"/>
      <c r="AK823" s="96"/>
      <c r="AL823" s="96"/>
      <c r="AM823" s="96"/>
      <c r="AN823" s="96"/>
    </row>
    <row r="824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  <c r="AC824" s="96"/>
      <c r="AD824" s="96"/>
      <c r="AE824" s="96"/>
      <c r="AF824" s="96"/>
      <c r="AG824" s="96"/>
      <c r="AH824" s="96"/>
      <c r="AI824" s="96"/>
      <c r="AJ824" s="96"/>
      <c r="AK824" s="96"/>
      <c r="AL824" s="96"/>
      <c r="AM824" s="96"/>
      <c r="AN824" s="96"/>
    </row>
    <row r="82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  <c r="AC825" s="96"/>
      <c r="AD825" s="96"/>
      <c r="AE825" s="96"/>
      <c r="AF825" s="96"/>
      <c r="AG825" s="96"/>
      <c r="AH825" s="96"/>
      <c r="AI825" s="96"/>
      <c r="AJ825" s="96"/>
      <c r="AK825" s="96"/>
      <c r="AL825" s="96"/>
      <c r="AM825" s="96"/>
      <c r="AN825" s="96"/>
    </row>
    <row r="826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  <c r="AC826" s="96"/>
      <c r="AD826" s="96"/>
      <c r="AE826" s="96"/>
      <c r="AF826" s="96"/>
      <c r="AG826" s="96"/>
      <c r="AH826" s="96"/>
      <c r="AI826" s="96"/>
      <c r="AJ826" s="96"/>
      <c r="AK826" s="96"/>
      <c r="AL826" s="96"/>
      <c r="AM826" s="96"/>
      <c r="AN826" s="96"/>
    </row>
    <row r="827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  <c r="AC827" s="96"/>
      <c r="AD827" s="96"/>
      <c r="AE827" s="96"/>
      <c r="AF827" s="96"/>
      <c r="AG827" s="96"/>
      <c r="AH827" s="96"/>
      <c r="AI827" s="96"/>
      <c r="AJ827" s="96"/>
      <c r="AK827" s="96"/>
      <c r="AL827" s="96"/>
      <c r="AM827" s="96"/>
      <c r="AN827" s="96"/>
    </row>
    <row r="828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  <c r="AC828" s="96"/>
      <c r="AD828" s="96"/>
      <c r="AE828" s="96"/>
      <c r="AF828" s="96"/>
      <c r="AG828" s="96"/>
      <c r="AH828" s="96"/>
      <c r="AI828" s="96"/>
      <c r="AJ828" s="96"/>
      <c r="AK828" s="96"/>
      <c r="AL828" s="96"/>
      <c r="AM828" s="96"/>
      <c r="AN828" s="96"/>
    </row>
    <row r="829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  <c r="AC829" s="96"/>
      <c r="AD829" s="96"/>
      <c r="AE829" s="96"/>
      <c r="AF829" s="96"/>
      <c r="AG829" s="96"/>
      <c r="AH829" s="96"/>
      <c r="AI829" s="96"/>
      <c r="AJ829" s="96"/>
      <c r="AK829" s="96"/>
      <c r="AL829" s="96"/>
      <c r="AM829" s="96"/>
      <c r="AN829" s="96"/>
    </row>
    <row r="830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  <c r="AC830" s="96"/>
      <c r="AD830" s="96"/>
      <c r="AE830" s="96"/>
      <c r="AF830" s="96"/>
      <c r="AG830" s="96"/>
      <c r="AH830" s="96"/>
      <c r="AI830" s="96"/>
      <c r="AJ830" s="96"/>
      <c r="AK830" s="96"/>
      <c r="AL830" s="96"/>
      <c r="AM830" s="96"/>
      <c r="AN830" s="96"/>
    </row>
    <row r="83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  <c r="AC831" s="96"/>
      <c r="AD831" s="96"/>
      <c r="AE831" s="96"/>
      <c r="AF831" s="96"/>
      <c r="AG831" s="96"/>
      <c r="AH831" s="96"/>
      <c r="AI831" s="96"/>
      <c r="AJ831" s="96"/>
      <c r="AK831" s="96"/>
      <c r="AL831" s="96"/>
      <c r="AM831" s="96"/>
      <c r="AN831" s="96"/>
    </row>
    <row r="832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  <c r="AC832" s="96"/>
      <c r="AD832" s="96"/>
      <c r="AE832" s="96"/>
      <c r="AF832" s="96"/>
      <c r="AG832" s="96"/>
      <c r="AH832" s="96"/>
      <c r="AI832" s="96"/>
      <c r="AJ832" s="96"/>
      <c r="AK832" s="96"/>
      <c r="AL832" s="96"/>
      <c r="AM832" s="96"/>
      <c r="AN832" s="96"/>
    </row>
    <row r="833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  <c r="AC833" s="96"/>
      <c r="AD833" s="96"/>
      <c r="AE833" s="96"/>
      <c r="AF833" s="96"/>
      <c r="AG833" s="96"/>
      <c r="AH833" s="96"/>
      <c r="AI833" s="96"/>
      <c r="AJ833" s="96"/>
      <c r="AK833" s="96"/>
      <c r="AL833" s="96"/>
      <c r="AM833" s="96"/>
      <c r="AN833" s="96"/>
    </row>
    <row r="834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  <c r="AC834" s="96"/>
      <c r="AD834" s="96"/>
      <c r="AE834" s="96"/>
      <c r="AF834" s="96"/>
      <c r="AG834" s="96"/>
      <c r="AH834" s="96"/>
      <c r="AI834" s="96"/>
      <c r="AJ834" s="96"/>
      <c r="AK834" s="96"/>
      <c r="AL834" s="96"/>
      <c r="AM834" s="96"/>
      <c r="AN834" s="96"/>
    </row>
    <row r="83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  <c r="AC835" s="96"/>
      <c r="AD835" s="96"/>
      <c r="AE835" s="96"/>
      <c r="AF835" s="96"/>
      <c r="AG835" s="96"/>
      <c r="AH835" s="96"/>
      <c r="AI835" s="96"/>
      <c r="AJ835" s="96"/>
      <c r="AK835" s="96"/>
      <c r="AL835" s="96"/>
      <c r="AM835" s="96"/>
      <c r="AN835" s="96"/>
    </row>
    <row r="836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  <c r="AC836" s="96"/>
      <c r="AD836" s="96"/>
      <c r="AE836" s="96"/>
      <c r="AF836" s="96"/>
      <c r="AG836" s="96"/>
      <c r="AH836" s="96"/>
      <c r="AI836" s="96"/>
      <c r="AJ836" s="96"/>
      <c r="AK836" s="96"/>
      <c r="AL836" s="96"/>
      <c r="AM836" s="96"/>
      <c r="AN836" s="96"/>
    </row>
    <row r="837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  <c r="AC837" s="96"/>
      <c r="AD837" s="96"/>
      <c r="AE837" s="96"/>
      <c r="AF837" s="96"/>
      <c r="AG837" s="96"/>
      <c r="AH837" s="96"/>
      <c r="AI837" s="96"/>
      <c r="AJ837" s="96"/>
      <c r="AK837" s="96"/>
      <c r="AL837" s="96"/>
      <c r="AM837" s="96"/>
      <c r="AN837" s="96"/>
    </row>
    <row r="838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96"/>
      <c r="AC838" s="96"/>
      <c r="AD838" s="96"/>
      <c r="AE838" s="96"/>
      <c r="AF838" s="96"/>
      <c r="AG838" s="96"/>
      <c r="AH838" s="96"/>
      <c r="AI838" s="96"/>
      <c r="AJ838" s="96"/>
      <c r="AK838" s="96"/>
      <c r="AL838" s="96"/>
      <c r="AM838" s="96"/>
      <c r="AN838" s="96"/>
    </row>
    <row r="839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96"/>
      <c r="AC839" s="96"/>
      <c r="AD839" s="96"/>
      <c r="AE839" s="96"/>
      <c r="AF839" s="96"/>
      <c r="AG839" s="96"/>
      <c r="AH839" s="96"/>
      <c r="AI839" s="96"/>
      <c r="AJ839" s="96"/>
      <c r="AK839" s="96"/>
      <c r="AL839" s="96"/>
      <c r="AM839" s="96"/>
      <c r="AN839" s="96"/>
    </row>
    <row r="840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96"/>
      <c r="AC840" s="96"/>
      <c r="AD840" s="96"/>
      <c r="AE840" s="96"/>
      <c r="AF840" s="96"/>
      <c r="AG840" s="96"/>
      <c r="AH840" s="96"/>
      <c r="AI840" s="96"/>
      <c r="AJ840" s="96"/>
      <c r="AK840" s="96"/>
      <c r="AL840" s="96"/>
      <c r="AM840" s="96"/>
      <c r="AN840" s="96"/>
    </row>
    <row r="84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96"/>
      <c r="AC841" s="96"/>
      <c r="AD841" s="96"/>
      <c r="AE841" s="96"/>
      <c r="AF841" s="96"/>
      <c r="AG841" s="96"/>
      <c r="AH841" s="96"/>
      <c r="AI841" s="96"/>
      <c r="AJ841" s="96"/>
      <c r="AK841" s="96"/>
      <c r="AL841" s="96"/>
      <c r="AM841" s="96"/>
      <c r="AN841" s="96"/>
    </row>
    <row r="842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96"/>
      <c r="AC842" s="96"/>
      <c r="AD842" s="96"/>
      <c r="AE842" s="96"/>
      <c r="AF842" s="96"/>
      <c r="AG842" s="96"/>
      <c r="AH842" s="96"/>
      <c r="AI842" s="96"/>
      <c r="AJ842" s="96"/>
      <c r="AK842" s="96"/>
      <c r="AL842" s="96"/>
      <c r="AM842" s="96"/>
      <c r="AN842" s="96"/>
    </row>
    <row r="843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96"/>
      <c r="AC843" s="96"/>
      <c r="AD843" s="96"/>
      <c r="AE843" s="96"/>
      <c r="AF843" s="96"/>
      <c r="AG843" s="96"/>
      <c r="AH843" s="96"/>
      <c r="AI843" s="96"/>
      <c r="AJ843" s="96"/>
      <c r="AK843" s="96"/>
      <c r="AL843" s="96"/>
      <c r="AM843" s="96"/>
      <c r="AN843" s="96"/>
    </row>
    <row r="844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  <c r="AC844" s="96"/>
      <c r="AD844" s="96"/>
      <c r="AE844" s="96"/>
      <c r="AF844" s="96"/>
      <c r="AG844" s="96"/>
      <c r="AH844" s="96"/>
      <c r="AI844" s="96"/>
      <c r="AJ844" s="96"/>
      <c r="AK844" s="96"/>
      <c r="AL844" s="96"/>
      <c r="AM844" s="96"/>
      <c r="AN844" s="96"/>
    </row>
    <row r="84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  <c r="AC845" s="96"/>
      <c r="AD845" s="96"/>
      <c r="AE845" s="96"/>
      <c r="AF845" s="96"/>
      <c r="AG845" s="96"/>
      <c r="AH845" s="96"/>
      <c r="AI845" s="96"/>
      <c r="AJ845" s="96"/>
      <c r="AK845" s="96"/>
      <c r="AL845" s="96"/>
      <c r="AM845" s="96"/>
      <c r="AN845" s="96"/>
    </row>
    <row r="846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  <c r="AC846" s="96"/>
      <c r="AD846" s="96"/>
      <c r="AE846" s="96"/>
      <c r="AF846" s="96"/>
      <c r="AG846" s="96"/>
      <c r="AH846" s="96"/>
      <c r="AI846" s="96"/>
      <c r="AJ846" s="96"/>
      <c r="AK846" s="96"/>
      <c r="AL846" s="96"/>
      <c r="AM846" s="96"/>
      <c r="AN846" s="96"/>
    </row>
    <row r="847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  <c r="AC847" s="96"/>
      <c r="AD847" s="96"/>
      <c r="AE847" s="96"/>
      <c r="AF847" s="96"/>
      <c r="AG847" s="96"/>
      <c r="AH847" s="96"/>
      <c r="AI847" s="96"/>
      <c r="AJ847" s="96"/>
      <c r="AK847" s="96"/>
      <c r="AL847" s="96"/>
      <c r="AM847" s="96"/>
      <c r="AN847" s="96"/>
    </row>
    <row r="848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  <c r="AC848" s="96"/>
      <c r="AD848" s="96"/>
      <c r="AE848" s="96"/>
      <c r="AF848" s="96"/>
      <c r="AG848" s="96"/>
      <c r="AH848" s="96"/>
      <c r="AI848" s="96"/>
      <c r="AJ848" s="96"/>
      <c r="AK848" s="96"/>
      <c r="AL848" s="96"/>
      <c r="AM848" s="96"/>
      <c r="AN848" s="96"/>
    </row>
    <row r="849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  <c r="AC849" s="96"/>
      <c r="AD849" s="96"/>
      <c r="AE849" s="96"/>
      <c r="AF849" s="96"/>
      <c r="AG849" s="96"/>
      <c r="AH849" s="96"/>
      <c r="AI849" s="96"/>
      <c r="AJ849" s="96"/>
      <c r="AK849" s="96"/>
      <c r="AL849" s="96"/>
      <c r="AM849" s="96"/>
      <c r="AN849" s="96"/>
    </row>
    <row r="850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  <c r="AC850" s="96"/>
      <c r="AD850" s="96"/>
      <c r="AE850" s="96"/>
      <c r="AF850" s="96"/>
      <c r="AG850" s="96"/>
      <c r="AH850" s="96"/>
      <c r="AI850" s="96"/>
      <c r="AJ850" s="96"/>
      <c r="AK850" s="96"/>
      <c r="AL850" s="96"/>
      <c r="AM850" s="96"/>
      <c r="AN850" s="96"/>
    </row>
    <row r="85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  <c r="AC851" s="96"/>
      <c r="AD851" s="96"/>
      <c r="AE851" s="96"/>
      <c r="AF851" s="96"/>
      <c r="AG851" s="96"/>
      <c r="AH851" s="96"/>
      <c r="AI851" s="96"/>
      <c r="AJ851" s="96"/>
      <c r="AK851" s="96"/>
      <c r="AL851" s="96"/>
      <c r="AM851" s="96"/>
      <c r="AN851" s="96"/>
    </row>
    <row r="852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  <c r="AC852" s="96"/>
      <c r="AD852" s="96"/>
      <c r="AE852" s="96"/>
      <c r="AF852" s="96"/>
      <c r="AG852" s="96"/>
      <c r="AH852" s="96"/>
      <c r="AI852" s="96"/>
      <c r="AJ852" s="96"/>
      <c r="AK852" s="96"/>
      <c r="AL852" s="96"/>
      <c r="AM852" s="96"/>
      <c r="AN852" s="96"/>
    </row>
    <row r="853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96"/>
      <c r="AC853" s="96"/>
      <c r="AD853" s="96"/>
      <c r="AE853" s="96"/>
      <c r="AF853" s="96"/>
      <c r="AG853" s="96"/>
      <c r="AH853" s="96"/>
      <c r="AI853" s="96"/>
      <c r="AJ853" s="96"/>
      <c r="AK853" s="96"/>
      <c r="AL853" s="96"/>
      <c r="AM853" s="96"/>
      <c r="AN853" s="96"/>
    </row>
    <row r="854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96"/>
      <c r="AC854" s="96"/>
      <c r="AD854" s="96"/>
      <c r="AE854" s="96"/>
      <c r="AF854" s="96"/>
      <c r="AG854" s="96"/>
      <c r="AH854" s="96"/>
      <c r="AI854" s="96"/>
      <c r="AJ854" s="96"/>
      <c r="AK854" s="96"/>
      <c r="AL854" s="96"/>
      <c r="AM854" s="96"/>
      <c r="AN854" s="96"/>
    </row>
    <row r="85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96"/>
      <c r="AC855" s="96"/>
      <c r="AD855" s="96"/>
      <c r="AE855" s="96"/>
      <c r="AF855" s="96"/>
      <c r="AG855" s="96"/>
      <c r="AH855" s="96"/>
      <c r="AI855" s="96"/>
      <c r="AJ855" s="96"/>
      <c r="AK855" s="96"/>
      <c r="AL855" s="96"/>
      <c r="AM855" s="96"/>
      <c r="AN855" s="96"/>
    </row>
    <row r="856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  <c r="AC856" s="96"/>
      <c r="AD856" s="96"/>
      <c r="AE856" s="96"/>
      <c r="AF856" s="96"/>
      <c r="AG856" s="96"/>
      <c r="AH856" s="96"/>
      <c r="AI856" s="96"/>
      <c r="AJ856" s="96"/>
      <c r="AK856" s="96"/>
      <c r="AL856" s="96"/>
      <c r="AM856" s="96"/>
      <c r="AN856" s="96"/>
    </row>
    <row r="857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  <c r="AC857" s="96"/>
      <c r="AD857" s="96"/>
      <c r="AE857" s="96"/>
      <c r="AF857" s="96"/>
      <c r="AG857" s="96"/>
      <c r="AH857" s="96"/>
      <c r="AI857" s="96"/>
      <c r="AJ857" s="96"/>
      <c r="AK857" s="96"/>
      <c r="AL857" s="96"/>
      <c r="AM857" s="96"/>
      <c r="AN857" s="96"/>
    </row>
    <row r="858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96"/>
      <c r="AC858" s="96"/>
      <c r="AD858" s="96"/>
      <c r="AE858" s="96"/>
      <c r="AF858" s="96"/>
      <c r="AG858" s="96"/>
      <c r="AH858" s="96"/>
      <c r="AI858" s="96"/>
      <c r="AJ858" s="96"/>
      <c r="AK858" s="96"/>
      <c r="AL858" s="96"/>
      <c r="AM858" s="96"/>
      <c r="AN858" s="96"/>
    </row>
    <row r="859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96"/>
      <c r="AC859" s="96"/>
      <c r="AD859" s="96"/>
      <c r="AE859" s="96"/>
      <c r="AF859" s="96"/>
      <c r="AG859" s="96"/>
      <c r="AH859" s="96"/>
      <c r="AI859" s="96"/>
      <c r="AJ859" s="96"/>
      <c r="AK859" s="96"/>
      <c r="AL859" s="96"/>
      <c r="AM859" s="96"/>
      <c r="AN859" s="96"/>
    </row>
    <row r="860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  <c r="AC860" s="96"/>
      <c r="AD860" s="96"/>
      <c r="AE860" s="96"/>
      <c r="AF860" s="96"/>
      <c r="AG860" s="96"/>
      <c r="AH860" s="96"/>
      <c r="AI860" s="96"/>
      <c r="AJ860" s="96"/>
      <c r="AK860" s="96"/>
      <c r="AL860" s="96"/>
      <c r="AM860" s="96"/>
      <c r="AN860" s="96"/>
    </row>
    <row r="86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  <c r="AC861" s="96"/>
      <c r="AD861" s="96"/>
      <c r="AE861" s="96"/>
      <c r="AF861" s="96"/>
      <c r="AG861" s="96"/>
      <c r="AH861" s="96"/>
      <c r="AI861" s="96"/>
      <c r="AJ861" s="96"/>
      <c r="AK861" s="96"/>
      <c r="AL861" s="96"/>
      <c r="AM861" s="96"/>
      <c r="AN861" s="96"/>
    </row>
    <row r="862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  <c r="AC862" s="96"/>
      <c r="AD862" s="96"/>
      <c r="AE862" s="96"/>
      <c r="AF862" s="96"/>
      <c r="AG862" s="96"/>
      <c r="AH862" s="96"/>
      <c r="AI862" s="96"/>
      <c r="AJ862" s="96"/>
      <c r="AK862" s="96"/>
      <c r="AL862" s="96"/>
      <c r="AM862" s="96"/>
      <c r="AN862" s="96"/>
    </row>
    <row r="863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  <c r="AC863" s="96"/>
      <c r="AD863" s="96"/>
      <c r="AE863" s="96"/>
      <c r="AF863" s="96"/>
      <c r="AG863" s="96"/>
      <c r="AH863" s="96"/>
      <c r="AI863" s="96"/>
      <c r="AJ863" s="96"/>
      <c r="AK863" s="96"/>
      <c r="AL863" s="96"/>
      <c r="AM863" s="96"/>
      <c r="AN863" s="96"/>
    </row>
    <row r="864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  <c r="AC864" s="96"/>
      <c r="AD864" s="96"/>
      <c r="AE864" s="96"/>
      <c r="AF864" s="96"/>
      <c r="AG864" s="96"/>
      <c r="AH864" s="96"/>
      <c r="AI864" s="96"/>
      <c r="AJ864" s="96"/>
      <c r="AK864" s="96"/>
      <c r="AL864" s="96"/>
      <c r="AM864" s="96"/>
      <c r="AN864" s="96"/>
    </row>
    <row r="86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  <c r="AC865" s="96"/>
      <c r="AD865" s="96"/>
      <c r="AE865" s="96"/>
      <c r="AF865" s="96"/>
      <c r="AG865" s="96"/>
      <c r="AH865" s="96"/>
      <c r="AI865" s="96"/>
      <c r="AJ865" s="96"/>
      <c r="AK865" s="96"/>
      <c r="AL865" s="96"/>
      <c r="AM865" s="96"/>
      <c r="AN865" s="96"/>
    </row>
    <row r="866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  <c r="AC866" s="96"/>
      <c r="AD866" s="96"/>
      <c r="AE866" s="96"/>
      <c r="AF866" s="96"/>
      <c r="AG866" s="96"/>
      <c r="AH866" s="96"/>
      <c r="AI866" s="96"/>
      <c r="AJ866" s="96"/>
      <c r="AK866" s="96"/>
      <c r="AL866" s="96"/>
      <c r="AM866" s="96"/>
      <c r="AN866" s="96"/>
    </row>
    <row r="867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  <c r="AC867" s="96"/>
      <c r="AD867" s="96"/>
      <c r="AE867" s="96"/>
      <c r="AF867" s="96"/>
      <c r="AG867" s="96"/>
      <c r="AH867" s="96"/>
      <c r="AI867" s="96"/>
      <c r="AJ867" s="96"/>
      <c r="AK867" s="96"/>
      <c r="AL867" s="96"/>
      <c r="AM867" s="96"/>
      <c r="AN867" s="96"/>
    </row>
    <row r="868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96"/>
      <c r="AC868" s="96"/>
      <c r="AD868" s="96"/>
      <c r="AE868" s="96"/>
      <c r="AF868" s="96"/>
      <c r="AG868" s="96"/>
      <c r="AH868" s="96"/>
      <c r="AI868" s="96"/>
      <c r="AJ868" s="96"/>
      <c r="AK868" s="96"/>
      <c r="AL868" s="96"/>
      <c r="AM868" s="96"/>
      <c r="AN868" s="96"/>
    </row>
    <row r="869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96"/>
      <c r="AC869" s="96"/>
      <c r="AD869" s="96"/>
      <c r="AE869" s="96"/>
      <c r="AF869" s="96"/>
      <c r="AG869" s="96"/>
      <c r="AH869" s="96"/>
      <c r="AI869" s="96"/>
      <c r="AJ869" s="96"/>
      <c r="AK869" s="96"/>
      <c r="AL869" s="96"/>
      <c r="AM869" s="96"/>
      <c r="AN869" s="96"/>
    </row>
    <row r="870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  <c r="AB870" s="96"/>
      <c r="AC870" s="96"/>
      <c r="AD870" s="96"/>
      <c r="AE870" s="96"/>
      <c r="AF870" s="96"/>
      <c r="AG870" s="96"/>
      <c r="AH870" s="96"/>
      <c r="AI870" s="96"/>
      <c r="AJ870" s="96"/>
      <c r="AK870" s="96"/>
      <c r="AL870" s="96"/>
      <c r="AM870" s="96"/>
      <c r="AN870" s="96"/>
    </row>
    <row r="87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  <c r="AB871" s="96"/>
      <c r="AC871" s="96"/>
      <c r="AD871" s="96"/>
      <c r="AE871" s="96"/>
      <c r="AF871" s="96"/>
      <c r="AG871" s="96"/>
      <c r="AH871" s="96"/>
      <c r="AI871" s="96"/>
      <c r="AJ871" s="96"/>
      <c r="AK871" s="96"/>
      <c r="AL871" s="96"/>
      <c r="AM871" s="96"/>
      <c r="AN871" s="96"/>
    </row>
    <row r="872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96"/>
      <c r="AC872" s="96"/>
      <c r="AD872" s="96"/>
      <c r="AE872" s="96"/>
      <c r="AF872" s="96"/>
      <c r="AG872" s="96"/>
      <c r="AH872" s="96"/>
      <c r="AI872" s="96"/>
      <c r="AJ872" s="96"/>
      <c r="AK872" s="96"/>
      <c r="AL872" s="96"/>
      <c r="AM872" s="96"/>
      <c r="AN872" s="96"/>
    </row>
    <row r="873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96"/>
      <c r="AC873" s="96"/>
      <c r="AD873" s="96"/>
      <c r="AE873" s="96"/>
      <c r="AF873" s="96"/>
      <c r="AG873" s="96"/>
      <c r="AH873" s="96"/>
      <c r="AI873" s="96"/>
      <c r="AJ873" s="96"/>
      <c r="AK873" s="96"/>
      <c r="AL873" s="96"/>
      <c r="AM873" s="96"/>
      <c r="AN873" s="96"/>
    </row>
    <row r="874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  <c r="AC874" s="96"/>
      <c r="AD874" s="96"/>
      <c r="AE874" s="96"/>
      <c r="AF874" s="96"/>
      <c r="AG874" s="96"/>
      <c r="AH874" s="96"/>
      <c r="AI874" s="96"/>
      <c r="AJ874" s="96"/>
      <c r="AK874" s="96"/>
      <c r="AL874" s="96"/>
      <c r="AM874" s="96"/>
      <c r="AN874" s="96"/>
    </row>
    <row r="87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  <c r="AC875" s="96"/>
      <c r="AD875" s="96"/>
      <c r="AE875" s="96"/>
      <c r="AF875" s="96"/>
      <c r="AG875" s="96"/>
      <c r="AH875" s="96"/>
      <c r="AI875" s="96"/>
      <c r="AJ875" s="96"/>
      <c r="AK875" s="96"/>
      <c r="AL875" s="96"/>
      <c r="AM875" s="96"/>
      <c r="AN875" s="96"/>
    </row>
    <row r="876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  <c r="AC876" s="96"/>
      <c r="AD876" s="96"/>
      <c r="AE876" s="96"/>
      <c r="AF876" s="96"/>
      <c r="AG876" s="96"/>
      <c r="AH876" s="96"/>
      <c r="AI876" s="96"/>
      <c r="AJ876" s="96"/>
      <c r="AK876" s="96"/>
      <c r="AL876" s="96"/>
      <c r="AM876" s="96"/>
      <c r="AN876" s="96"/>
    </row>
    <row r="877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96"/>
      <c r="AC877" s="96"/>
      <c r="AD877" s="96"/>
      <c r="AE877" s="96"/>
      <c r="AF877" s="96"/>
      <c r="AG877" s="96"/>
      <c r="AH877" s="96"/>
      <c r="AI877" s="96"/>
      <c r="AJ877" s="96"/>
      <c r="AK877" s="96"/>
      <c r="AL877" s="96"/>
      <c r="AM877" s="96"/>
      <c r="AN877" s="96"/>
    </row>
    <row r="878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  <c r="AB878" s="96"/>
      <c r="AC878" s="96"/>
      <c r="AD878" s="96"/>
      <c r="AE878" s="96"/>
      <c r="AF878" s="96"/>
      <c r="AG878" s="96"/>
      <c r="AH878" s="96"/>
      <c r="AI878" s="96"/>
      <c r="AJ878" s="96"/>
      <c r="AK878" s="96"/>
      <c r="AL878" s="96"/>
      <c r="AM878" s="96"/>
      <c r="AN878" s="96"/>
    </row>
    <row r="879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  <c r="AB879" s="96"/>
      <c r="AC879" s="96"/>
      <c r="AD879" s="96"/>
      <c r="AE879" s="96"/>
      <c r="AF879" s="96"/>
      <c r="AG879" s="96"/>
      <c r="AH879" s="96"/>
      <c r="AI879" s="96"/>
      <c r="AJ879" s="96"/>
      <c r="AK879" s="96"/>
      <c r="AL879" s="96"/>
      <c r="AM879" s="96"/>
      <c r="AN879" s="96"/>
    </row>
    <row r="880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  <c r="AB880" s="96"/>
      <c r="AC880" s="96"/>
      <c r="AD880" s="96"/>
      <c r="AE880" s="96"/>
      <c r="AF880" s="96"/>
      <c r="AG880" s="96"/>
      <c r="AH880" s="96"/>
      <c r="AI880" s="96"/>
      <c r="AJ880" s="96"/>
      <c r="AK880" s="96"/>
      <c r="AL880" s="96"/>
      <c r="AM880" s="96"/>
      <c r="AN880" s="96"/>
    </row>
    <row r="88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  <c r="AB881" s="96"/>
      <c r="AC881" s="96"/>
      <c r="AD881" s="96"/>
      <c r="AE881" s="96"/>
      <c r="AF881" s="96"/>
      <c r="AG881" s="96"/>
      <c r="AH881" s="96"/>
      <c r="AI881" s="96"/>
      <c r="AJ881" s="96"/>
      <c r="AK881" s="96"/>
      <c r="AL881" s="96"/>
      <c r="AM881" s="96"/>
      <c r="AN881" s="96"/>
    </row>
    <row r="882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  <c r="AB882" s="96"/>
      <c r="AC882" s="96"/>
      <c r="AD882" s="96"/>
      <c r="AE882" s="96"/>
      <c r="AF882" s="96"/>
      <c r="AG882" s="96"/>
      <c r="AH882" s="96"/>
      <c r="AI882" s="96"/>
      <c r="AJ882" s="96"/>
      <c r="AK882" s="96"/>
      <c r="AL882" s="96"/>
      <c r="AM882" s="96"/>
      <c r="AN882" s="96"/>
    </row>
    <row r="883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  <c r="AB883" s="96"/>
      <c r="AC883" s="96"/>
      <c r="AD883" s="96"/>
      <c r="AE883" s="96"/>
      <c r="AF883" s="96"/>
      <c r="AG883" s="96"/>
      <c r="AH883" s="96"/>
      <c r="AI883" s="96"/>
      <c r="AJ883" s="96"/>
      <c r="AK883" s="96"/>
      <c r="AL883" s="96"/>
      <c r="AM883" s="96"/>
      <c r="AN883" s="96"/>
    </row>
    <row r="884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  <c r="AB884" s="96"/>
      <c r="AC884" s="96"/>
      <c r="AD884" s="96"/>
      <c r="AE884" s="96"/>
      <c r="AF884" s="96"/>
      <c r="AG884" s="96"/>
      <c r="AH884" s="96"/>
      <c r="AI884" s="96"/>
      <c r="AJ884" s="96"/>
      <c r="AK884" s="96"/>
      <c r="AL884" s="96"/>
      <c r="AM884" s="96"/>
      <c r="AN884" s="96"/>
    </row>
    <row r="88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  <c r="AB885" s="96"/>
      <c r="AC885" s="96"/>
      <c r="AD885" s="96"/>
      <c r="AE885" s="96"/>
      <c r="AF885" s="96"/>
      <c r="AG885" s="96"/>
      <c r="AH885" s="96"/>
      <c r="AI885" s="96"/>
      <c r="AJ885" s="96"/>
      <c r="AK885" s="96"/>
      <c r="AL885" s="96"/>
      <c r="AM885" s="96"/>
      <c r="AN885" s="96"/>
    </row>
    <row r="886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  <c r="AB886" s="96"/>
      <c r="AC886" s="96"/>
      <c r="AD886" s="96"/>
      <c r="AE886" s="96"/>
      <c r="AF886" s="96"/>
      <c r="AG886" s="96"/>
      <c r="AH886" s="96"/>
      <c r="AI886" s="96"/>
      <c r="AJ886" s="96"/>
      <c r="AK886" s="96"/>
      <c r="AL886" s="96"/>
      <c r="AM886" s="96"/>
      <c r="AN886" s="96"/>
    </row>
    <row r="887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  <c r="AB887" s="96"/>
      <c r="AC887" s="96"/>
      <c r="AD887" s="96"/>
      <c r="AE887" s="96"/>
      <c r="AF887" s="96"/>
      <c r="AG887" s="96"/>
      <c r="AH887" s="96"/>
      <c r="AI887" s="96"/>
      <c r="AJ887" s="96"/>
      <c r="AK887" s="96"/>
      <c r="AL887" s="96"/>
      <c r="AM887" s="96"/>
      <c r="AN887" s="96"/>
    </row>
    <row r="888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  <c r="AB888" s="96"/>
      <c r="AC888" s="96"/>
      <c r="AD888" s="96"/>
      <c r="AE888" s="96"/>
      <c r="AF888" s="96"/>
      <c r="AG888" s="96"/>
      <c r="AH888" s="96"/>
      <c r="AI888" s="96"/>
      <c r="AJ888" s="96"/>
      <c r="AK888" s="96"/>
      <c r="AL888" s="96"/>
      <c r="AM888" s="96"/>
      <c r="AN888" s="96"/>
    </row>
    <row r="889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  <c r="AB889" s="96"/>
      <c r="AC889" s="96"/>
      <c r="AD889" s="96"/>
      <c r="AE889" s="96"/>
      <c r="AF889" s="96"/>
      <c r="AG889" s="96"/>
      <c r="AH889" s="96"/>
      <c r="AI889" s="96"/>
      <c r="AJ889" s="96"/>
      <c r="AK889" s="96"/>
      <c r="AL889" s="96"/>
      <c r="AM889" s="96"/>
      <c r="AN889" s="96"/>
    </row>
    <row r="890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  <c r="AB890" s="96"/>
      <c r="AC890" s="96"/>
      <c r="AD890" s="96"/>
      <c r="AE890" s="96"/>
      <c r="AF890" s="96"/>
      <c r="AG890" s="96"/>
      <c r="AH890" s="96"/>
      <c r="AI890" s="96"/>
      <c r="AJ890" s="96"/>
      <c r="AK890" s="96"/>
      <c r="AL890" s="96"/>
      <c r="AM890" s="96"/>
      <c r="AN890" s="96"/>
    </row>
    <row r="89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  <c r="AB891" s="96"/>
      <c r="AC891" s="96"/>
      <c r="AD891" s="96"/>
      <c r="AE891" s="96"/>
      <c r="AF891" s="96"/>
      <c r="AG891" s="96"/>
      <c r="AH891" s="96"/>
      <c r="AI891" s="96"/>
      <c r="AJ891" s="96"/>
      <c r="AK891" s="96"/>
      <c r="AL891" s="96"/>
      <c r="AM891" s="96"/>
      <c r="AN891" s="96"/>
    </row>
    <row r="892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  <c r="AB892" s="96"/>
      <c r="AC892" s="96"/>
      <c r="AD892" s="96"/>
      <c r="AE892" s="96"/>
      <c r="AF892" s="96"/>
      <c r="AG892" s="96"/>
      <c r="AH892" s="96"/>
      <c r="AI892" s="96"/>
      <c r="AJ892" s="96"/>
      <c r="AK892" s="96"/>
      <c r="AL892" s="96"/>
      <c r="AM892" s="96"/>
      <c r="AN892" s="96"/>
    </row>
    <row r="893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  <c r="AB893" s="96"/>
      <c r="AC893" s="96"/>
      <c r="AD893" s="96"/>
      <c r="AE893" s="96"/>
      <c r="AF893" s="96"/>
      <c r="AG893" s="96"/>
      <c r="AH893" s="96"/>
      <c r="AI893" s="96"/>
      <c r="AJ893" s="96"/>
      <c r="AK893" s="96"/>
      <c r="AL893" s="96"/>
      <c r="AM893" s="96"/>
      <c r="AN893" s="96"/>
    </row>
    <row r="894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  <c r="AB894" s="96"/>
      <c r="AC894" s="96"/>
      <c r="AD894" s="96"/>
      <c r="AE894" s="96"/>
      <c r="AF894" s="96"/>
      <c r="AG894" s="96"/>
      <c r="AH894" s="96"/>
      <c r="AI894" s="96"/>
      <c r="AJ894" s="96"/>
      <c r="AK894" s="96"/>
      <c r="AL894" s="96"/>
      <c r="AM894" s="96"/>
      <c r="AN894" s="96"/>
    </row>
    <row r="89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  <c r="AB895" s="96"/>
      <c r="AC895" s="96"/>
      <c r="AD895" s="96"/>
      <c r="AE895" s="96"/>
      <c r="AF895" s="96"/>
      <c r="AG895" s="96"/>
      <c r="AH895" s="96"/>
      <c r="AI895" s="96"/>
      <c r="AJ895" s="96"/>
      <c r="AK895" s="96"/>
      <c r="AL895" s="96"/>
      <c r="AM895" s="96"/>
      <c r="AN895" s="96"/>
    </row>
    <row r="896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  <c r="AB896" s="96"/>
      <c r="AC896" s="96"/>
      <c r="AD896" s="96"/>
      <c r="AE896" s="96"/>
      <c r="AF896" s="96"/>
      <c r="AG896" s="96"/>
      <c r="AH896" s="96"/>
      <c r="AI896" s="96"/>
      <c r="AJ896" s="96"/>
      <c r="AK896" s="96"/>
      <c r="AL896" s="96"/>
      <c r="AM896" s="96"/>
      <c r="AN896" s="96"/>
    </row>
    <row r="897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  <c r="AB897" s="96"/>
      <c r="AC897" s="96"/>
      <c r="AD897" s="96"/>
      <c r="AE897" s="96"/>
      <c r="AF897" s="96"/>
      <c r="AG897" s="96"/>
      <c r="AH897" s="96"/>
      <c r="AI897" s="96"/>
      <c r="AJ897" s="96"/>
      <c r="AK897" s="96"/>
      <c r="AL897" s="96"/>
      <c r="AM897" s="96"/>
      <c r="AN897" s="96"/>
    </row>
    <row r="898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  <c r="AB898" s="96"/>
      <c r="AC898" s="96"/>
      <c r="AD898" s="96"/>
      <c r="AE898" s="96"/>
      <c r="AF898" s="96"/>
      <c r="AG898" s="96"/>
      <c r="AH898" s="96"/>
      <c r="AI898" s="96"/>
      <c r="AJ898" s="96"/>
      <c r="AK898" s="96"/>
      <c r="AL898" s="96"/>
      <c r="AM898" s="96"/>
      <c r="AN898" s="96"/>
    </row>
    <row r="899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  <c r="AB899" s="96"/>
      <c r="AC899" s="96"/>
      <c r="AD899" s="96"/>
      <c r="AE899" s="96"/>
      <c r="AF899" s="96"/>
      <c r="AG899" s="96"/>
      <c r="AH899" s="96"/>
      <c r="AI899" s="96"/>
      <c r="AJ899" s="96"/>
      <c r="AK899" s="96"/>
      <c r="AL899" s="96"/>
      <c r="AM899" s="96"/>
      <c r="AN899" s="96"/>
    </row>
    <row r="900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  <c r="AB900" s="96"/>
      <c r="AC900" s="96"/>
      <c r="AD900" s="96"/>
      <c r="AE900" s="96"/>
      <c r="AF900" s="96"/>
      <c r="AG900" s="96"/>
      <c r="AH900" s="96"/>
      <c r="AI900" s="96"/>
      <c r="AJ900" s="96"/>
      <c r="AK900" s="96"/>
      <c r="AL900" s="96"/>
      <c r="AM900" s="96"/>
      <c r="AN900" s="96"/>
    </row>
    <row r="90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  <c r="AB901" s="96"/>
      <c r="AC901" s="96"/>
      <c r="AD901" s="96"/>
      <c r="AE901" s="96"/>
      <c r="AF901" s="96"/>
      <c r="AG901" s="96"/>
      <c r="AH901" s="96"/>
      <c r="AI901" s="96"/>
      <c r="AJ901" s="96"/>
      <c r="AK901" s="96"/>
      <c r="AL901" s="96"/>
      <c r="AM901" s="96"/>
      <c r="AN901" s="96"/>
    </row>
    <row r="902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  <c r="AB902" s="96"/>
      <c r="AC902" s="96"/>
      <c r="AD902" s="96"/>
      <c r="AE902" s="96"/>
      <c r="AF902" s="96"/>
      <c r="AG902" s="96"/>
      <c r="AH902" s="96"/>
      <c r="AI902" s="96"/>
      <c r="AJ902" s="96"/>
      <c r="AK902" s="96"/>
      <c r="AL902" s="96"/>
      <c r="AM902" s="96"/>
      <c r="AN902" s="96"/>
    </row>
    <row r="903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  <c r="AB903" s="96"/>
      <c r="AC903" s="96"/>
      <c r="AD903" s="96"/>
      <c r="AE903" s="96"/>
      <c r="AF903" s="96"/>
      <c r="AG903" s="96"/>
      <c r="AH903" s="96"/>
      <c r="AI903" s="96"/>
      <c r="AJ903" s="96"/>
      <c r="AK903" s="96"/>
      <c r="AL903" s="96"/>
      <c r="AM903" s="96"/>
      <c r="AN903" s="96"/>
    </row>
    <row r="904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  <c r="AB904" s="96"/>
      <c r="AC904" s="96"/>
      <c r="AD904" s="96"/>
      <c r="AE904" s="96"/>
      <c r="AF904" s="96"/>
      <c r="AG904" s="96"/>
      <c r="AH904" s="96"/>
      <c r="AI904" s="96"/>
      <c r="AJ904" s="96"/>
      <c r="AK904" s="96"/>
      <c r="AL904" s="96"/>
      <c r="AM904" s="96"/>
      <c r="AN904" s="96"/>
    </row>
    <row r="90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  <c r="AB905" s="96"/>
      <c r="AC905" s="96"/>
      <c r="AD905" s="96"/>
      <c r="AE905" s="96"/>
      <c r="AF905" s="96"/>
      <c r="AG905" s="96"/>
      <c r="AH905" s="96"/>
      <c r="AI905" s="96"/>
      <c r="AJ905" s="96"/>
      <c r="AK905" s="96"/>
      <c r="AL905" s="96"/>
      <c r="AM905" s="96"/>
      <c r="AN905" s="96"/>
    </row>
    <row r="906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  <c r="AB906" s="96"/>
      <c r="AC906" s="96"/>
      <c r="AD906" s="96"/>
      <c r="AE906" s="96"/>
      <c r="AF906" s="96"/>
      <c r="AG906" s="96"/>
      <c r="AH906" s="96"/>
      <c r="AI906" s="96"/>
      <c r="AJ906" s="96"/>
      <c r="AK906" s="96"/>
      <c r="AL906" s="96"/>
      <c r="AM906" s="96"/>
      <c r="AN906" s="96"/>
    </row>
    <row r="907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  <c r="AB907" s="96"/>
      <c r="AC907" s="96"/>
      <c r="AD907" s="96"/>
      <c r="AE907" s="96"/>
      <c r="AF907" s="96"/>
      <c r="AG907" s="96"/>
      <c r="AH907" s="96"/>
      <c r="AI907" s="96"/>
      <c r="AJ907" s="96"/>
      <c r="AK907" s="96"/>
      <c r="AL907" s="96"/>
      <c r="AM907" s="96"/>
      <c r="AN907" s="96"/>
    </row>
    <row r="908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  <c r="AB908" s="96"/>
      <c r="AC908" s="96"/>
      <c r="AD908" s="96"/>
      <c r="AE908" s="96"/>
      <c r="AF908" s="96"/>
      <c r="AG908" s="96"/>
      <c r="AH908" s="96"/>
      <c r="AI908" s="96"/>
      <c r="AJ908" s="96"/>
      <c r="AK908" s="96"/>
      <c r="AL908" s="96"/>
      <c r="AM908" s="96"/>
      <c r="AN908" s="96"/>
    </row>
    <row r="909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  <c r="AB909" s="96"/>
      <c r="AC909" s="96"/>
      <c r="AD909" s="96"/>
      <c r="AE909" s="96"/>
      <c r="AF909" s="96"/>
      <c r="AG909" s="96"/>
      <c r="AH909" s="96"/>
      <c r="AI909" s="96"/>
      <c r="AJ909" s="96"/>
      <c r="AK909" s="96"/>
      <c r="AL909" s="96"/>
      <c r="AM909" s="96"/>
      <c r="AN909" s="96"/>
    </row>
    <row r="910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  <c r="AB910" s="96"/>
      <c r="AC910" s="96"/>
      <c r="AD910" s="96"/>
      <c r="AE910" s="96"/>
      <c r="AF910" s="96"/>
      <c r="AG910" s="96"/>
      <c r="AH910" s="96"/>
      <c r="AI910" s="96"/>
      <c r="AJ910" s="96"/>
      <c r="AK910" s="96"/>
      <c r="AL910" s="96"/>
      <c r="AM910" s="96"/>
      <c r="AN910" s="96"/>
    </row>
    <row r="91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  <c r="AB911" s="96"/>
      <c r="AC911" s="96"/>
      <c r="AD911" s="96"/>
      <c r="AE911" s="96"/>
      <c r="AF911" s="96"/>
      <c r="AG911" s="96"/>
      <c r="AH911" s="96"/>
      <c r="AI911" s="96"/>
      <c r="AJ911" s="96"/>
      <c r="AK911" s="96"/>
      <c r="AL911" s="96"/>
      <c r="AM911" s="96"/>
      <c r="AN911" s="96"/>
    </row>
    <row r="912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  <c r="AB912" s="96"/>
      <c r="AC912" s="96"/>
      <c r="AD912" s="96"/>
      <c r="AE912" s="96"/>
      <c r="AF912" s="96"/>
      <c r="AG912" s="96"/>
      <c r="AH912" s="96"/>
      <c r="AI912" s="96"/>
      <c r="AJ912" s="96"/>
      <c r="AK912" s="96"/>
      <c r="AL912" s="96"/>
      <c r="AM912" s="96"/>
      <c r="AN912" s="96"/>
    </row>
    <row r="913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96"/>
      <c r="AC913" s="96"/>
      <c r="AD913" s="96"/>
      <c r="AE913" s="96"/>
      <c r="AF913" s="96"/>
      <c r="AG913" s="96"/>
      <c r="AH913" s="96"/>
      <c r="AI913" s="96"/>
      <c r="AJ913" s="96"/>
      <c r="AK913" s="96"/>
      <c r="AL913" s="96"/>
      <c r="AM913" s="96"/>
      <c r="AN913" s="96"/>
    </row>
    <row r="914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  <c r="AB914" s="96"/>
      <c r="AC914" s="96"/>
      <c r="AD914" s="96"/>
      <c r="AE914" s="96"/>
      <c r="AF914" s="96"/>
      <c r="AG914" s="96"/>
      <c r="AH914" s="96"/>
      <c r="AI914" s="96"/>
      <c r="AJ914" s="96"/>
      <c r="AK914" s="96"/>
      <c r="AL914" s="96"/>
      <c r="AM914" s="96"/>
      <c r="AN914" s="96"/>
    </row>
    <row r="91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96"/>
      <c r="AC915" s="96"/>
      <c r="AD915" s="96"/>
      <c r="AE915" s="96"/>
      <c r="AF915" s="96"/>
      <c r="AG915" s="96"/>
      <c r="AH915" s="96"/>
      <c r="AI915" s="96"/>
      <c r="AJ915" s="96"/>
      <c r="AK915" s="96"/>
      <c r="AL915" s="96"/>
      <c r="AM915" s="96"/>
      <c r="AN915" s="96"/>
    </row>
    <row r="916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  <c r="AB916" s="96"/>
      <c r="AC916" s="96"/>
      <c r="AD916" s="96"/>
      <c r="AE916" s="96"/>
      <c r="AF916" s="96"/>
      <c r="AG916" s="96"/>
      <c r="AH916" s="96"/>
      <c r="AI916" s="96"/>
      <c r="AJ916" s="96"/>
      <c r="AK916" s="96"/>
      <c r="AL916" s="96"/>
      <c r="AM916" s="96"/>
      <c r="AN916" s="96"/>
    </row>
    <row r="917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96"/>
      <c r="AC917" s="96"/>
      <c r="AD917" s="96"/>
      <c r="AE917" s="96"/>
      <c r="AF917" s="96"/>
      <c r="AG917" s="96"/>
      <c r="AH917" s="96"/>
      <c r="AI917" s="96"/>
      <c r="AJ917" s="96"/>
      <c r="AK917" s="96"/>
      <c r="AL917" s="96"/>
      <c r="AM917" s="96"/>
      <c r="AN917" s="96"/>
    </row>
    <row r="918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  <c r="AB918" s="96"/>
      <c r="AC918" s="96"/>
      <c r="AD918" s="96"/>
      <c r="AE918" s="96"/>
      <c r="AF918" s="96"/>
      <c r="AG918" s="96"/>
      <c r="AH918" s="96"/>
      <c r="AI918" s="96"/>
      <c r="AJ918" s="96"/>
      <c r="AK918" s="96"/>
      <c r="AL918" s="96"/>
      <c r="AM918" s="96"/>
      <c r="AN918" s="96"/>
    </row>
    <row r="919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96"/>
      <c r="AC919" s="96"/>
      <c r="AD919" s="96"/>
      <c r="AE919" s="96"/>
      <c r="AF919" s="96"/>
      <c r="AG919" s="96"/>
      <c r="AH919" s="96"/>
      <c r="AI919" s="96"/>
      <c r="AJ919" s="96"/>
      <c r="AK919" s="96"/>
      <c r="AL919" s="96"/>
      <c r="AM919" s="96"/>
      <c r="AN919" s="96"/>
    </row>
    <row r="920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96"/>
      <c r="AC920" s="96"/>
      <c r="AD920" s="96"/>
      <c r="AE920" s="96"/>
      <c r="AF920" s="96"/>
      <c r="AG920" s="96"/>
      <c r="AH920" s="96"/>
      <c r="AI920" s="96"/>
      <c r="AJ920" s="96"/>
      <c r="AK920" s="96"/>
      <c r="AL920" s="96"/>
      <c r="AM920" s="96"/>
      <c r="AN920" s="96"/>
    </row>
    <row r="92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96"/>
      <c r="AC921" s="96"/>
      <c r="AD921" s="96"/>
      <c r="AE921" s="96"/>
      <c r="AF921" s="96"/>
      <c r="AG921" s="96"/>
      <c r="AH921" s="96"/>
      <c r="AI921" s="96"/>
      <c r="AJ921" s="96"/>
      <c r="AK921" s="96"/>
      <c r="AL921" s="96"/>
      <c r="AM921" s="96"/>
      <c r="AN921" s="96"/>
    </row>
    <row r="922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96"/>
      <c r="AC922" s="96"/>
      <c r="AD922" s="96"/>
      <c r="AE922" s="96"/>
      <c r="AF922" s="96"/>
      <c r="AG922" s="96"/>
      <c r="AH922" s="96"/>
      <c r="AI922" s="96"/>
      <c r="AJ922" s="96"/>
      <c r="AK922" s="96"/>
      <c r="AL922" s="96"/>
      <c r="AM922" s="96"/>
      <c r="AN922" s="96"/>
    </row>
    <row r="923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96"/>
      <c r="AC923" s="96"/>
      <c r="AD923" s="96"/>
      <c r="AE923" s="96"/>
      <c r="AF923" s="96"/>
      <c r="AG923" s="96"/>
      <c r="AH923" s="96"/>
      <c r="AI923" s="96"/>
      <c r="AJ923" s="96"/>
      <c r="AK923" s="96"/>
      <c r="AL923" s="96"/>
      <c r="AM923" s="96"/>
      <c r="AN923" s="96"/>
    </row>
    <row r="924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96"/>
      <c r="AC924" s="96"/>
      <c r="AD924" s="96"/>
      <c r="AE924" s="96"/>
      <c r="AF924" s="96"/>
      <c r="AG924" s="96"/>
      <c r="AH924" s="96"/>
      <c r="AI924" s="96"/>
      <c r="AJ924" s="96"/>
      <c r="AK924" s="96"/>
      <c r="AL924" s="96"/>
      <c r="AM924" s="96"/>
      <c r="AN924" s="96"/>
    </row>
    <row r="92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96"/>
      <c r="AC925" s="96"/>
      <c r="AD925" s="96"/>
      <c r="AE925" s="96"/>
      <c r="AF925" s="96"/>
      <c r="AG925" s="96"/>
      <c r="AH925" s="96"/>
      <c r="AI925" s="96"/>
      <c r="AJ925" s="96"/>
      <c r="AK925" s="96"/>
      <c r="AL925" s="96"/>
      <c r="AM925" s="96"/>
      <c r="AN925" s="96"/>
    </row>
    <row r="926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  <c r="AC926" s="96"/>
      <c r="AD926" s="96"/>
      <c r="AE926" s="96"/>
      <c r="AF926" s="96"/>
      <c r="AG926" s="96"/>
      <c r="AH926" s="96"/>
      <c r="AI926" s="96"/>
      <c r="AJ926" s="96"/>
      <c r="AK926" s="96"/>
      <c r="AL926" s="96"/>
      <c r="AM926" s="96"/>
      <c r="AN926" s="96"/>
    </row>
    <row r="927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  <c r="AC927" s="96"/>
      <c r="AD927" s="96"/>
      <c r="AE927" s="96"/>
      <c r="AF927" s="96"/>
      <c r="AG927" s="96"/>
      <c r="AH927" s="96"/>
      <c r="AI927" s="96"/>
      <c r="AJ927" s="96"/>
      <c r="AK927" s="96"/>
      <c r="AL927" s="96"/>
      <c r="AM927" s="96"/>
      <c r="AN927" s="96"/>
    </row>
    <row r="928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  <c r="AC928" s="96"/>
      <c r="AD928" s="96"/>
      <c r="AE928" s="96"/>
      <c r="AF928" s="96"/>
      <c r="AG928" s="96"/>
      <c r="AH928" s="96"/>
      <c r="AI928" s="96"/>
      <c r="AJ928" s="96"/>
      <c r="AK928" s="96"/>
      <c r="AL928" s="96"/>
      <c r="AM928" s="96"/>
      <c r="AN928" s="96"/>
    </row>
    <row r="929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  <c r="AC929" s="96"/>
      <c r="AD929" s="96"/>
      <c r="AE929" s="96"/>
      <c r="AF929" s="96"/>
      <c r="AG929" s="96"/>
      <c r="AH929" s="96"/>
      <c r="AI929" s="96"/>
      <c r="AJ929" s="96"/>
      <c r="AK929" s="96"/>
      <c r="AL929" s="96"/>
      <c r="AM929" s="96"/>
      <c r="AN929" s="96"/>
    </row>
    <row r="930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  <c r="AC930" s="96"/>
      <c r="AD930" s="96"/>
      <c r="AE930" s="96"/>
      <c r="AF930" s="96"/>
      <c r="AG930" s="96"/>
      <c r="AH930" s="96"/>
      <c r="AI930" s="96"/>
      <c r="AJ930" s="96"/>
      <c r="AK930" s="96"/>
      <c r="AL930" s="96"/>
      <c r="AM930" s="96"/>
      <c r="AN930" s="96"/>
    </row>
    <row r="93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  <c r="AC931" s="96"/>
      <c r="AD931" s="96"/>
      <c r="AE931" s="96"/>
      <c r="AF931" s="96"/>
      <c r="AG931" s="96"/>
      <c r="AH931" s="96"/>
      <c r="AI931" s="96"/>
      <c r="AJ931" s="96"/>
      <c r="AK931" s="96"/>
      <c r="AL931" s="96"/>
      <c r="AM931" s="96"/>
      <c r="AN931" s="96"/>
    </row>
    <row r="932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  <c r="AC932" s="96"/>
      <c r="AD932" s="96"/>
      <c r="AE932" s="96"/>
      <c r="AF932" s="96"/>
      <c r="AG932" s="96"/>
      <c r="AH932" s="96"/>
      <c r="AI932" s="96"/>
      <c r="AJ932" s="96"/>
      <c r="AK932" s="96"/>
      <c r="AL932" s="96"/>
      <c r="AM932" s="96"/>
      <c r="AN932" s="96"/>
    </row>
    <row r="933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  <c r="AC933" s="96"/>
      <c r="AD933" s="96"/>
      <c r="AE933" s="96"/>
      <c r="AF933" s="96"/>
      <c r="AG933" s="96"/>
      <c r="AH933" s="96"/>
      <c r="AI933" s="96"/>
      <c r="AJ933" s="96"/>
      <c r="AK933" s="96"/>
      <c r="AL933" s="96"/>
      <c r="AM933" s="96"/>
      <c r="AN933" s="96"/>
    </row>
    <row r="934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  <c r="AC934" s="96"/>
      <c r="AD934" s="96"/>
      <c r="AE934" s="96"/>
      <c r="AF934" s="96"/>
      <c r="AG934" s="96"/>
      <c r="AH934" s="96"/>
      <c r="AI934" s="96"/>
      <c r="AJ934" s="96"/>
      <c r="AK934" s="96"/>
      <c r="AL934" s="96"/>
      <c r="AM934" s="96"/>
      <c r="AN934" s="96"/>
    </row>
    <row r="93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  <c r="AC935" s="96"/>
      <c r="AD935" s="96"/>
      <c r="AE935" s="96"/>
      <c r="AF935" s="96"/>
      <c r="AG935" s="96"/>
      <c r="AH935" s="96"/>
      <c r="AI935" s="96"/>
      <c r="AJ935" s="96"/>
      <c r="AK935" s="96"/>
      <c r="AL935" s="96"/>
      <c r="AM935" s="96"/>
      <c r="AN935" s="96"/>
    </row>
    <row r="936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  <c r="AC936" s="96"/>
      <c r="AD936" s="96"/>
      <c r="AE936" s="96"/>
      <c r="AF936" s="96"/>
      <c r="AG936" s="96"/>
      <c r="AH936" s="96"/>
      <c r="AI936" s="96"/>
      <c r="AJ936" s="96"/>
      <c r="AK936" s="96"/>
      <c r="AL936" s="96"/>
      <c r="AM936" s="96"/>
      <c r="AN936" s="96"/>
    </row>
    <row r="937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96"/>
      <c r="AC937" s="96"/>
      <c r="AD937" s="96"/>
      <c r="AE937" s="96"/>
      <c r="AF937" s="96"/>
      <c r="AG937" s="96"/>
      <c r="AH937" s="96"/>
      <c r="AI937" s="96"/>
      <c r="AJ937" s="96"/>
      <c r="AK937" s="96"/>
      <c r="AL937" s="96"/>
      <c r="AM937" s="96"/>
      <c r="AN937" s="96"/>
    </row>
    <row r="938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96"/>
      <c r="AC938" s="96"/>
      <c r="AD938" s="96"/>
      <c r="AE938" s="96"/>
      <c r="AF938" s="96"/>
      <c r="AG938" s="96"/>
      <c r="AH938" s="96"/>
      <c r="AI938" s="96"/>
      <c r="AJ938" s="96"/>
      <c r="AK938" s="96"/>
      <c r="AL938" s="96"/>
      <c r="AM938" s="96"/>
      <c r="AN938" s="96"/>
    </row>
    <row r="939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96"/>
      <c r="AC939" s="96"/>
      <c r="AD939" s="96"/>
      <c r="AE939" s="96"/>
      <c r="AF939" s="96"/>
      <c r="AG939" s="96"/>
      <c r="AH939" s="96"/>
      <c r="AI939" s="96"/>
      <c r="AJ939" s="96"/>
      <c r="AK939" s="96"/>
      <c r="AL939" s="96"/>
      <c r="AM939" s="96"/>
      <c r="AN939" s="96"/>
    </row>
    <row r="940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96"/>
      <c r="AC940" s="96"/>
      <c r="AD940" s="96"/>
      <c r="AE940" s="96"/>
      <c r="AF940" s="96"/>
      <c r="AG940" s="96"/>
      <c r="AH940" s="96"/>
      <c r="AI940" s="96"/>
      <c r="AJ940" s="96"/>
      <c r="AK940" s="96"/>
      <c r="AL940" s="96"/>
      <c r="AM940" s="96"/>
      <c r="AN940" s="96"/>
    </row>
    <row r="94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96"/>
      <c r="AC941" s="96"/>
      <c r="AD941" s="96"/>
      <c r="AE941" s="96"/>
      <c r="AF941" s="96"/>
      <c r="AG941" s="96"/>
      <c r="AH941" s="96"/>
      <c r="AI941" s="96"/>
      <c r="AJ941" s="96"/>
      <c r="AK941" s="96"/>
      <c r="AL941" s="96"/>
      <c r="AM941" s="96"/>
      <c r="AN941" s="96"/>
    </row>
    <row r="942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96"/>
      <c r="AC942" s="96"/>
      <c r="AD942" s="96"/>
      <c r="AE942" s="96"/>
      <c r="AF942" s="96"/>
      <c r="AG942" s="96"/>
      <c r="AH942" s="96"/>
      <c r="AI942" s="96"/>
      <c r="AJ942" s="96"/>
      <c r="AK942" s="96"/>
      <c r="AL942" s="96"/>
      <c r="AM942" s="96"/>
      <c r="AN942" s="96"/>
    </row>
    <row r="943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96"/>
      <c r="AC943" s="96"/>
      <c r="AD943" s="96"/>
      <c r="AE943" s="96"/>
      <c r="AF943" s="96"/>
      <c r="AG943" s="96"/>
      <c r="AH943" s="96"/>
      <c r="AI943" s="96"/>
      <c r="AJ943" s="96"/>
      <c r="AK943" s="96"/>
      <c r="AL943" s="96"/>
      <c r="AM943" s="96"/>
      <c r="AN943" s="96"/>
    </row>
    <row r="944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96"/>
      <c r="AC944" s="96"/>
      <c r="AD944" s="96"/>
      <c r="AE944" s="96"/>
      <c r="AF944" s="96"/>
      <c r="AG944" s="96"/>
      <c r="AH944" s="96"/>
      <c r="AI944" s="96"/>
      <c r="AJ944" s="96"/>
      <c r="AK944" s="96"/>
      <c r="AL944" s="96"/>
      <c r="AM944" s="96"/>
      <c r="AN944" s="96"/>
    </row>
    <row r="94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96"/>
      <c r="AC945" s="96"/>
      <c r="AD945" s="96"/>
      <c r="AE945" s="96"/>
      <c r="AF945" s="96"/>
      <c r="AG945" s="96"/>
      <c r="AH945" s="96"/>
      <c r="AI945" s="96"/>
      <c r="AJ945" s="96"/>
      <c r="AK945" s="96"/>
      <c r="AL945" s="96"/>
      <c r="AM945" s="96"/>
      <c r="AN945" s="96"/>
    </row>
    <row r="946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96"/>
      <c r="AC946" s="96"/>
      <c r="AD946" s="96"/>
      <c r="AE946" s="96"/>
      <c r="AF946" s="96"/>
      <c r="AG946" s="96"/>
      <c r="AH946" s="96"/>
      <c r="AI946" s="96"/>
      <c r="AJ946" s="96"/>
      <c r="AK946" s="96"/>
      <c r="AL946" s="96"/>
      <c r="AM946" s="96"/>
      <c r="AN946" s="96"/>
    </row>
    <row r="947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  <c r="AB947" s="96"/>
      <c r="AC947" s="96"/>
      <c r="AD947" s="96"/>
      <c r="AE947" s="96"/>
      <c r="AF947" s="96"/>
      <c r="AG947" s="96"/>
      <c r="AH947" s="96"/>
      <c r="AI947" s="96"/>
      <c r="AJ947" s="96"/>
      <c r="AK947" s="96"/>
      <c r="AL947" s="96"/>
      <c r="AM947" s="96"/>
      <c r="AN947" s="96"/>
    </row>
    <row r="948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  <c r="AB948" s="96"/>
      <c r="AC948" s="96"/>
      <c r="AD948" s="96"/>
      <c r="AE948" s="96"/>
      <c r="AF948" s="96"/>
      <c r="AG948" s="96"/>
      <c r="AH948" s="96"/>
      <c r="AI948" s="96"/>
      <c r="AJ948" s="96"/>
      <c r="AK948" s="96"/>
      <c r="AL948" s="96"/>
      <c r="AM948" s="96"/>
      <c r="AN948" s="96"/>
    </row>
    <row r="949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  <c r="AC949" s="96"/>
      <c r="AD949" s="96"/>
      <c r="AE949" s="96"/>
      <c r="AF949" s="96"/>
      <c r="AG949" s="96"/>
      <c r="AH949" s="96"/>
      <c r="AI949" s="96"/>
      <c r="AJ949" s="96"/>
      <c r="AK949" s="96"/>
      <c r="AL949" s="96"/>
      <c r="AM949" s="96"/>
      <c r="AN949" s="96"/>
    </row>
    <row r="950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  <c r="AC950" s="96"/>
      <c r="AD950" s="96"/>
      <c r="AE950" s="96"/>
      <c r="AF950" s="96"/>
      <c r="AG950" s="96"/>
      <c r="AH950" s="96"/>
      <c r="AI950" s="96"/>
      <c r="AJ950" s="96"/>
      <c r="AK950" s="96"/>
      <c r="AL950" s="96"/>
      <c r="AM950" s="96"/>
      <c r="AN950" s="96"/>
    </row>
    <row r="95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  <c r="AC951" s="96"/>
      <c r="AD951" s="96"/>
      <c r="AE951" s="96"/>
      <c r="AF951" s="96"/>
      <c r="AG951" s="96"/>
      <c r="AH951" s="96"/>
      <c r="AI951" s="96"/>
      <c r="AJ951" s="96"/>
      <c r="AK951" s="96"/>
      <c r="AL951" s="96"/>
      <c r="AM951" s="96"/>
      <c r="AN951" s="96"/>
    </row>
    <row r="952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  <c r="AC952" s="96"/>
      <c r="AD952" s="96"/>
      <c r="AE952" s="96"/>
      <c r="AF952" s="96"/>
      <c r="AG952" s="96"/>
      <c r="AH952" s="96"/>
      <c r="AI952" s="96"/>
      <c r="AJ952" s="96"/>
      <c r="AK952" s="96"/>
      <c r="AL952" s="96"/>
      <c r="AM952" s="96"/>
      <c r="AN952" s="96"/>
    </row>
    <row r="953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  <c r="AC953" s="96"/>
      <c r="AD953" s="96"/>
      <c r="AE953" s="96"/>
      <c r="AF953" s="96"/>
      <c r="AG953" s="96"/>
      <c r="AH953" s="96"/>
      <c r="AI953" s="96"/>
      <c r="AJ953" s="96"/>
      <c r="AK953" s="96"/>
      <c r="AL953" s="96"/>
      <c r="AM953" s="96"/>
      <c r="AN953" s="96"/>
    </row>
    <row r="954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  <c r="AC954" s="96"/>
      <c r="AD954" s="96"/>
      <c r="AE954" s="96"/>
      <c r="AF954" s="96"/>
      <c r="AG954" s="96"/>
      <c r="AH954" s="96"/>
      <c r="AI954" s="96"/>
      <c r="AJ954" s="96"/>
      <c r="AK954" s="96"/>
      <c r="AL954" s="96"/>
      <c r="AM954" s="96"/>
      <c r="AN954" s="96"/>
    </row>
    <row r="95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  <c r="AC955" s="96"/>
      <c r="AD955" s="96"/>
      <c r="AE955" s="96"/>
      <c r="AF955" s="96"/>
      <c r="AG955" s="96"/>
      <c r="AH955" s="96"/>
      <c r="AI955" s="96"/>
      <c r="AJ955" s="96"/>
      <c r="AK955" s="96"/>
      <c r="AL955" s="96"/>
      <c r="AM955" s="96"/>
      <c r="AN955" s="96"/>
    </row>
    <row r="956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  <c r="AC956" s="96"/>
      <c r="AD956" s="96"/>
      <c r="AE956" s="96"/>
      <c r="AF956" s="96"/>
      <c r="AG956" s="96"/>
      <c r="AH956" s="96"/>
      <c r="AI956" s="96"/>
      <c r="AJ956" s="96"/>
      <c r="AK956" s="96"/>
      <c r="AL956" s="96"/>
      <c r="AM956" s="96"/>
      <c r="AN956" s="96"/>
    </row>
    <row r="957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  <c r="AB957" s="96"/>
      <c r="AC957" s="96"/>
      <c r="AD957" s="96"/>
      <c r="AE957" s="96"/>
      <c r="AF957" s="96"/>
      <c r="AG957" s="96"/>
      <c r="AH957" s="96"/>
      <c r="AI957" s="96"/>
      <c r="AJ957" s="96"/>
      <c r="AK957" s="96"/>
      <c r="AL957" s="96"/>
      <c r="AM957" s="96"/>
      <c r="AN957" s="96"/>
    </row>
    <row r="958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  <c r="AC958" s="96"/>
      <c r="AD958" s="96"/>
      <c r="AE958" s="96"/>
      <c r="AF958" s="96"/>
      <c r="AG958" s="96"/>
      <c r="AH958" s="96"/>
      <c r="AI958" s="96"/>
      <c r="AJ958" s="96"/>
      <c r="AK958" s="96"/>
      <c r="AL958" s="96"/>
      <c r="AM958" s="96"/>
      <c r="AN958" s="96"/>
    </row>
    <row r="959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  <c r="AB959" s="96"/>
      <c r="AC959" s="96"/>
      <c r="AD959" s="96"/>
      <c r="AE959" s="96"/>
      <c r="AF959" s="96"/>
      <c r="AG959" s="96"/>
      <c r="AH959" s="96"/>
      <c r="AI959" s="96"/>
      <c r="AJ959" s="96"/>
      <c r="AK959" s="96"/>
      <c r="AL959" s="96"/>
      <c r="AM959" s="96"/>
      <c r="AN959" s="96"/>
    </row>
    <row r="960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  <c r="AC960" s="96"/>
      <c r="AD960" s="96"/>
      <c r="AE960" s="96"/>
      <c r="AF960" s="96"/>
      <c r="AG960" s="96"/>
      <c r="AH960" s="96"/>
      <c r="AI960" s="96"/>
      <c r="AJ960" s="96"/>
      <c r="AK960" s="96"/>
      <c r="AL960" s="96"/>
      <c r="AM960" s="96"/>
      <c r="AN960" s="96"/>
    </row>
    <row r="96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  <c r="AB961" s="96"/>
      <c r="AC961" s="96"/>
      <c r="AD961" s="96"/>
      <c r="AE961" s="96"/>
      <c r="AF961" s="96"/>
      <c r="AG961" s="96"/>
      <c r="AH961" s="96"/>
      <c r="AI961" s="96"/>
      <c r="AJ961" s="96"/>
      <c r="AK961" s="96"/>
      <c r="AL961" s="96"/>
      <c r="AM961" s="96"/>
      <c r="AN961" s="96"/>
    </row>
    <row r="962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  <c r="AC962" s="96"/>
      <c r="AD962" s="96"/>
      <c r="AE962" s="96"/>
      <c r="AF962" s="96"/>
      <c r="AG962" s="96"/>
      <c r="AH962" s="96"/>
      <c r="AI962" s="96"/>
      <c r="AJ962" s="96"/>
      <c r="AK962" s="96"/>
      <c r="AL962" s="96"/>
      <c r="AM962" s="96"/>
      <c r="AN962" s="96"/>
    </row>
    <row r="963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  <c r="AC963" s="96"/>
      <c r="AD963" s="96"/>
      <c r="AE963" s="96"/>
      <c r="AF963" s="96"/>
      <c r="AG963" s="96"/>
      <c r="AH963" s="96"/>
      <c r="AI963" s="96"/>
      <c r="AJ963" s="96"/>
      <c r="AK963" s="96"/>
      <c r="AL963" s="96"/>
      <c r="AM963" s="96"/>
      <c r="AN963" s="96"/>
    </row>
    <row r="964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</row>
    <row r="96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  <c r="AC965" s="96"/>
      <c r="AD965" s="96"/>
      <c r="AE965" s="96"/>
      <c r="AF965" s="96"/>
      <c r="AG965" s="96"/>
      <c r="AH965" s="96"/>
      <c r="AI965" s="96"/>
      <c r="AJ965" s="96"/>
      <c r="AK965" s="96"/>
      <c r="AL965" s="96"/>
      <c r="AM965" s="96"/>
      <c r="AN965" s="96"/>
    </row>
    <row r="966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96"/>
    </row>
    <row r="967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  <c r="AA967" s="96"/>
      <c r="AB967" s="96"/>
      <c r="AC967" s="96"/>
      <c r="AD967" s="96"/>
      <c r="AE967" s="96"/>
      <c r="AF967" s="96"/>
      <c r="AG967" s="96"/>
      <c r="AH967" s="96"/>
      <c r="AI967" s="96"/>
      <c r="AJ967" s="96"/>
      <c r="AK967" s="96"/>
      <c r="AL967" s="96"/>
      <c r="AM967" s="96"/>
      <c r="AN967" s="96"/>
    </row>
    <row r="968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  <c r="AM968" s="96"/>
      <c r="AN968" s="96"/>
    </row>
    <row r="969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  <c r="AA969" s="96"/>
      <c r="AB969" s="96"/>
      <c r="AC969" s="96"/>
      <c r="AD969" s="96"/>
      <c r="AE969" s="96"/>
      <c r="AF969" s="96"/>
      <c r="AG969" s="96"/>
      <c r="AH969" s="96"/>
      <c r="AI969" s="96"/>
      <c r="AJ969" s="96"/>
      <c r="AK969" s="96"/>
      <c r="AL969" s="96"/>
      <c r="AM969" s="96"/>
      <c r="AN969" s="96"/>
    </row>
    <row r="970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  <c r="AM970" s="96"/>
      <c r="AN970" s="96"/>
    </row>
    <row r="97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  <c r="AB971" s="96"/>
      <c r="AC971" s="96"/>
      <c r="AD971" s="96"/>
      <c r="AE971" s="96"/>
      <c r="AF971" s="96"/>
      <c r="AG971" s="96"/>
      <c r="AH971" s="96"/>
      <c r="AI971" s="96"/>
      <c r="AJ971" s="96"/>
      <c r="AK971" s="96"/>
      <c r="AL971" s="96"/>
      <c r="AM971" s="96"/>
      <c r="AN971" s="96"/>
    </row>
    <row r="972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  <c r="AM972" s="96"/>
      <c r="AN972" s="96"/>
    </row>
    <row r="973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W973" s="96"/>
      <c r="X973" s="96"/>
      <c r="Y973" s="96"/>
      <c r="Z973" s="96"/>
      <c r="AA973" s="96"/>
      <c r="AB973" s="96"/>
      <c r="AC973" s="96"/>
      <c r="AD973" s="96"/>
      <c r="AE973" s="96"/>
      <c r="AF973" s="96"/>
      <c r="AG973" s="96"/>
      <c r="AH973" s="96"/>
      <c r="AI973" s="96"/>
      <c r="AJ973" s="96"/>
      <c r="AK973" s="96"/>
      <c r="AL973" s="96"/>
      <c r="AM973" s="96"/>
      <c r="AN973" s="96"/>
    </row>
    <row r="974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W974" s="96"/>
      <c r="X974" s="96"/>
      <c r="Y974" s="96"/>
      <c r="Z974" s="96"/>
      <c r="AA974" s="96"/>
      <c r="AB974" s="96"/>
      <c r="AC974" s="96"/>
      <c r="AD974" s="96"/>
      <c r="AE974" s="96"/>
      <c r="AF974" s="96"/>
      <c r="AG974" s="96"/>
      <c r="AH974" s="96"/>
      <c r="AI974" s="96"/>
      <c r="AJ974" s="96"/>
      <c r="AK974" s="96"/>
      <c r="AL974" s="96"/>
      <c r="AM974" s="96"/>
      <c r="AN974" s="96"/>
    </row>
    <row r="975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W975" s="96"/>
      <c r="X975" s="96"/>
      <c r="Y975" s="96"/>
      <c r="Z975" s="96"/>
      <c r="AA975" s="96"/>
      <c r="AB975" s="96"/>
      <c r="AC975" s="96"/>
      <c r="AD975" s="96"/>
      <c r="AE975" s="96"/>
      <c r="AF975" s="96"/>
      <c r="AG975" s="96"/>
      <c r="AH975" s="96"/>
      <c r="AI975" s="96"/>
      <c r="AJ975" s="96"/>
      <c r="AK975" s="96"/>
      <c r="AL975" s="96"/>
      <c r="AM975" s="96"/>
      <c r="AN975" s="96"/>
    </row>
    <row r="976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W976" s="96"/>
      <c r="X976" s="96"/>
      <c r="Y976" s="96"/>
      <c r="Z976" s="96"/>
      <c r="AA976" s="96"/>
      <c r="AB976" s="96"/>
      <c r="AC976" s="96"/>
      <c r="AD976" s="96"/>
      <c r="AE976" s="96"/>
      <c r="AF976" s="96"/>
      <c r="AG976" s="96"/>
      <c r="AH976" s="96"/>
      <c r="AI976" s="96"/>
      <c r="AJ976" s="96"/>
      <c r="AK976" s="96"/>
      <c r="AL976" s="96"/>
      <c r="AM976" s="96"/>
      <c r="AN976" s="96"/>
    </row>
    <row r="977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W977" s="96"/>
      <c r="X977" s="96"/>
      <c r="Y977" s="96"/>
      <c r="Z977" s="96"/>
      <c r="AA977" s="96"/>
      <c r="AB977" s="96"/>
      <c r="AC977" s="96"/>
      <c r="AD977" s="96"/>
      <c r="AE977" s="96"/>
      <c r="AF977" s="96"/>
      <c r="AG977" s="96"/>
      <c r="AH977" s="96"/>
      <c r="AI977" s="96"/>
      <c r="AJ977" s="96"/>
      <c r="AK977" s="96"/>
      <c r="AL977" s="96"/>
      <c r="AM977" s="96"/>
      <c r="AN977" s="96"/>
    </row>
    <row r="978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W978" s="96"/>
      <c r="X978" s="96"/>
      <c r="Y978" s="96"/>
      <c r="Z978" s="96"/>
      <c r="AA978" s="96"/>
      <c r="AB978" s="96"/>
      <c r="AC978" s="96"/>
      <c r="AD978" s="96"/>
      <c r="AE978" s="96"/>
      <c r="AF978" s="96"/>
      <c r="AG978" s="96"/>
      <c r="AH978" s="96"/>
      <c r="AI978" s="96"/>
      <c r="AJ978" s="96"/>
      <c r="AK978" s="96"/>
      <c r="AL978" s="96"/>
      <c r="AM978" s="96"/>
      <c r="AN978" s="96"/>
    </row>
    <row r="979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W979" s="96"/>
      <c r="X979" s="96"/>
      <c r="Y979" s="96"/>
      <c r="Z979" s="96"/>
      <c r="AA979" s="96"/>
      <c r="AB979" s="96"/>
      <c r="AC979" s="96"/>
      <c r="AD979" s="96"/>
      <c r="AE979" s="96"/>
      <c r="AF979" s="96"/>
      <c r="AG979" s="96"/>
      <c r="AH979" s="96"/>
      <c r="AI979" s="96"/>
      <c r="AJ979" s="96"/>
      <c r="AK979" s="96"/>
      <c r="AL979" s="96"/>
      <c r="AM979" s="96"/>
      <c r="AN979" s="96"/>
    </row>
    <row r="980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W980" s="96"/>
      <c r="X980" s="96"/>
      <c r="Y980" s="96"/>
      <c r="Z980" s="96"/>
      <c r="AA980" s="96"/>
      <c r="AB980" s="96"/>
      <c r="AC980" s="96"/>
      <c r="AD980" s="96"/>
      <c r="AE980" s="96"/>
      <c r="AF980" s="96"/>
      <c r="AG980" s="96"/>
      <c r="AH980" s="96"/>
      <c r="AI980" s="96"/>
      <c r="AJ980" s="96"/>
      <c r="AK980" s="96"/>
      <c r="AL980" s="96"/>
      <c r="AM980" s="96"/>
      <c r="AN980" s="96"/>
    </row>
    <row r="98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W981" s="96"/>
      <c r="X981" s="96"/>
      <c r="Y981" s="96"/>
      <c r="Z981" s="96"/>
      <c r="AA981" s="96"/>
      <c r="AB981" s="96"/>
      <c r="AC981" s="96"/>
      <c r="AD981" s="96"/>
      <c r="AE981" s="96"/>
      <c r="AF981" s="96"/>
      <c r="AG981" s="96"/>
      <c r="AH981" s="96"/>
      <c r="AI981" s="96"/>
      <c r="AJ981" s="96"/>
      <c r="AK981" s="96"/>
      <c r="AL981" s="96"/>
      <c r="AM981" s="96"/>
      <c r="AN981" s="96"/>
    </row>
    <row r="982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W982" s="96"/>
      <c r="X982" s="96"/>
      <c r="Y982" s="96"/>
      <c r="Z982" s="96"/>
      <c r="AA982" s="96"/>
      <c r="AB982" s="96"/>
      <c r="AC982" s="96"/>
      <c r="AD982" s="96"/>
      <c r="AE982" s="96"/>
      <c r="AF982" s="96"/>
      <c r="AG982" s="96"/>
      <c r="AH982" s="96"/>
      <c r="AI982" s="96"/>
      <c r="AJ982" s="96"/>
      <c r="AK982" s="96"/>
      <c r="AL982" s="96"/>
      <c r="AM982" s="96"/>
      <c r="AN982" s="96"/>
    </row>
    <row r="983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W983" s="96"/>
      <c r="X983" s="96"/>
      <c r="Y983" s="96"/>
      <c r="Z983" s="96"/>
      <c r="AA983" s="96"/>
      <c r="AB983" s="96"/>
      <c r="AC983" s="96"/>
      <c r="AD983" s="96"/>
      <c r="AE983" s="96"/>
      <c r="AF983" s="96"/>
      <c r="AG983" s="96"/>
      <c r="AH983" s="96"/>
      <c r="AI983" s="96"/>
      <c r="AJ983" s="96"/>
      <c r="AK983" s="96"/>
      <c r="AL983" s="96"/>
      <c r="AM983" s="96"/>
      <c r="AN983" s="96"/>
    </row>
    <row r="984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W984" s="96"/>
      <c r="X984" s="96"/>
      <c r="Y984" s="96"/>
      <c r="Z984" s="96"/>
      <c r="AA984" s="96"/>
      <c r="AB984" s="96"/>
      <c r="AC984" s="96"/>
      <c r="AD984" s="96"/>
      <c r="AE984" s="96"/>
      <c r="AF984" s="96"/>
      <c r="AG984" s="96"/>
      <c r="AH984" s="96"/>
      <c r="AI984" s="96"/>
      <c r="AJ984" s="96"/>
      <c r="AK984" s="96"/>
      <c r="AL984" s="96"/>
      <c r="AM984" s="96"/>
      <c r="AN984" s="96"/>
    </row>
    <row r="985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W985" s="96"/>
      <c r="X985" s="96"/>
      <c r="Y985" s="96"/>
      <c r="Z985" s="96"/>
      <c r="AA985" s="96"/>
      <c r="AB985" s="96"/>
      <c r="AC985" s="96"/>
      <c r="AD985" s="96"/>
      <c r="AE985" s="96"/>
      <c r="AF985" s="96"/>
      <c r="AG985" s="96"/>
      <c r="AH985" s="96"/>
      <c r="AI985" s="96"/>
      <c r="AJ985" s="96"/>
      <c r="AK985" s="96"/>
      <c r="AL985" s="96"/>
      <c r="AM985" s="96"/>
      <c r="AN985" s="96"/>
    </row>
    <row r="986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W986" s="96"/>
      <c r="X986" s="96"/>
      <c r="Y986" s="96"/>
      <c r="Z986" s="96"/>
      <c r="AA986" s="96"/>
      <c r="AB986" s="96"/>
      <c r="AC986" s="96"/>
      <c r="AD986" s="96"/>
      <c r="AE986" s="96"/>
      <c r="AF986" s="96"/>
      <c r="AG986" s="96"/>
      <c r="AH986" s="96"/>
      <c r="AI986" s="96"/>
      <c r="AJ986" s="96"/>
      <c r="AK986" s="96"/>
      <c r="AL986" s="96"/>
      <c r="AM986" s="96"/>
      <c r="AN986" s="96"/>
    </row>
    <row r="987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W987" s="96"/>
      <c r="X987" s="96"/>
      <c r="Y987" s="96"/>
      <c r="Z987" s="96"/>
      <c r="AA987" s="96"/>
      <c r="AB987" s="96"/>
      <c r="AC987" s="96"/>
      <c r="AD987" s="96"/>
      <c r="AE987" s="96"/>
      <c r="AF987" s="96"/>
      <c r="AG987" s="96"/>
      <c r="AH987" s="96"/>
      <c r="AI987" s="96"/>
      <c r="AJ987" s="96"/>
      <c r="AK987" s="96"/>
      <c r="AL987" s="96"/>
      <c r="AM987" s="96"/>
      <c r="AN987" s="96"/>
    </row>
    <row r="988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W988" s="96"/>
      <c r="X988" s="96"/>
      <c r="Y988" s="96"/>
      <c r="Z988" s="96"/>
      <c r="AA988" s="96"/>
      <c r="AB988" s="96"/>
      <c r="AC988" s="96"/>
      <c r="AD988" s="96"/>
      <c r="AE988" s="96"/>
      <c r="AF988" s="96"/>
      <c r="AG988" s="96"/>
      <c r="AH988" s="96"/>
      <c r="AI988" s="96"/>
      <c r="AJ988" s="96"/>
      <c r="AK988" s="96"/>
      <c r="AL988" s="96"/>
      <c r="AM988" s="96"/>
      <c r="AN988" s="96"/>
    </row>
    <row r="989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W989" s="96"/>
      <c r="X989" s="96"/>
      <c r="Y989" s="96"/>
      <c r="Z989" s="96"/>
      <c r="AA989" s="96"/>
      <c r="AB989" s="96"/>
      <c r="AC989" s="96"/>
      <c r="AD989" s="96"/>
      <c r="AE989" s="96"/>
      <c r="AF989" s="96"/>
      <c r="AG989" s="96"/>
      <c r="AH989" s="96"/>
      <c r="AI989" s="96"/>
      <c r="AJ989" s="96"/>
      <c r="AK989" s="96"/>
      <c r="AL989" s="96"/>
      <c r="AM989" s="96"/>
      <c r="AN989" s="96"/>
    </row>
    <row r="990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W990" s="96"/>
      <c r="X990" s="96"/>
      <c r="Y990" s="96"/>
      <c r="Z990" s="96"/>
      <c r="AA990" s="96"/>
      <c r="AB990" s="96"/>
      <c r="AC990" s="96"/>
      <c r="AD990" s="96"/>
      <c r="AE990" s="96"/>
      <c r="AF990" s="96"/>
      <c r="AG990" s="96"/>
      <c r="AH990" s="96"/>
      <c r="AI990" s="96"/>
      <c r="AJ990" s="96"/>
      <c r="AK990" s="96"/>
      <c r="AL990" s="96"/>
      <c r="AM990" s="96"/>
      <c r="AN990" s="96"/>
    </row>
    <row r="99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W991" s="96"/>
      <c r="X991" s="96"/>
      <c r="Y991" s="96"/>
      <c r="Z991" s="96"/>
      <c r="AA991" s="96"/>
      <c r="AB991" s="96"/>
      <c r="AC991" s="96"/>
      <c r="AD991" s="96"/>
      <c r="AE991" s="96"/>
      <c r="AF991" s="96"/>
      <c r="AG991" s="96"/>
      <c r="AH991" s="96"/>
      <c r="AI991" s="96"/>
      <c r="AJ991" s="96"/>
      <c r="AK991" s="96"/>
      <c r="AL991" s="96"/>
      <c r="AM991" s="96"/>
      <c r="AN991" s="96"/>
    </row>
    <row r="992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W992" s="96"/>
      <c r="X992" s="96"/>
      <c r="Y992" s="96"/>
      <c r="Z992" s="96"/>
      <c r="AA992" s="96"/>
      <c r="AB992" s="96"/>
      <c r="AC992" s="96"/>
      <c r="AD992" s="96"/>
      <c r="AE992" s="96"/>
      <c r="AF992" s="96"/>
      <c r="AG992" s="96"/>
      <c r="AH992" s="96"/>
      <c r="AI992" s="96"/>
      <c r="AJ992" s="96"/>
      <c r="AK992" s="96"/>
      <c r="AL992" s="96"/>
      <c r="AM992" s="96"/>
      <c r="AN992" s="96"/>
    </row>
    <row r="993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W993" s="96"/>
      <c r="X993" s="96"/>
      <c r="Y993" s="96"/>
      <c r="Z993" s="96"/>
      <c r="AA993" s="96"/>
      <c r="AB993" s="96"/>
      <c r="AC993" s="96"/>
      <c r="AD993" s="96"/>
      <c r="AE993" s="96"/>
      <c r="AF993" s="96"/>
      <c r="AG993" s="96"/>
      <c r="AH993" s="96"/>
      <c r="AI993" s="96"/>
      <c r="AJ993" s="96"/>
      <c r="AK993" s="96"/>
      <c r="AL993" s="96"/>
      <c r="AM993" s="96"/>
      <c r="AN993" s="96"/>
    </row>
    <row r="994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W994" s="96"/>
      <c r="X994" s="96"/>
      <c r="Y994" s="96"/>
      <c r="Z994" s="96"/>
      <c r="AA994" s="96"/>
      <c r="AB994" s="96"/>
      <c r="AC994" s="96"/>
      <c r="AD994" s="96"/>
      <c r="AE994" s="96"/>
      <c r="AF994" s="96"/>
      <c r="AG994" s="96"/>
      <c r="AH994" s="96"/>
      <c r="AI994" s="96"/>
      <c r="AJ994" s="96"/>
      <c r="AK994" s="96"/>
      <c r="AL994" s="96"/>
      <c r="AM994" s="96"/>
      <c r="AN994" s="96"/>
    </row>
    <row r="99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AC995" s="96"/>
      <c r="AD995" s="96"/>
      <c r="AE995" s="96"/>
      <c r="AF995" s="96"/>
      <c r="AG995" s="96"/>
      <c r="AH995" s="96"/>
      <c r="AI995" s="96"/>
      <c r="AJ995" s="96"/>
      <c r="AK995" s="96"/>
      <c r="AL995" s="96"/>
      <c r="AM995" s="96"/>
      <c r="AN995" s="96"/>
    </row>
    <row r="996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AC996" s="96"/>
      <c r="AD996" s="96"/>
      <c r="AE996" s="96"/>
      <c r="AF996" s="96"/>
      <c r="AG996" s="96"/>
      <c r="AH996" s="96"/>
      <c r="AI996" s="96"/>
      <c r="AJ996" s="96"/>
      <c r="AK996" s="96"/>
      <c r="AL996" s="96"/>
      <c r="AM996" s="96"/>
      <c r="AN996" s="96"/>
    </row>
    <row r="997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AC997" s="96"/>
      <c r="AD997" s="96"/>
      <c r="AE997" s="96"/>
      <c r="AF997" s="96"/>
      <c r="AG997" s="96"/>
      <c r="AH997" s="96"/>
      <c r="AI997" s="96"/>
      <c r="AJ997" s="96"/>
      <c r="AK997" s="96"/>
      <c r="AL997" s="96"/>
      <c r="AM997" s="96"/>
      <c r="AN997" s="96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38"/>
    <col customWidth="1" min="2" max="2" width="14.0"/>
    <col customWidth="1" min="3" max="3" width="27.25"/>
    <col customWidth="1" min="4" max="4" width="9.13"/>
    <col customWidth="1" min="5" max="5" width="17.88"/>
    <col customWidth="1" min="6" max="6" width="25.25"/>
    <col customWidth="1" min="7" max="7" width="14.38"/>
    <col customWidth="1" min="8" max="8" width="8.13"/>
    <col customWidth="1" min="9" max="10" width="15.13"/>
    <col customWidth="1" min="11" max="11" width="18.5"/>
  </cols>
  <sheetData>
    <row r="1" ht="52.5" customHeight="1">
      <c r="A1" s="83" t="s">
        <v>542</v>
      </c>
      <c r="B1" s="100" t="s">
        <v>543</v>
      </c>
      <c r="C1" s="83" t="s">
        <v>635</v>
      </c>
      <c r="D1" s="83" t="s">
        <v>636</v>
      </c>
      <c r="E1" s="83" t="s">
        <v>637</v>
      </c>
      <c r="F1" s="83" t="s">
        <v>638</v>
      </c>
      <c r="G1" s="83" t="s">
        <v>639</v>
      </c>
      <c r="H1" s="83" t="s">
        <v>640</v>
      </c>
      <c r="I1" s="83" t="s">
        <v>641</v>
      </c>
      <c r="J1" s="83" t="s">
        <v>642</v>
      </c>
      <c r="K1" s="83" t="s">
        <v>643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</row>
    <row r="2">
      <c r="A2" s="85" t="s">
        <v>463</v>
      </c>
      <c r="B2" s="101" t="str">
        <f t="array" ref="B2:B1031">IFERROR(VLOOKUP(A2:A1031,'Finished Goods'!A:B,2,0),"")</f>
        <v>GJ1000-204</v>
      </c>
      <c r="C2" s="13" t="str">
        <f t="shared" ref="C2:C1031" si="1">B2&amp;" - "&amp;E2</f>
        <v>GJ1000-204 - Circle Cutting</v>
      </c>
      <c r="D2" s="102">
        <v>1.0</v>
      </c>
      <c r="E2" s="13" t="s">
        <v>604</v>
      </c>
      <c r="F2" s="26" t="s">
        <v>644</v>
      </c>
      <c r="G2" s="103">
        <f>49</f>
        <v>49</v>
      </c>
      <c r="H2" s="102">
        <v>100000.0</v>
      </c>
      <c r="I2" s="102">
        <v>10000.0</v>
      </c>
      <c r="J2" s="102" t="s">
        <v>645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>
      <c r="A3" s="85" t="s">
        <v>463</v>
      </c>
      <c r="B3" s="101" t="s">
        <v>464</v>
      </c>
      <c r="C3" s="13" t="str">
        <f t="shared" si="1"/>
        <v>GJ1000-204 - Pressing 1</v>
      </c>
      <c r="D3" s="102">
        <v>2.0</v>
      </c>
      <c r="E3" s="13" t="s">
        <v>605</v>
      </c>
      <c r="F3" s="26" t="s">
        <v>646</v>
      </c>
      <c r="G3" s="104">
        <v>10.0</v>
      </c>
      <c r="H3" s="102">
        <v>100000.0</v>
      </c>
      <c r="I3" s="102">
        <v>10000.0</v>
      </c>
      <c r="J3" s="102" t="s">
        <v>645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>
      <c r="A4" s="85" t="s">
        <v>463</v>
      </c>
      <c r="B4" s="101" t="s">
        <v>464</v>
      </c>
      <c r="C4" s="13" t="str">
        <f t="shared" si="1"/>
        <v>GJ1000-204 - Spinning - Direct</v>
      </c>
      <c r="D4" s="102">
        <v>3.0</v>
      </c>
      <c r="E4" s="13" t="s">
        <v>607</v>
      </c>
      <c r="F4" s="26" t="s">
        <v>647</v>
      </c>
      <c r="G4" s="104">
        <v>3.0</v>
      </c>
      <c r="H4" s="102">
        <v>100000.0</v>
      </c>
      <c r="I4" s="102">
        <v>10000.0</v>
      </c>
      <c r="J4" s="102" t="s">
        <v>645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>
      <c r="A5" s="85" t="s">
        <v>463</v>
      </c>
      <c r="B5" s="101" t="s">
        <v>464</v>
      </c>
      <c r="C5" s="13" t="str">
        <f t="shared" si="1"/>
        <v>GJ1000-204 - Cutting</v>
      </c>
      <c r="D5" s="102">
        <v>4.0</v>
      </c>
      <c r="E5" s="13" t="s">
        <v>609</v>
      </c>
      <c r="F5" s="26" t="s">
        <v>648</v>
      </c>
      <c r="G5" s="104">
        <v>6.0</v>
      </c>
      <c r="H5" s="102">
        <v>100000.0</v>
      </c>
      <c r="I5" s="102">
        <v>10000.0</v>
      </c>
      <c r="J5" s="102" t="s">
        <v>645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>
      <c r="A6" s="85" t="s">
        <v>463</v>
      </c>
      <c r="B6" s="101" t="s">
        <v>464</v>
      </c>
      <c r="C6" s="13" t="str">
        <f t="shared" si="1"/>
        <v>GJ1000-204 - Gobaa</v>
      </c>
      <c r="D6" s="102">
        <v>5.0</v>
      </c>
      <c r="E6" s="13" t="s">
        <v>612</v>
      </c>
      <c r="F6" s="26" t="s">
        <v>649</v>
      </c>
      <c r="G6" s="104">
        <v>35.0</v>
      </c>
      <c r="H6" s="102">
        <v>100000.0</v>
      </c>
      <c r="I6" s="102">
        <v>10000.0</v>
      </c>
      <c r="J6" s="102" t="s">
        <v>645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>
      <c r="A7" s="85" t="s">
        <v>463</v>
      </c>
      <c r="B7" s="101" t="s">
        <v>464</v>
      </c>
      <c r="C7" s="13" t="str">
        <f t="shared" si="1"/>
        <v>GJ1000-204 - Sizing</v>
      </c>
      <c r="D7" s="102">
        <v>6.0</v>
      </c>
      <c r="E7" s="13" t="s">
        <v>615</v>
      </c>
      <c r="F7" s="26" t="s">
        <v>646</v>
      </c>
      <c r="G7" s="104">
        <v>17.0</v>
      </c>
      <c r="H7" s="102">
        <v>100000.0</v>
      </c>
      <c r="I7" s="102">
        <v>10000.0</v>
      </c>
      <c r="J7" s="102" t="s">
        <v>645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>
      <c r="A8" s="85" t="s">
        <v>463</v>
      </c>
      <c r="B8" s="101" t="s">
        <v>464</v>
      </c>
      <c r="C8" s="13" t="str">
        <f t="shared" si="1"/>
        <v>GJ1000-204 - Pre Buffing</v>
      </c>
      <c r="D8" s="102">
        <v>7.0</v>
      </c>
      <c r="E8" s="26" t="s">
        <v>617</v>
      </c>
      <c r="F8" s="26" t="s">
        <v>650</v>
      </c>
      <c r="G8" s="105"/>
      <c r="H8" s="102">
        <v>100000.0</v>
      </c>
      <c r="I8" s="102">
        <v>10000.0</v>
      </c>
      <c r="J8" s="102" t="s">
        <v>645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>
      <c r="A9" s="85" t="s">
        <v>463</v>
      </c>
      <c r="B9" s="101" t="s">
        <v>464</v>
      </c>
      <c r="C9" s="13" t="str">
        <f t="shared" si="1"/>
        <v>GJ1000-204 - Polishing</v>
      </c>
      <c r="D9" s="102">
        <v>8.0</v>
      </c>
      <c r="E9" s="13" t="s">
        <v>619</v>
      </c>
      <c r="F9" s="26" t="s">
        <v>650</v>
      </c>
      <c r="G9" s="105"/>
      <c r="H9" s="102">
        <v>100000.0</v>
      </c>
      <c r="I9" s="102">
        <v>10000.0</v>
      </c>
      <c r="J9" s="102" t="s">
        <v>645</v>
      </c>
      <c r="K9" s="26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>
      <c r="A10" s="85" t="s">
        <v>463</v>
      </c>
      <c r="B10" s="101" t="s">
        <v>464</v>
      </c>
      <c r="C10" s="13" t="str">
        <f t="shared" si="1"/>
        <v>GJ1000-204 - Rework</v>
      </c>
      <c r="D10" s="102">
        <v>9.0</v>
      </c>
      <c r="E10" s="26" t="s">
        <v>621</v>
      </c>
      <c r="F10" s="26" t="s">
        <v>650</v>
      </c>
      <c r="G10" s="105"/>
      <c r="H10" s="102">
        <v>100000.0</v>
      </c>
      <c r="I10" s="102">
        <v>10000.0</v>
      </c>
      <c r="J10" s="102" t="s">
        <v>645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>
      <c r="A11" s="85" t="s">
        <v>463</v>
      </c>
      <c r="B11" s="101" t="s">
        <v>464</v>
      </c>
      <c r="C11" s="13" t="str">
        <f t="shared" si="1"/>
        <v>GJ1000-204 - Cleaning</v>
      </c>
      <c r="D11" s="102">
        <v>10.0</v>
      </c>
      <c r="E11" s="13" t="s">
        <v>622</v>
      </c>
      <c r="F11" s="13"/>
      <c r="G11" s="105"/>
      <c r="H11" s="102">
        <v>100000.0</v>
      </c>
      <c r="I11" s="102">
        <v>10000.0</v>
      </c>
      <c r="J11" s="102" t="s">
        <v>645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>
      <c r="A12" s="85" t="s">
        <v>463</v>
      </c>
      <c r="B12" s="101" t="s">
        <v>464</v>
      </c>
      <c r="C12" s="13" t="str">
        <f t="shared" si="1"/>
        <v>GJ1000-204 - Handle Hole</v>
      </c>
      <c r="D12" s="102">
        <v>11.0</v>
      </c>
      <c r="E12" s="13" t="s">
        <v>624</v>
      </c>
      <c r="F12" s="26" t="s">
        <v>649</v>
      </c>
      <c r="G12" s="104">
        <v>100.0</v>
      </c>
      <c r="H12" s="102">
        <v>100000.0</v>
      </c>
      <c r="I12" s="102">
        <v>10000.0</v>
      </c>
      <c r="J12" s="102" t="s">
        <v>645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>
      <c r="A13" s="85" t="s">
        <v>463</v>
      </c>
      <c r="B13" s="101" t="s">
        <v>464</v>
      </c>
      <c r="C13" s="13" t="str">
        <f t="shared" si="1"/>
        <v>GJ1000-204 - Bottom Hole</v>
      </c>
      <c r="D13" s="102">
        <v>12.0</v>
      </c>
      <c r="E13" s="13" t="s">
        <v>626</v>
      </c>
      <c r="F13" s="26" t="s">
        <v>649</v>
      </c>
      <c r="G13" s="104">
        <v>50.0</v>
      </c>
      <c r="H13" s="102">
        <v>100000.0</v>
      </c>
      <c r="I13" s="102">
        <v>10000.0</v>
      </c>
      <c r="J13" s="102" t="s">
        <v>645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>
      <c r="A14" s="85" t="s">
        <v>463</v>
      </c>
      <c r="B14" s="101" t="s">
        <v>464</v>
      </c>
      <c r="C14" s="13" t="str">
        <f t="shared" si="1"/>
        <v>GJ1000-204 - Final Cleaning</v>
      </c>
      <c r="D14" s="102">
        <v>13.0</v>
      </c>
      <c r="E14" s="13" t="s">
        <v>627</v>
      </c>
      <c r="F14" s="13"/>
      <c r="G14" s="105"/>
      <c r="H14" s="102">
        <v>100000.0</v>
      </c>
      <c r="I14" s="102">
        <v>10000.0</v>
      </c>
      <c r="J14" s="102" t="s">
        <v>645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>
      <c r="A15" s="85" t="s">
        <v>463</v>
      </c>
      <c r="B15" s="101" t="s">
        <v>464</v>
      </c>
      <c r="C15" s="13" t="str">
        <f t="shared" si="1"/>
        <v>GJ1000-204 - QC</v>
      </c>
      <c r="D15" s="102">
        <v>14.0</v>
      </c>
      <c r="E15" s="13" t="s">
        <v>629</v>
      </c>
      <c r="F15" s="13"/>
      <c r="G15" s="105"/>
      <c r="H15" s="102">
        <v>100000.0</v>
      </c>
      <c r="I15" s="102">
        <v>10000.0</v>
      </c>
      <c r="J15" s="102" t="s">
        <v>645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>
      <c r="A16" s="85" t="s">
        <v>463</v>
      </c>
      <c r="B16" s="101" t="s">
        <v>464</v>
      </c>
      <c r="C16" s="13" t="str">
        <f t="shared" si="1"/>
        <v>GJ1000-204 - Packaging</v>
      </c>
      <c r="D16" s="102">
        <v>15.0</v>
      </c>
      <c r="E16" s="13" t="s">
        <v>631</v>
      </c>
      <c r="F16" s="13"/>
      <c r="G16" s="105"/>
      <c r="H16" s="102">
        <v>100000.0</v>
      </c>
      <c r="I16" s="102">
        <v>10000.0</v>
      </c>
      <c r="J16" s="102" t="s">
        <v>645</v>
      </c>
      <c r="K16" s="26" t="s">
        <v>651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>
      <c r="A17" s="85" t="s">
        <v>461</v>
      </c>
      <c r="B17" s="101" t="s">
        <v>462</v>
      </c>
      <c r="C17" s="13" t="str">
        <f t="shared" si="1"/>
        <v>CK0600-204 - Circle Cutting</v>
      </c>
      <c r="D17" s="102">
        <v>1.0</v>
      </c>
      <c r="E17" s="13" t="s">
        <v>604</v>
      </c>
      <c r="F17" s="26" t="s">
        <v>644</v>
      </c>
      <c r="G17" s="103">
        <f>49</f>
        <v>49</v>
      </c>
      <c r="H17" s="102">
        <v>100000.0</v>
      </c>
      <c r="I17" s="102">
        <v>10000.0</v>
      </c>
      <c r="J17" s="102" t="s">
        <v>645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>
      <c r="A18" s="85" t="s">
        <v>461</v>
      </c>
      <c r="B18" s="101" t="s">
        <v>462</v>
      </c>
      <c r="C18" s="13" t="str">
        <f t="shared" si="1"/>
        <v>CK0600-204 - Pressing 1</v>
      </c>
      <c r="D18" s="102">
        <v>2.0</v>
      </c>
      <c r="E18" s="13" t="s">
        <v>605</v>
      </c>
      <c r="F18" s="26" t="s">
        <v>646</v>
      </c>
      <c r="G18" s="104">
        <v>10.0</v>
      </c>
      <c r="H18" s="102">
        <v>100000.0</v>
      </c>
      <c r="I18" s="102">
        <v>10000.0</v>
      </c>
      <c r="J18" s="102" t="s">
        <v>645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>
      <c r="A19" s="85" t="s">
        <v>461</v>
      </c>
      <c r="B19" s="101" t="s">
        <v>462</v>
      </c>
      <c r="C19" s="13" t="str">
        <f t="shared" si="1"/>
        <v>CK0600-204 - Spinning - Direct</v>
      </c>
      <c r="D19" s="102">
        <v>3.0</v>
      </c>
      <c r="E19" s="13" t="s">
        <v>607</v>
      </c>
      <c r="F19" s="26" t="s">
        <v>647</v>
      </c>
      <c r="G19" s="104">
        <v>3.0</v>
      </c>
      <c r="H19" s="102">
        <v>100000.0</v>
      </c>
      <c r="I19" s="102">
        <v>10000.0</v>
      </c>
      <c r="J19" s="102" t="s">
        <v>645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>
      <c r="A20" s="85" t="s">
        <v>461</v>
      </c>
      <c r="B20" s="101" t="s">
        <v>462</v>
      </c>
      <c r="C20" s="13" t="str">
        <f t="shared" si="1"/>
        <v>CK0600-204 - Cutting</v>
      </c>
      <c r="D20" s="102">
        <v>4.0</v>
      </c>
      <c r="E20" s="13" t="s">
        <v>609</v>
      </c>
      <c r="F20" s="26" t="s">
        <v>648</v>
      </c>
      <c r="G20" s="104">
        <v>6.0</v>
      </c>
      <c r="H20" s="102">
        <v>100000.0</v>
      </c>
      <c r="I20" s="102">
        <v>10000.0</v>
      </c>
      <c r="J20" s="102" t="s">
        <v>645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>
      <c r="A21" s="85" t="s">
        <v>461</v>
      </c>
      <c r="B21" s="101" t="s">
        <v>462</v>
      </c>
      <c r="C21" s="13" t="str">
        <f t="shared" si="1"/>
        <v>CK0600-204 - Patti Polishing</v>
      </c>
      <c r="D21" s="102">
        <v>5.0</v>
      </c>
      <c r="E21" s="13" t="s">
        <v>613</v>
      </c>
      <c r="F21" s="26" t="s">
        <v>650</v>
      </c>
      <c r="G21" s="105"/>
      <c r="H21" s="102">
        <v>100000.0</v>
      </c>
      <c r="I21" s="102">
        <v>10000.0</v>
      </c>
      <c r="J21" s="102" t="s">
        <v>645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>
      <c r="A22" s="85" t="s">
        <v>461</v>
      </c>
      <c r="B22" s="101" t="s">
        <v>462</v>
      </c>
      <c r="C22" s="13" t="str">
        <f t="shared" si="1"/>
        <v>CK0600-204 - Patti Fatka</v>
      </c>
      <c r="D22" s="102">
        <v>6.0</v>
      </c>
      <c r="E22" s="13" t="s">
        <v>616</v>
      </c>
      <c r="F22" s="26" t="s">
        <v>649</v>
      </c>
      <c r="G22" s="104">
        <v>33.0</v>
      </c>
      <c r="H22" s="102">
        <v>100000.0</v>
      </c>
      <c r="I22" s="102">
        <v>10000.0</v>
      </c>
      <c r="J22" s="102" t="s">
        <v>645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>
      <c r="A23" s="85" t="s">
        <v>461</v>
      </c>
      <c r="B23" s="101" t="s">
        <v>462</v>
      </c>
      <c r="C23" s="13" t="str">
        <f t="shared" si="1"/>
        <v>CK0600-204 - Pre Buffing</v>
      </c>
      <c r="D23" s="102">
        <v>7.0</v>
      </c>
      <c r="E23" s="26" t="s">
        <v>617</v>
      </c>
      <c r="F23" s="26" t="s">
        <v>650</v>
      </c>
      <c r="G23" s="105"/>
      <c r="H23" s="102">
        <v>100000.0</v>
      </c>
      <c r="I23" s="102">
        <v>10000.0</v>
      </c>
      <c r="J23" s="102" t="s">
        <v>645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>
      <c r="A24" s="85" t="s">
        <v>461</v>
      </c>
      <c r="B24" s="101" t="s">
        <v>462</v>
      </c>
      <c r="C24" s="13" t="str">
        <f t="shared" si="1"/>
        <v>CK0600-204 - Polishing</v>
      </c>
      <c r="D24" s="102">
        <v>8.0</v>
      </c>
      <c r="E24" s="13" t="s">
        <v>619</v>
      </c>
      <c r="F24" s="26" t="s">
        <v>650</v>
      </c>
      <c r="G24" s="105"/>
      <c r="H24" s="102">
        <v>100000.0</v>
      </c>
      <c r="I24" s="102">
        <v>10000.0</v>
      </c>
      <c r="J24" s="102" t="s">
        <v>645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>
      <c r="A25" s="85" t="s">
        <v>461</v>
      </c>
      <c r="B25" s="101" t="s">
        <v>462</v>
      </c>
      <c r="C25" s="13" t="str">
        <f t="shared" si="1"/>
        <v>CK0600-204 - Rework</v>
      </c>
      <c r="D25" s="102">
        <v>9.0</v>
      </c>
      <c r="E25" s="26" t="s">
        <v>621</v>
      </c>
      <c r="F25" s="26" t="s">
        <v>650</v>
      </c>
      <c r="G25" s="105"/>
      <c r="H25" s="102">
        <v>100000.0</v>
      </c>
      <c r="I25" s="102">
        <v>10000.0</v>
      </c>
      <c r="J25" s="102" t="s">
        <v>645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>
      <c r="A26" s="85" t="s">
        <v>461</v>
      </c>
      <c r="B26" s="101" t="s">
        <v>462</v>
      </c>
      <c r="C26" s="13" t="str">
        <f t="shared" si="1"/>
        <v>CK0600-204 - Cleaning</v>
      </c>
      <c r="D26" s="102">
        <v>10.0</v>
      </c>
      <c r="E26" s="13" t="s">
        <v>622</v>
      </c>
      <c r="F26" s="13"/>
      <c r="G26" s="105"/>
      <c r="H26" s="102">
        <v>100000.0</v>
      </c>
      <c r="I26" s="102">
        <v>10000.0</v>
      </c>
      <c r="J26" s="102" t="s">
        <v>645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>
      <c r="A27" s="85" t="s">
        <v>461</v>
      </c>
      <c r="B27" s="101" t="s">
        <v>462</v>
      </c>
      <c r="C27" s="13" t="str">
        <f t="shared" si="1"/>
        <v>CK0600-204 - Handle Hole</v>
      </c>
      <c r="D27" s="102">
        <v>11.0</v>
      </c>
      <c r="E27" s="13" t="s">
        <v>624</v>
      </c>
      <c r="F27" s="26" t="s">
        <v>649</v>
      </c>
      <c r="G27" s="104">
        <v>100.0</v>
      </c>
      <c r="H27" s="102">
        <v>100000.0</v>
      </c>
      <c r="I27" s="102">
        <v>10000.0</v>
      </c>
      <c r="J27" s="102" t="s">
        <v>645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>
      <c r="A28" s="85" t="s">
        <v>461</v>
      </c>
      <c r="B28" s="101" t="s">
        <v>462</v>
      </c>
      <c r="C28" s="13" t="str">
        <f t="shared" si="1"/>
        <v>CK0600-204 - Bottom Hole</v>
      </c>
      <c r="D28" s="102">
        <v>12.0</v>
      </c>
      <c r="E28" s="13" t="s">
        <v>626</v>
      </c>
      <c r="F28" s="26" t="s">
        <v>649</v>
      </c>
      <c r="G28" s="104">
        <v>50.0</v>
      </c>
      <c r="H28" s="102">
        <v>100000.0</v>
      </c>
      <c r="I28" s="102">
        <v>10000.0</v>
      </c>
      <c r="J28" s="102" t="s">
        <v>645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>
      <c r="A29" s="85" t="s">
        <v>461</v>
      </c>
      <c r="B29" s="101" t="s">
        <v>462</v>
      </c>
      <c r="C29" s="13" t="str">
        <f t="shared" si="1"/>
        <v>CK0600-204 - Flow Breaker</v>
      </c>
      <c r="D29" s="102">
        <v>13.0</v>
      </c>
      <c r="E29" s="13" t="s">
        <v>628</v>
      </c>
      <c r="F29" s="26" t="s">
        <v>649</v>
      </c>
      <c r="G29" s="104">
        <v>87.0</v>
      </c>
      <c r="H29" s="102">
        <v>100000.0</v>
      </c>
      <c r="I29" s="102">
        <v>10000.0</v>
      </c>
      <c r="J29" s="102" t="s">
        <v>645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>
      <c r="A30" s="85" t="s">
        <v>461</v>
      </c>
      <c r="B30" s="101" t="s">
        <v>462</v>
      </c>
      <c r="C30" s="13" t="str">
        <f t="shared" si="1"/>
        <v>CK0600-204 - Final Cleaning</v>
      </c>
      <c r="D30" s="102">
        <v>14.0</v>
      </c>
      <c r="E30" s="13" t="s">
        <v>627</v>
      </c>
      <c r="F30" s="13"/>
      <c r="G30" s="105"/>
      <c r="H30" s="102">
        <v>100000.0</v>
      </c>
      <c r="I30" s="102">
        <v>10000.0</v>
      </c>
      <c r="J30" s="102" t="s">
        <v>645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>
      <c r="A31" s="85" t="s">
        <v>461</v>
      </c>
      <c r="B31" s="101" t="s">
        <v>462</v>
      </c>
      <c r="C31" s="13" t="str">
        <f t="shared" si="1"/>
        <v>CK0600-204 - QC</v>
      </c>
      <c r="D31" s="102">
        <v>15.0</v>
      </c>
      <c r="E31" s="13" t="s">
        <v>629</v>
      </c>
      <c r="F31" s="13"/>
      <c r="G31" s="105"/>
      <c r="H31" s="102">
        <v>100000.0</v>
      </c>
      <c r="I31" s="102">
        <v>10000.0</v>
      </c>
      <c r="J31" s="102" t="s">
        <v>645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>
      <c r="A32" s="85" t="s">
        <v>461</v>
      </c>
      <c r="B32" s="101" t="s">
        <v>462</v>
      </c>
      <c r="C32" s="13" t="str">
        <f t="shared" si="1"/>
        <v>CK0600-204 - Packaging</v>
      </c>
      <c r="D32" s="102">
        <v>16.0</v>
      </c>
      <c r="E32" s="13" t="s">
        <v>631</v>
      </c>
      <c r="F32" s="13"/>
      <c r="G32" s="105"/>
      <c r="H32" s="102">
        <v>100000.0</v>
      </c>
      <c r="I32" s="102">
        <v>10000.0</v>
      </c>
      <c r="J32" s="102" t="s">
        <v>645</v>
      </c>
      <c r="K32" s="26" t="s">
        <v>651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>
      <c r="A33" s="85" t="s">
        <v>429</v>
      </c>
      <c r="B33" s="101" t="s">
        <v>430</v>
      </c>
      <c r="C33" s="13" t="str">
        <f t="shared" si="1"/>
        <v>PP1500-202 - Circle Cutting</v>
      </c>
      <c r="D33" s="102">
        <v>1.0</v>
      </c>
      <c r="E33" s="13" t="s">
        <v>604</v>
      </c>
      <c r="F33" s="26" t="s">
        <v>644</v>
      </c>
      <c r="G33" s="103">
        <f>49</f>
        <v>49</v>
      </c>
      <c r="H33" s="102">
        <v>100000.0</v>
      </c>
      <c r="I33" s="102">
        <v>10000.0</v>
      </c>
      <c r="J33" s="102" t="s">
        <v>645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>
      <c r="A34" s="85" t="s">
        <v>429</v>
      </c>
      <c r="B34" s="101" t="s">
        <v>430</v>
      </c>
      <c r="C34" s="13" t="str">
        <f t="shared" si="1"/>
        <v>PP1500-202 - Pressing 1</v>
      </c>
      <c r="D34" s="102">
        <v>2.0</v>
      </c>
      <c r="E34" s="13" t="s">
        <v>605</v>
      </c>
      <c r="F34" s="26" t="s">
        <v>646</v>
      </c>
      <c r="G34" s="104">
        <v>10.0</v>
      </c>
      <c r="H34" s="102">
        <v>100000.0</v>
      </c>
      <c r="I34" s="102">
        <v>10000.0</v>
      </c>
      <c r="J34" s="102" t="s">
        <v>645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>
      <c r="A35" s="85" t="s">
        <v>429</v>
      </c>
      <c r="B35" s="101" t="s">
        <v>430</v>
      </c>
      <c r="C35" s="13" t="str">
        <f t="shared" si="1"/>
        <v>PP1500-202 - Pressing 2</v>
      </c>
      <c r="D35" s="102">
        <v>3.0</v>
      </c>
      <c r="E35" s="13" t="s">
        <v>606</v>
      </c>
      <c r="F35" s="26" t="s">
        <v>646</v>
      </c>
      <c r="G35" s="104">
        <v>10.0</v>
      </c>
      <c r="H35" s="102">
        <v>100000.0</v>
      </c>
      <c r="I35" s="102">
        <v>10000.0</v>
      </c>
      <c r="J35" s="102" t="s">
        <v>645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>
      <c r="A36" s="85" t="s">
        <v>429</v>
      </c>
      <c r="B36" s="101" t="s">
        <v>430</v>
      </c>
      <c r="C36" s="13" t="str">
        <f t="shared" si="1"/>
        <v>PP1500-202 - Spinning - Dab</v>
      </c>
      <c r="D36" s="102">
        <v>4.0</v>
      </c>
      <c r="E36" s="13" t="s">
        <v>608</v>
      </c>
      <c r="F36" s="26" t="s">
        <v>647</v>
      </c>
      <c r="G36" s="104">
        <v>3.0</v>
      </c>
      <c r="H36" s="102">
        <v>100000.0</v>
      </c>
      <c r="I36" s="102">
        <v>10000.0</v>
      </c>
      <c r="J36" s="102" t="s">
        <v>645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>
      <c r="A37" s="85" t="s">
        <v>429</v>
      </c>
      <c r="B37" s="101" t="s">
        <v>430</v>
      </c>
      <c r="C37" s="13" t="str">
        <f t="shared" si="1"/>
        <v>PP1500-202 - Spinning - Final</v>
      </c>
      <c r="D37" s="102">
        <v>5.0</v>
      </c>
      <c r="E37" s="13" t="s">
        <v>610</v>
      </c>
      <c r="F37" s="26" t="s">
        <v>647</v>
      </c>
      <c r="G37" s="104">
        <v>3.0</v>
      </c>
      <c r="H37" s="102">
        <v>100000.0</v>
      </c>
      <c r="I37" s="102">
        <v>10000.0</v>
      </c>
      <c r="J37" s="102" t="s">
        <v>645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>
      <c r="A38" s="85" t="s">
        <v>429</v>
      </c>
      <c r="B38" s="101" t="s">
        <v>430</v>
      </c>
      <c r="C38" s="13" t="str">
        <f t="shared" si="1"/>
        <v>PP1500-202 - Cutting</v>
      </c>
      <c r="D38" s="102">
        <v>6.0</v>
      </c>
      <c r="E38" s="13" t="s">
        <v>609</v>
      </c>
      <c r="F38" s="26" t="s">
        <v>648</v>
      </c>
      <c r="G38" s="104">
        <v>6.0</v>
      </c>
      <c r="H38" s="102">
        <v>100000.0</v>
      </c>
      <c r="I38" s="102">
        <v>10000.0</v>
      </c>
      <c r="J38" s="102" t="s">
        <v>645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>
      <c r="A39" s="85" t="s">
        <v>429</v>
      </c>
      <c r="B39" s="101" t="s">
        <v>430</v>
      </c>
      <c r="C39" s="13" t="str">
        <f t="shared" si="1"/>
        <v>PP1500-202 - Gobaa</v>
      </c>
      <c r="D39" s="102">
        <v>7.0</v>
      </c>
      <c r="E39" s="13" t="s">
        <v>612</v>
      </c>
      <c r="F39" s="26" t="s">
        <v>649</v>
      </c>
      <c r="G39" s="104">
        <v>35.0</v>
      </c>
      <c r="H39" s="102">
        <v>100000.0</v>
      </c>
      <c r="I39" s="102">
        <v>10000.0</v>
      </c>
      <c r="J39" s="102" t="s">
        <v>645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>
      <c r="A40" s="85" t="s">
        <v>429</v>
      </c>
      <c r="B40" s="101" t="s">
        <v>430</v>
      </c>
      <c r="C40" s="13" t="str">
        <f t="shared" si="1"/>
        <v>PP1500-202 - Patti Polishing</v>
      </c>
      <c r="D40" s="102">
        <v>8.0</v>
      </c>
      <c r="E40" s="13" t="s">
        <v>613</v>
      </c>
      <c r="F40" s="26" t="s">
        <v>650</v>
      </c>
      <c r="G40" s="105"/>
      <c r="H40" s="102">
        <v>100000.0</v>
      </c>
      <c r="I40" s="102">
        <v>10000.0</v>
      </c>
      <c r="J40" s="102" t="s">
        <v>645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>
      <c r="A41" s="85" t="s">
        <v>429</v>
      </c>
      <c r="B41" s="101" t="s">
        <v>430</v>
      </c>
      <c r="C41" s="13" t="str">
        <f t="shared" si="1"/>
        <v>PP1500-202 - Patti Fatka</v>
      </c>
      <c r="D41" s="102">
        <v>9.0</v>
      </c>
      <c r="E41" s="13" t="s">
        <v>616</v>
      </c>
      <c r="F41" s="26" t="s">
        <v>649</v>
      </c>
      <c r="G41" s="104">
        <v>33.0</v>
      </c>
      <c r="H41" s="102">
        <v>100000.0</v>
      </c>
      <c r="I41" s="102">
        <v>10000.0</v>
      </c>
      <c r="J41" s="102" t="s">
        <v>645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>
      <c r="A42" s="85" t="s">
        <v>429</v>
      </c>
      <c r="B42" s="101" t="s">
        <v>430</v>
      </c>
      <c r="C42" s="13" t="str">
        <f t="shared" si="1"/>
        <v>PP1500-202 - Pre Buffing</v>
      </c>
      <c r="D42" s="102">
        <v>10.0</v>
      </c>
      <c r="E42" s="26" t="s">
        <v>617</v>
      </c>
      <c r="F42" s="26" t="s">
        <v>650</v>
      </c>
      <c r="G42" s="105"/>
      <c r="H42" s="102">
        <v>100000.0</v>
      </c>
      <c r="I42" s="102">
        <v>10000.0</v>
      </c>
      <c r="J42" s="102" t="s">
        <v>645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>
      <c r="A43" s="85" t="s">
        <v>429</v>
      </c>
      <c r="B43" s="101" t="s">
        <v>430</v>
      </c>
      <c r="C43" s="13" t="str">
        <f t="shared" si="1"/>
        <v>PP1500-202 - Polishing</v>
      </c>
      <c r="D43" s="102">
        <v>11.0</v>
      </c>
      <c r="E43" s="13" t="s">
        <v>619</v>
      </c>
      <c r="F43" s="26" t="s">
        <v>650</v>
      </c>
      <c r="G43" s="105"/>
      <c r="H43" s="102">
        <v>100000.0</v>
      </c>
      <c r="I43" s="102">
        <v>10000.0</v>
      </c>
      <c r="J43" s="102" t="s">
        <v>645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>
      <c r="A44" s="85" t="s">
        <v>429</v>
      </c>
      <c r="B44" s="101" t="s">
        <v>430</v>
      </c>
      <c r="C44" s="13" t="str">
        <f t="shared" si="1"/>
        <v>PP1500-202 - Rework</v>
      </c>
      <c r="D44" s="102">
        <v>12.0</v>
      </c>
      <c r="E44" s="26" t="s">
        <v>621</v>
      </c>
      <c r="F44" s="26" t="s">
        <v>650</v>
      </c>
      <c r="G44" s="105"/>
      <c r="H44" s="102">
        <v>100000.0</v>
      </c>
      <c r="I44" s="102">
        <v>10000.0</v>
      </c>
      <c r="J44" s="102" t="s">
        <v>645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>
      <c r="A45" s="85" t="s">
        <v>429</v>
      </c>
      <c r="B45" s="101" t="s">
        <v>430</v>
      </c>
      <c r="C45" s="13" t="str">
        <f t="shared" si="1"/>
        <v>PP1500-202 - Cleaning</v>
      </c>
      <c r="D45" s="102">
        <v>13.0</v>
      </c>
      <c r="E45" s="13" t="s">
        <v>622</v>
      </c>
      <c r="F45" s="13"/>
      <c r="G45" s="105"/>
      <c r="H45" s="102">
        <v>100000.0</v>
      </c>
      <c r="I45" s="102">
        <v>10000.0</v>
      </c>
      <c r="J45" s="102" t="s">
        <v>645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>
      <c r="A46" s="85" t="s">
        <v>429</v>
      </c>
      <c r="B46" s="101" t="s">
        <v>430</v>
      </c>
      <c r="C46" s="13" t="str">
        <f t="shared" si="1"/>
        <v>PP1500-202 - Handle Hole</v>
      </c>
      <c r="D46" s="102">
        <v>14.0</v>
      </c>
      <c r="E46" s="13" t="s">
        <v>624</v>
      </c>
      <c r="F46" s="26" t="s">
        <v>649</v>
      </c>
      <c r="G46" s="104">
        <v>100.0</v>
      </c>
      <c r="H46" s="102">
        <v>100000.0</v>
      </c>
      <c r="I46" s="102">
        <v>10000.0</v>
      </c>
      <c r="J46" s="102" t="s">
        <v>645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>
      <c r="A47" s="85" t="s">
        <v>429</v>
      </c>
      <c r="B47" s="101" t="s">
        <v>430</v>
      </c>
      <c r="C47" s="13" t="str">
        <f t="shared" si="1"/>
        <v>PP1500-202 - Bottom Hole</v>
      </c>
      <c r="D47" s="102">
        <v>15.0</v>
      </c>
      <c r="E47" s="13" t="s">
        <v>626</v>
      </c>
      <c r="F47" s="26" t="s">
        <v>649</v>
      </c>
      <c r="G47" s="104">
        <v>50.0</v>
      </c>
      <c r="H47" s="102">
        <v>100000.0</v>
      </c>
      <c r="I47" s="102">
        <v>10000.0</v>
      </c>
      <c r="J47" s="102" t="s">
        <v>645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>
      <c r="A48" s="85" t="s">
        <v>429</v>
      </c>
      <c r="B48" s="101" t="s">
        <v>430</v>
      </c>
      <c r="C48" s="13" t="str">
        <f t="shared" si="1"/>
        <v>PP1500-202 - Flow Breaker</v>
      </c>
      <c r="D48" s="102">
        <v>16.0</v>
      </c>
      <c r="E48" s="13" t="s">
        <v>628</v>
      </c>
      <c r="F48" s="26" t="s">
        <v>649</v>
      </c>
      <c r="G48" s="104">
        <v>87.0</v>
      </c>
      <c r="H48" s="102">
        <v>100000.0</v>
      </c>
      <c r="I48" s="102">
        <v>10000.0</v>
      </c>
      <c r="J48" s="102" t="s">
        <v>645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>
      <c r="A49" s="85" t="s">
        <v>429</v>
      </c>
      <c r="B49" s="101" t="s">
        <v>430</v>
      </c>
      <c r="C49" s="13" t="str">
        <f t="shared" si="1"/>
        <v>PP1500-202 - Final Cleaning</v>
      </c>
      <c r="D49" s="102">
        <v>17.0</v>
      </c>
      <c r="E49" s="13" t="s">
        <v>627</v>
      </c>
      <c r="F49" s="13"/>
      <c r="G49" s="105"/>
      <c r="H49" s="102">
        <v>100000.0</v>
      </c>
      <c r="I49" s="102">
        <v>10000.0</v>
      </c>
      <c r="J49" s="102" t="s">
        <v>645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>
      <c r="A50" s="85" t="s">
        <v>429</v>
      </c>
      <c r="B50" s="101" t="s">
        <v>430</v>
      </c>
      <c r="C50" s="13" t="str">
        <f t="shared" si="1"/>
        <v>PP1500-202 - QC</v>
      </c>
      <c r="D50" s="102">
        <v>18.0</v>
      </c>
      <c r="E50" s="13" t="s">
        <v>629</v>
      </c>
      <c r="F50" s="13"/>
      <c r="G50" s="105"/>
      <c r="H50" s="102">
        <v>100000.0</v>
      </c>
      <c r="I50" s="102">
        <v>10000.0</v>
      </c>
      <c r="J50" s="102" t="s">
        <v>645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>
      <c r="A51" s="85" t="s">
        <v>429</v>
      </c>
      <c r="B51" s="101" t="s">
        <v>430</v>
      </c>
      <c r="C51" s="13" t="str">
        <f t="shared" si="1"/>
        <v>PP1500-202 - Packaging</v>
      </c>
      <c r="D51" s="102">
        <v>19.0</v>
      </c>
      <c r="E51" s="13" t="s">
        <v>631</v>
      </c>
      <c r="F51" s="13"/>
      <c r="G51" s="105"/>
      <c r="H51" s="102">
        <v>100000.0</v>
      </c>
      <c r="I51" s="102">
        <v>10000.0</v>
      </c>
      <c r="J51" s="102" t="s">
        <v>645</v>
      </c>
      <c r="K51" s="26" t="s">
        <v>651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>
      <c r="A52" s="85" t="s">
        <v>431</v>
      </c>
      <c r="B52" s="101" t="s">
        <v>432</v>
      </c>
      <c r="C52" s="13" t="str">
        <f t="shared" si="1"/>
        <v>PP1000-202 - Circle Cutting</v>
      </c>
      <c r="D52" s="102">
        <v>1.0</v>
      </c>
      <c r="E52" s="13" t="s">
        <v>604</v>
      </c>
      <c r="F52" s="26" t="s">
        <v>644</v>
      </c>
      <c r="G52" s="103">
        <f>49</f>
        <v>49</v>
      </c>
      <c r="H52" s="102">
        <v>100000.0</v>
      </c>
      <c r="I52" s="102">
        <v>10000.0</v>
      </c>
      <c r="J52" s="102" t="s">
        <v>645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>
      <c r="A53" s="85" t="s">
        <v>431</v>
      </c>
      <c r="B53" s="101" t="s">
        <v>432</v>
      </c>
      <c r="C53" s="13" t="str">
        <f t="shared" si="1"/>
        <v>PP1000-202 - Pressing 1</v>
      </c>
      <c r="D53" s="102">
        <v>2.0</v>
      </c>
      <c r="E53" s="13" t="s">
        <v>605</v>
      </c>
      <c r="F53" s="26" t="s">
        <v>646</v>
      </c>
      <c r="G53" s="104">
        <v>10.0</v>
      </c>
      <c r="H53" s="102">
        <v>100000.0</v>
      </c>
      <c r="I53" s="102">
        <v>10000.0</v>
      </c>
      <c r="J53" s="102" t="s">
        <v>645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>
      <c r="A54" s="85" t="s">
        <v>431</v>
      </c>
      <c r="B54" s="101" t="s">
        <v>432</v>
      </c>
      <c r="C54" s="13" t="str">
        <f t="shared" si="1"/>
        <v>PP1000-202 - Spinning - Direct</v>
      </c>
      <c r="D54" s="102">
        <v>3.0</v>
      </c>
      <c r="E54" s="13" t="s">
        <v>607</v>
      </c>
      <c r="F54" s="26" t="s">
        <v>647</v>
      </c>
      <c r="G54" s="104">
        <v>3.0</v>
      </c>
      <c r="H54" s="102">
        <v>100000.0</v>
      </c>
      <c r="I54" s="102">
        <v>10000.0</v>
      </c>
      <c r="J54" s="102" t="s">
        <v>645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>
      <c r="A55" s="85" t="s">
        <v>431</v>
      </c>
      <c r="B55" s="101" t="s">
        <v>432</v>
      </c>
      <c r="C55" s="13" t="str">
        <f t="shared" si="1"/>
        <v>PP1000-202 - Cutting</v>
      </c>
      <c r="D55" s="102">
        <v>4.0</v>
      </c>
      <c r="E55" s="13" t="s">
        <v>609</v>
      </c>
      <c r="F55" s="26" t="s">
        <v>648</v>
      </c>
      <c r="G55" s="104">
        <v>6.0</v>
      </c>
      <c r="H55" s="102">
        <v>100000.0</v>
      </c>
      <c r="I55" s="102">
        <v>10000.0</v>
      </c>
      <c r="J55" s="102" t="s">
        <v>645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>
      <c r="A56" s="85" t="s">
        <v>431</v>
      </c>
      <c r="B56" s="101" t="s">
        <v>432</v>
      </c>
      <c r="C56" s="13" t="str">
        <f t="shared" si="1"/>
        <v>PP1000-202 - Gobaa</v>
      </c>
      <c r="D56" s="102">
        <v>5.0</v>
      </c>
      <c r="E56" s="13" t="s">
        <v>612</v>
      </c>
      <c r="F56" s="26" t="s">
        <v>649</v>
      </c>
      <c r="G56" s="104">
        <v>35.0</v>
      </c>
      <c r="H56" s="102">
        <v>100000.0</v>
      </c>
      <c r="I56" s="102">
        <v>10000.0</v>
      </c>
      <c r="J56" s="102" t="s">
        <v>645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>
      <c r="A57" s="85" t="s">
        <v>431</v>
      </c>
      <c r="B57" s="101" t="s">
        <v>432</v>
      </c>
      <c r="C57" s="13" t="str">
        <f t="shared" si="1"/>
        <v>PP1000-202 - Patti Polishing</v>
      </c>
      <c r="D57" s="102">
        <v>6.0</v>
      </c>
      <c r="E57" s="13" t="s">
        <v>613</v>
      </c>
      <c r="F57" s="26" t="s">
        <v>650</v>
      </c>
      <c r="G57" s="105"/>
      <c r="H57" s="102">
        <v>100000.0</v>
      </c>
      <c r="I57" s="102">
        <v>10000.0</v>
      </c>
      <c r="J57" s="102" t="s">
        <v>645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>
      <c r="A58" s="85" t="s">
        <v>431</v>
      </c>
      <c r="B58" s="101" t="s">
        <v>432</v>
      </c>
      <c r="C58" s="13" t="str">
        <f t="shared" si="1"/>
        <v>PP1000-202 - Patti Fatka</v>
      </c>
      <c r="D58" s="102">
        <v>7.0</v>
      </c>
      <c r="E58" s="13" t="s">
        <v>616</v>
      </c>
      <c r="F58" s="26" t="s">
        <v>649</v>
      </c>
      <c r="G58" s="104">
        <v>33.0</v>
      </c>
      <c r="H58" s="102">
        <v>100000.0</v>
      </c>
      <c r="I58" s="102">
        <v>10000.0</v>
      </c>
      <c r="J58" s="102" t="s">
        <v>645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>
      <c r="A59" s="85" t="s">
        <v>431</v>
      </c>
      <c r="B59" s="101" t="s">
        <v>432</v>
      </c>
      <c r="C59" s="13" t="str">
        <f t="shared" si="1"/>
        <v>PP1000-202 - Polishing</v>
      </c>
      <c r="D59" s="102">
        <v>8.0</v>
      </c>
      <c r="E59" s="13" t="s">
        <v>619</v>
      </c>
      <c r="F59" s="26" t="s">
        <v>650</v>
      </c>
      <c r="G59" s="105"/>
      <c r="H59" s="102">
        <v>100000.0</v>
      </c>
      <c r="I59" s="102">
        <v>10000.0</v>
      </c>
      <c r="J59" s="102" t="s">
        <v>645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>
      <c r="A60" s="85" t="s">
        <v>431</v>
      </c>
      <c r="B60" s="101" t="s">
        <v>432</v>
      </c>
      <c r="C60" s="13" t="str">
        <f t="shared" si="1"/>
        <v>PP1000-202 - Rework</v>
      </c>
      <c r="D60" s="102">
        <v>9.0</v>
      </c>
      <c r="E60" s="26" t="s">
        <v>621</v>
      </c>
      <c r="F60" s="26" t="s">
        <v>650</v>
      </c>
      <c r="G60" s="105"/>
      <c r="H60" s="102">
        <v>100000.0</v>
      </c>
      <c r="I60" s="102">
        <v>10000.0</v>
      </c>
      <c r="J60" s="102" t="s">
        <v>645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>
      <c r="A61" s="85" t="s">
        <v>431</v>
      </c>
      <c r="B61" s="101" t="s">
        <v>432</v>
      </c>
      <c r="C61" s="13" t="str">
        <f t="shared" si="1"/>
        <v>PP1000-202 - Cleaning</v>
      </c>
      <c r="D61" s="102">
        <v>10.0</v>
      </c>
      <c r="E61" s="13" t="s">
        <v>622</v>
      </c>
      <c r="F61" s="13"/>
      <c r="G61" s="105"/>
      <c r="H61" s="102">
        <v>100000.0</v>
      </c>
      <c r="I61" s="102">
        <v>10000.0</v>
      </c>
      <c r="J61" s="102" t="s">
        <v>645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>
      <c r="A62" s="85" t="s">
        <v>431</v>
      </c>
      <c r="B62" s="101" t="s">
        <v>432</v>
      </c>
      <c r="C62" s="13" t="str">
        <f t="shared" si="1"/>
        <v>PP1000-202 - Handle Hole</v>
      </c>
      <c r="D62" s="102">
        <v>11.0</v>
      </c>
      <c r="E62" s="13" t="s">
        <v>624</v>
      </c>
      <c r="F62" s="26" t="s">
        <v>649</v>
      </c>
      <c r="G62" s="104">
        <v>100.0</v>
      </c>
      <c r="H62" s="102">
        <v>100000.0</v>
      </c>
      <c r="I62" s="102">
        <v>10000.0</v>
      </c>
      <c r="J62" s="102" t="s">
        <v>645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>
      <c r="A63" s="85" t="s">
        <v>431</v>
      </c>
      <c r="B63" s="101" t="s">
        <v>432</v>
      </c>
      <c r="C63" s="13" t="str">
        <f t="shared" si="1"/>
        <v>PP1000-202 - Bottom Hole</v>
      </c>
      <c r="D63" s="102">
        <v>12.0</v>
      </c>
      <c r="E63" s="13" t="s">
        <v>626</v>
      </c>
      <c r="F63" s="26" t="s">
        <v>649</v>
      </c>
      <c r="G63" s="104">
        <v>50.0</v>
      </c>
      <c r="H63" s="102">
        <v>100000.0</v>
      </c>
      <c r="I63" s="102">
        <v>10000.0</v>
      </c>
      <c r="J63" s="102" t="s">
        <v>645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>
      <c r="A64" s="85" t="s">
        <v>431</v>
      </c>
      <c r="B64" s="101" t="s">
        <v>432</v>
      </c>
      <c r="C64" s="13" t="str">
        <f t="shared" si="1"/>
        <v>PP1000-202 - Flow Breaker</v>
      </c>
      <c r="D64" s="102">
        <v>13.0</v>
      </c>
      <c r="E64" s="13" t="s">
        <v>628</v>
      </c>
      <c r="F64" s="26" t="s">
        <v>649</v>
      </c>
      <c r="G64" s="104">
        <v>87.0</v>
      </c>
      <c r="H64" s="102">
        <v>100000.0</v>
      </c>
      <c r="I64" s="102">
        <v>10000.0</v>
      </c>
      <c r="J64" s="102" t="s">
        <v>645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>
      <c r="A65" s="85" t="s">
        <v>431</v>
      </c>
      <c r="B65" s="101" t="s">
        <v>432</v>
      </c>
      <c r="C65" s="13" t="str">
        <f t="shared" si="1"/>
        <v>PP1000-202 - Final Cleaning</v>
      </c>
      <c r="D65" s="102">
        <v>14.0</v>
      </c>
      <c r="E65" s="13" t="s">
        <v>627</v>
      </c>
      <c r="F65" s="13"/>
      <c r="G65" s="105"/>
      <c r="H65" s="102">
        <v>100000.0</v>
      </c>
      <c r="I65" s="102">
        <v>10000.0</v>
      </c>
      <c r="J65" s="102" t="s">
        <v>645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>
      <c r="A66" s="85" t="s">
        <v>431</v>
      </c>
      <c r="B66" s="101" t="s">
        <v>432</v>
      </c>
      <c r="C66" s="13" t="str">
        <f t="shared" si="1"/>
        <v>PP1000-202 - QC</v>
      </c>
      <c r="D66" s="102">
        <v>15.0</v>
      </c>
      <c r="E66" s="13" t="s">
        <v>629</v>
      </c>
      <c r="F66" s="13"/>
      <c r="G66" s="105"/>
      <c r="H66" s="102">
        <v>100000.0</v>
      </c>
      <c r="I66" s="102">
        <v>10000.0</v>
      </c>
      <c r="J66" s="102" t="s">
        <v>645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>
      <c r="A67" s="85" t="s">
        <v>431</v>
      </c>
      <c r="B67" s="101" t="s">
        <v>432</v>
      </c>
      <c r="C67" s="13" t="str">
        <f t="shared" si="1"/>
        <v>PP1000-202 - Packaging</v>
      </c>
      <c r="D67" s="102">
        <v>16.0</v>
      </c>
      <c r="E67" s="13" t="s">
        <v>631</v>
      </c>
      <c r="F67" s="13"/>
      <c r="G67" s="105"/>
      <c r="H67" s="102">
        <v>100000.0</v>
      </c>
      <c r="I67" s="102">
        <v>10000.0</v>
      </c>
      <c r="J67" s="102" t="s">
        <v>645</v>
      </c>
      <c r="K67" s="26" t="s">
        <v>651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>
      <c r="A68" s="85" t="s">
        <v>433</v>
      </c>
      <c r="B68" s="101" t="s">
        <v>434</v>
      </c>
      <c r="C68" s="13" t="str">
        <f t="shared" si="1"/>
        <v>PP0400-202 - Circle Cutting</v>
      </c>
      <c r="D68" s="102">
        <v>1.0</v>
      </c>
      <c r="E68" s="13" t="s">
        <v>604</v>
      </c>
      <c r="F68" s="26" t="s">
        <v>644</v>
      </c>
      <c r="G68" s="103">
        <f>49</f>
        <v>49</v>
      </c>
      <c r="H68" s="102">
        <v>100000.0</v>
      </c>
      <c r="I68" s="102">
        <v>10000.0</v>
      </c>
      <c r="J68" s="102" t="s">
        <v>645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>
      <c r="A69" s="85" t="s">
        <v>433</v>
      </c>
      <c r="B69" s="101" t="s">
        <v>434</v>
      </c>
      <c r="C69" s="13" t="str">
        <f t="shared" si="1"/>
        <v>PP0400-202 - Pressing 1</v>
      </c>
      <c r="D69" s="102">
        <v>2.0</v>
      </c>
      <c r="E69" s="13" t="s">
        <v>605</v>
      </c>
      <c r="F69" s="26" t="s">
        <v>646</v>
      </c>
      <c r="G69" s="104">
        <v>10.0</v>
      </c>
      <c r="H69" s="102">
        <v>100000.0</v>
      </c>
      <c r="I69" s="102">
        <v>10000.0</v>
      </c>
      <c r="J69" s="102" t="s">
        <v>645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>
      <c r="A70" s="85" t="s">
        <v>433</v>
      </c>
      <c r="B70" s="101" t="s">
        <v>434</v>
      </c>
      <c r="C70" s="13" t="str">
        <f t="shared" si="1"/>
        <v>PP0400-202 - Spinning - Direct</v>
      </c>
      <c r="D70" s="102">
        <v>3.0</v>
      </c>
      <c r="E70" s="13" t="s">
        <v>607</v>
      </c>
      <c r="F70" s="26" t="s">
        <v>647</v>
      </c>
      <c r="G70" s="104">
        <v>3.0</v>
      </c>
      <c r="H70" s="102">
        <v>100000.0</v>
      </c>
      <c r="I70" s="102">
        <v>10000.0</v>
      </c>
      <c r="J70" s="102" t="s">
        <v>645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>
      <c r="A71" s="85" t="s">
        <v>433</v>
      </c>
      <c r="B71" s="101" t="s">
        <v>434</v>
      </c>
      <c r="C71" s="13" t="str">
        <f t="shared" si="1"/>
        <v>PP0400-202 - Cutting</v>
      </c>
      <c r="D71" s="102">
        <v>4.0</v>
      </c>
      <c r="E71" s="13" t="s">
        <v>609</v>
      </c>
      <c r="F71" s="26" t="s">
        <v>648</v>
      </c>
      <c r="G71" s="104">
        <v>6.0</v>
      </c>
      <c r="H71" s="102">
        <v>100000.0</v>
      </c>
      <c r="I71" s="102">
        <v>10000.0</v>
      </c>
      <c r="J71" s="102" t="s">
        <v>645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>
      <c r="A72" s="85" t="s">
        <v>433</v>
      </c>
      <c r="B72" s="101" t="s">
        <v>434</v>
      </c>
      <c r="C72" s="13" t="str">
        <f t="shared" si="1"/>
        <v>PP0400-202 - Gobaa</v>
      </c>
      <c r="D72" s="102">
        <v>5.0</v>
      </c>
      <c r="E72" s="13" t="s">
        <v>612</v>
      </c>
      <c r="F72" s="26" t="s">
        <v>649</v>
      </c>
      <c r="G72" s="104">
        <v>35.0</v>
      </c>
      <c r="H72" s="102">
        <v>100000.0</v>
      </c>
      <c r="I72" s="102">
        <v>10000.0</v>
      </c>
      <c r="J72" s="102" t="s">
        <v>645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>
      <c r="A73" s="85" t="s">
        <v>433</v>
      </c>
      <c r="B73" s="101" t="s">
        <v>434</v>
      </c>
      <c r="C73" s="13" t="str">
        <f t="shared" si="1"/>
        <v>PP0400-202 - Patti Polishing</v>
      </c>
      <c r="D73" s="102">
        <v>6.0</v>
      </c>
      <c r="E73" s="13" t="s">
        <v>613</v>
      </c>
      <c r="F73" s="26" t="s">
        <v>650</v>
      </c>
      <c r="G73" s="105"/>
      <c r="H73" s="102">
        <v>100000.0</v>
      </c>
      <c r="I73" s="102">
        <v>10000.0</v>
      </c>
      <c r="J73" s="102" t="s">
        <v>645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>
      <c r="A74" s="85" t="s">
        <v>433</v>
      </c>
      <c r="B74" s="101" t="s">
        <v>434</v>
      </c>
      <c r="C74" s="13" t="str">
        <f t="shared" si="1"/>
        <v>PP0400-202 - Patti Fatka</v>
      </c>
      <c r="D74" s="102">
        <v>7.0</v>
      </c>
      <c r="E74" s="13" t="s">
        <v>616</v>
      </c>
      <c r="F74" s="26" t="s">
        <v>649</v>
      </c>
      <c r="G74" s="104">
        <v>33.0</v>
      </c>
      <c r="H74" s="102">
        <v>100000.0</v>
      </c>
      <c r="I74" s="102">
        <v>10000.0</v>
      </c>
      <c r="J74" s="102" t="s">
        <v>645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>
      <c r="A75" s="85" t="s">
        <v>433</v>
      </c>
      <c r="B75" s="101" t="s">
        <v>434</v>
      </c>
      <c r="C75" s="13" t="str">
        <f t="shared" si="1"/>
        <v>PP0400-202 - Pre Buffing</v>
      </c>
      <c r="D75" s="102">
        <v>8.0</v>
      </c>
      <c r="E75" s="26" t="s">
        <v>617</v>
      </c>
      <c r="F75" s="26" t="s">
        <v>650</v>
      </c>
      <c r="G75" s="105"/>
      <c r="H75" s="102">
        <v>100000.0</v>
      </c>
      <c r="I75" s="102">
        <v>10000.0</v>
      </c>
      <c r="J75" s="102" t="s">
        <v>645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>
      <c r="A76" s="85" t="s">
        <v>433</v>
      </c>
      <c r="B76" s="101" t="s">
        <v>434</v>
      </c>
      <c r="C76" s="13" t="str">
        <f t="shared" si="1"/>
        <v>PP0400-202 - Polishing</v>
      </c>
      <c r="D76" s="102">
        <v>9.0</v>
      </c>
      <c r="E76" s="13" t="s">
        <v>619</v>
      </c>
      <c r="F76" s="26" t="s">
        <v>650</v>
      </c>
      <c r="G76" s="105"/>
      <c r="H76" s="102">
        <v>100000.0</v>
      </c>
      <c r="I76" s="102">
        <v>10000.0</v>
      </c>
      <c r="J76" s="102" t="s">
        <v>645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>
      <c r="A77" s="85" t="s">
        <v>433</v>
      </c>
      <c r="B77" s="101" t="s">
        <v>434</v>
      </c>
      <c r="C77" s="13" t="str">
        <f t="shared" si="1"/>
        <v>PP0400-202 - Rework</v>
      </c>
      <c r="D77" s="102">
        <v>10.0</v>
      </c>
      <c r="E77" s="26" t="s">
        <v>621</v>
      </c>
      <c r="F77" s="26" t="s">
        <v>650</v>
      </c>
      <c r="G77" s="105"/>
      <c r="H77" s="102">
        <v>100000.0</v>
      </c>
      <c r="I77" s="102">
        <v>10000.0</v>
      </c>
      <c r="J77" s="102" t="s">
        <v>645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>
      <c r="A78" s="85" t="s">
        <v>433</v>
      </c>
      <c r="B78" s="101" t="s">
        <v>434</v>
      </c>
      <c r="C78" s="13" t="str">
        <f t="shared" si="1"/>
        <v>PP0400-202 - Cleaning</v>
      </c>
      <c r="D78" s="102">
        <v>11.0</v>
      </c>
      <c r="E78" s="13" t="s">
        <v>622</v>
      </c>
      <c r="F78" s="13"/>
      <c r="G78" s="105"/>
      <c r="H78" s="102">
        <v>100000.0</v>
      </c>
      <c r="I78" s="102">
        <v>10000.0</v>
      </c>
      <c r="J78" s="102" t="s">
        <v>645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>
      <c r="A79" s="85" t="s">
        <v>433</v>
      </c>
      <c r="B79" s="101" t="s">
        <v>434</v>
      </c>
      <c r="C79" s="13" t="str">
        <f t="shared" si="1"/>
        <v>PP0400-202 - Handle Hole</v>
      </c>
      <c r="D79" s="102">
        <v>12.0</v>
      </c>
      <c r="E79" s="13" t="s">
        <v>624</v>
      </c>
      <c r="F79" s="26" t="s">
        <v>649</v>
      </c>
      <c r="G79" s="104">
        <v>100.0</v>
      </c>
      <c r="H79" s="102">
        <v>100000.0</v>
      </c>
      <c r="I79" s="102">
        <v>10000.0</v>
      </c>
      <c r="J79" s="102" t="s">
        <v>645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>
      <c r="A80" s="85" t="s">
        <v>433</v>
      </c>
      <c r="B80" s="101" t="s">
        <v>434</v>
      </c>
      <c r="C80" s="13" t="str">
        <f t="shared" si="1"/>
        <v>PP0400-202 - Bottom Hole</v>
      </c>
      <c r="D80" s="102">
        <v>13.0</v>
      </c>
      <c r="E80" s="13" t="s">
        <v>626</v>
      </c>
      <c r="F80" s="26" t="s">
        <v>649</v>
      </c>
      <c r="G80" s="104">
        <v>50.0</v>
      </c>
      <c r="H80" s="102">
        <v>100000.0</v>
      </c>
      <c r="I80" s="102">
        <v>10000.0</v>
      </c>
      <c r="J80" s="102" t="s">
        <v>645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>
      <c r="A81" s="85" t="s">
        <v>433</v>
      </c>
      <c r="B81" s="101" t="s">
        <v>434</v>
      </c>
      <c r="C81" s="13" t="str">
        <f t="shared" si="1"/>
        <v>PP0400-202 - Flow Breaker</v>
      </c>
      <c r="D81" s="102">
        <v>14.0</v>
      </c>
      <c r="E81" s="26" t="s">
        <v>628</v>
      </c>
      <c r="F81" s="26" t="s">
        <v>649</v>
      </c>
      <c r="G81" s="104">
        <v>87.0</v>
      </c>
      <c r="H81" s="102">
        <v>100000.0</v>
      </c>
      <c r="I81" s="102">
        <v>10000.0</v>
      </c>
      <c r="J81" s="102" t="s">
        <v>645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>
      <c r="A82" s="85" t="s">
        <v>433</v>
      </c>
      <c r="B82" s="101" t="s">
        <v>434</v>
      </c>
      <c r="C82" s="13" t="str">
        <f t="shared" si="1"/>
        <v>PP0400-202 - Final Cleaning</v>
      </c>
      <c r="D82" s="102">
        <v>15.0</v>
      </c>
      <c r="E82" s="13" t="s">
        <v>627</v>
      </c>
      <c r="F82" s="13"/>
      <c r="G82" s="105"/>
      <c r="H82" s="102">
        <v>100000.0</v>
      </c>
      <c r="I82" s="102">
        <v>10000.0</v>
      </c>
      <c r="J82" s="102" t="s">
        <v>645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>
      <c r="A83" s="85" t="s">
        <v>433</v>
      </c>
      <c r="B83" s="101" t="s">
        <v>434</v>
      </c>
      <c r="C83" s="13" t="str">
        <f t="shared" si="1"/>
        <v>PP0400-202 - QC</v>
      </c>
      <c r="D83" s="102">
        <v>16.0</v>
      </c>
      <c r="E83" s="13" t="s">
        <v>629</v>
      </c>
      <c r="F83" s="13"/>
      <c r="G83" s="105"/>
      <c r="H83" s="102">
        <v>100000.0</v>
      </c>
      <c r="I83" s="102">
        <v>10000.0</v>
      </c>
      <c r="J83" s="102" t="s">
        <v>645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>
      <c r="A84" s="85" t="s">
        <v>433</v>
      </c>
      <c r="B84" s="101" t="s">
        <v>434</v>
      </c>
      <c r="C84" s="13" t="str">
        <f t="shared" si="1"/>
        <v>PP0400-202 - Packaging</v>
      </c>
      <c r="D84" s="102">
        <v>17.0</v>
      </c>
      <c r="E84" s="13" t="s">
        <v>631</v>
      </c>
      <c r="F84" s="13"/>
      <c r="G84" s="105"/>
      <c r="H84" s="102">
        <v>100000.0</v>
      </c>
      <c r="I84" s="102">
        <v>10000.0</v>
      </c>
      <c r="J84" s="102" t="s">
        <v>645</v>
      </c>
      <c r="K84" s="26" t="s">
        <v>651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>
      <c r="A85" s="85" t="s">
        <v>441</v>
      </c>
      <c r="B85" s="101" t="s">
        <v>442</v>
      </c>
      <c r="C85" s="13" t="str">
        <f t="shared" si="1"/>
        <v>VA1500-202 - Circle Cutting</v>
      </c>
      <c r="D85" s="102">
        <v>1.0</v>
      </c>
      <c r="E85" s="26" t="s">
        <v>604</v>
      </c>
      <c r="F85" s="26" t="s">
        <v>644</v>
      </c>
      <c r="G85" s="103">
        <f>49</f>
        <v>49</v>
      </c>
      <c r="H85" s="102">
        <v>100000.0</v>
      </c>
      <c r="I85" s="102">
        <v>10000.0</v>
      </c>
      <c r="J85" s="102" t="s">
        <v>645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>
      <c r="A86" s="85" t="s">
        <v>441</v>
      </c>
      <c r="B86" s="101" t="s">
        <v>442</v>
      </c>
      <c r="C86" s="13" t="str">
        <f t="shared" si="1"/>
        <v>VA1500-202 - Pressing 1</v>
      </c>
      <c r="D86" s="102">
        <v>2.0</v>
      </c>
      <c r="E86" s="26" t="s">
        <v>605</v>
      </c>
      <c r="F86" s="26" t="s">
        <v>646</v>
      </c>
      <c r="G86" s="104">
        <v>10.0</v>
      </c>
      <c r="H86" s="102">
        <v>100000.0</v>
      </c>
      <c r="I86" s="102">
        <v>10000.0</v>
      </c>
      <c r="J86" s="102" t="s">
        <v>645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>
      <c r="A87" s="85" t="s">
        <v>441</v>
      </c>
      <c r="B87" s="101" t="s">
        <v>442</v>
      </c>
      <c r="C87" s="13" t="str">
        <f t="shared" si="1"/>
        <v>VA1500-202 - Pressing 2</v>
      </c>
      <c r="D87" s="102">
        <v>3.0</v>
      </c>
      <c r="E87" s="26" t="s">
        <v>606</v>
      </c>
      <c r="F87" s="26" t="s">
        <v>646</v>
      </c>
      <c r="G87" s="104">
        <v>10.0</v>
      </c>
      <c r="H87" s="102">
        <v>100000.0</v>
      </c>
      <c r="I87" s="102">
        <v>10000.0</v>
      </c>
      <c r="J87" s="102" t="s">
        <v>645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>
      <c r="A88" s="85" t="s">
        <v>441</v>
      </c>
      <c r="B88" s="101" t="s">
        <v>442</v>
      </c>
      <c r="C88" s="13" t="str">
        <f t="shared" si="1"/>
        <v>VA1500-202 - Spinning - Dab</v>
      </c>
      <c r="D88" s="102">
        <v>4.0</v>
      </c>
      <c r="E88" s="26" t="s">
        <v>608</v>
      </c>
      <c r="F88" s="26" t="s">
        <v>647</v>
      </c>
      <c r="G88" s="104">
        <v>3.0</v>
      </c>
      <c r="H88" s="102">
        <v>100000.0</v>
      </c>
      <c r="I88" s="102">
        <v>10000.0</v>
      </c>
      <c r="J88" s="102" t="s">
        <v>645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>
      <c r="A89" s="85" t="s">
        <v>441</v>
      </c>
      <c r="B89" s="101" t="s">
        <v>442</v>
      </c>
      <c r="C89" s="13" t="str">
        <f t="shared" si="1"/>
        <v>VA1500-202 - Spinning - Final</v>
      </c>
      <c r="D89" s="102">
        <v>5.0</v>
      </c>
      <c r="E89" s="26" t="s">
        <v>610</v>
      </c>
      <c r="F89" s="26" t="s">
        <v>647</v>
      </c>
      <c r="G89" s="104">
        <v>3.0</v>
      </c>
      <c r="H89" s="102">
        <v>100000.0</v>
      </c>
      <c r="I89" s="102">
        <v>10000.0</v>
      </c>
      <c r="J89" s="102" t="s">
        <v>645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>
      <c r="A90" s="85" t="s">
        <v>441</v>
      </c>
      <c r="B90" s="101" t="s">
        <v>442</v>
      </c>
      <c r="C90" s="13" t="str">
        <f t="shared" si="1"/>
        <v>VA1500-202 - Cutting</v>
      </c>
      <c r="D90" s="102">
        <v>6.0</v>
      </c>
      <c r="E90" s="26" t="s">
        <v>609</v>
      </c>
      <c r="F90" s="26" t="s">
        <v>648</v>
      </c>
      <c r="G90" s="104">
        <v>6.0</v>
      </c>
      <c r="H90" s="102">
        <v>100000.0</v>
      </c>
      <c r="I90" s="102">
        <v>10000.0</v>
      </c>
      <c r="J90" s="102" t="s">
        <v>645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>
      <c r="A91" s="85" t="s">
        <v>441</v>
      </c>
      <c r="B91" s="101" t="s">
        <v>442</v>
      </c>
      <c r="C91" s="13" t="str">
        <f t="shared" si="1"/>
        <v>VA1500-202 - Gobaa</v>
      </c>
      <c r="D91" s="102">
        <v>7.0</v>
      </c>
      <c r="E91" s="26" t="s">
        <v>612</v>
      </c>
      <c r="F91" s="26" t="s">
        <v>649</v>
      </c>
      <c r="G91" s="104">
        <v>35.0</v>
      </c>
      <c r="H91" s="102">
        <v>100000.0</v>
      </c>
      <c r="I91" s="102">
        <v>10000.0</v>
      </c>
      <c r="J91" s="102" t="s">
        <v>645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>
      <c r="A92" s="85" t="s">
        <v>441</v>
      </c>
      <c r="B92" s="101" t="s">
        <v>442</v>
      </c>
      <c r="C92" s="13" t="str">
        <f t="shared" si="1"/>
        <v>VA1500-202 - Patti Polishing</v>
      </c>
      <c r="D92" s="102">
        <v>8.0</v>
      </c>
      <c r="E92" s="26" t="s">
        <v>613</v>
      </c>
      <c r="F92" s="26" t="s">
        <v>650</v>
      </c>
      <c r="G92" s="105"/>
      <c r="H92" s="102">
        <v>100000.0</v>
      </c>
      <c r="I92" s="102">
        <v>10000.0</v>
      </c>
      <c r="J92" s="102" t="s">
        <v>645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>
      <c r="A93" s="85" t="s">
        <v>441</v>
      </c>
      <c r="B93" s="101" t="s">
        <v>442</v>
      </c>
      <c r="C93" s="13" t="str">
        <f t="shared" si="1"/>
        <v>VA1500-202 - Patti Fatka</v>
      </c>
      <c r="D93" s="102">
        <v>9.0</v>
      </c>
      <c r="E93" s="26" t="s">
        <v>616</v>
      </c>
      <c r="F93" s="26" t="s">
        <v>649</v>
      </c>
      <c r="G93" s="104">
        <v>33.0</v>
      </c>
      <c r="H93" s="102">
        <v>100000.0</v>
      </c>
      <c r="I93" s="102">
        <v>10000.0</v>
      </c>
      <c r="J93" s="102" t="s">
        <v>645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>
      <c r="A94" s="85" t="s">
        <v>441</v>
      </c>
      <c r="B94" s="101" t="s">
        <v>442</v>
      </c>
      <c r="C94" s="13" t="str">
        <f t="shared" si="1"/>
        <v>VA1500-202 - Polishing</v>
      </c>
      <c r="D94" s="102">
        <v>10.0</v>
      </c>
      <c r="E94" s="26" t="s">
        <v>619</v>
      </c>
      <c r="F94" s="26" t="s">
        <v>650</v>
      </c>
      <c r="G94" s="105"/>
      <c r="H94" s="102">
        <v>100000.0</v>
      </c>
      <c r="I94" s="102">
        <v>10000.0</v>
      </c>
      <c r="J94" s="102" t="s">
        <v>645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>
      <c r="A95" s="85" t="s">
        <v>441</v>
      </c>
      <c r="B95" s="101" t="s">
        <v>442</v>
      </c>
      <c r="C95" s="13" t="str">
        <f t="shared" si="1"/>
        <v>VA1500-202 - Rework</v>
      </c>
      <c r="D95" s="102">
        <v>11.0</v>
      </c>
      <c r="E95" s="26" t="s">
        <v>621</v>
      </c>
      <c r="F95" s="26" t="s">
        <v>650</v>
      </c>
      <c r="G95" s="105"/>
      <c r="H95" s="102">
        <v>100000.0</v>
      </c>
      <c r="I95" s="102">
        <v>10000.0</v>
      </c>
      <c r="J95" s="102" t="s">
        <v>645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>
      <c r="A96" s="85" t="s">
        <v>441</v>
      </c>
      <c r="B96" s="101" t="s">
        <v>442</v>
      </c>
      <c r="C96" s="13" t="str">
        <f t="shared" si="1"/>
        <v>VA1500-202 - Cleaning</v>
      </c>
      <c r="D96" s="102">
        <v>12.0</v>
      </c>
      <c r="E96" s="26" t="s">
        <v>622</v>
      </c>
      <c r="F96" s="13"/>
      <c r="G96" s="105"/>
      <c r="H96" s="102">
        <v>100000.0</v>
      </c>
      <c r="I96" s="102">
        <v>10000.0</v>
      </c>
      <c r="J96" s="102" t="s">
        <v>645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>
      <c r="A97" s="85" t="s">
        <v>441</v>
      </c>
      <c r="B97" s="101" t="s">
        <v>442</v>
      </c>
      <c r="C97" s="13" t="str">
        <f t="shared" si="1"/>
        <v>VA1500-202 - Handle Hole</v>
      </c>
      <c r="D97" s="102">
        <v>13.0</v>
      </c>
      <c r="E97" s="26" t="s">
        <v>624</v>
      </c>
      <c r="F97" s="26" t="s">
        <v>649</v>
      </c>
      <c r="G97" s="104">
        <v>100.0</v>
      </c>
      <c r="H97" s="102">
        <v>100000.0</v>
      </c>
      <c r="I97" s="102">
        <v>10000.0</v>
      </c>
      <c r="J97" s="102" t="s">
        <v>645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>
      <c r="A98" s="85" t="s">
        <v>441</v>
      </c>
      <c r="B98" s="101" t="s">
        <v>442</v>
      </c>
      <c r="C98" s="13" t="str">
        <f t="shared" si="1"/>
        <v>VA1500-202 - Bottom Hole</v>
      </c>
      <c r="D98" s="102">
        <v>14.0</v>
      </c>
      <c r="E98" s="26" t="s">
        <v>626</v>
      </c>
      <c r="F98" s="26" t="s">
        <v>649</v>
      </c>
      <c r="G98" s="104">
        <v>50.0</v>
      </c>
      <c r="H98" s="102">
        <v>100000.0</v>
      </c>
      <c r="I98" s="102">
        <v>10000.0</v>
      </c>
      <c r="J98" s="102" t="s">
        <v>645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>
      <c r="A99" s="85" t="s">
        <v>441</v>
      </c>
      <c r="B99" s="101" t="s">
        <v>442</v>
      </c>
      <c r="C99" s="13" t="str">
        <f t="shared" si="1"/>
        <v>VA1500-202 - Flow Breaker</v>
      </c>
      <c r="D99" s="102">
        <v>15.0</v>
      </c>
      <c r="E99" s="26" t="s">
        <v>628</v>
      </c>
      <c r="F99" s="26" t="s">
        <v>649</v>
      </c>
      <c r="G99" s="104">
        <v>87.0</v>
      </c>
      <c r="H99" s="102">
        <v>100000.0</v>
      </c>
      <c r="I99" s="102">
        <v>10000.0</v>
      </c>
      <c r="J99" s="102" t="s">
        <v>645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>
      <c r="A100" s="85" t="s">
        <v>441</v>
      </c>
      <c r="B100" s="101" t="s">
        <v>442</v>
      </c>
      <c r="C100" s="13" t="str">
        <f t="shared" si="1"/>
        <v>VA1500-202 - Final Cleaning</v>
      </c>
      <c r="D100" s="102">
        <v>16.0</v>
      </c>
      <c r="E100" s="26" t="s">
        <v>627</v>
      </c>
      <c r="F100" s="13"/>
      <c r="G100" s="105"/>
      <c r="H100" s="102">
        <v>100000.0</v>
      </c>
      <c r="I100" s="102">
        <v>10000.0</v>
      </c>
      <c r="J100" s="102" t="s">
        <v>645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>
      <c r="A101" s="85" t="s">
        <v>441</v>
      </c>
      <c r="B101" s="101" t="s">
        <v>442</v>
      </c>
      <c r="C101" s="13" t="str">
        <f t="shared" si="1"/>
        <v>VA1500-202 - QC</v>
      </c>
      <c r="D101" s="102">
        <v>17.0</v>
      </c>
      <c r="E101" s="26" t="s">
        <v>629</v>
      </c>
      <c r="F101" s="13"/>
      <c r="G101" s="105"/>
      <c r="H101" s="102">
        <v>100000.0</v>
      </c>
      <c r="I101" s="102">
        <v>10000.0</v>
      </c>
      <c r="J101" s="102" t="s">
        <v>645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>
      <c r="A102" s="85" t="s">
        <v>441</v>
      </c>
      <c r="B102" s="101" t="s">
        <v>442</v>
      </c>
      <c r="C102" s="13" t="str">
        <f t="shared" si="1"/>
        <v>VA1500-202 - Packaging</v>
      </c>
      <c r="D102" s="102">
        <v>18.0</v>
      </c>
      <c r="E102" s="26" t="s">
        <v>631</v>
      </c>
      <c r="F102" s="13"/>
      <c r="G102" s="105"/>
      <c r="H102" s="102">
        <v>100000.0</v>
      </c>
      <c r="I102" s="102">
        <v>10000.0</v>
      </c>
      <c r="J102" s="102" t="s">
        <v>645</v>
      </c>
      <c r="K102" s="26" t="s">
        <v>651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>
      <c r="A103" s="85" t="s">
        <v>443</v>
      </c>
      <c r="B103" s="101" t="s">
        <v>444</v>
      </c>
      <c r="C103" s="13" t="str">
        <f t="shared" si="1"/>
        <v>VA1000-202 - Circle Cutting</v>
      </c>
      <c r="D103" s="102">
        <v>1.0</v>
      </c>
      <c r="E103" s="26" t="s">
        <v>604</v>
      </c>
      <c r="F103" s="26" t="s">
        <v>644</v>
      </c>
      <c r="G103" s="103">
        <f>49</f>
        <v>49</v>
      </c>
      <c r="H103" s="102">
        <v>100000.0</v>
      </c>
      <c r="I103" s="102">
        <v>10000.0</v>
      </c>
      <c r="J103" s="102" t="s">
        <v>645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>
      <c r="A104" s="85" t="s">
        <v>443</v>
      </c>
      <c r="B104" s="101" t="s">
        <v>444</v>
      </c>
      <c r="C104" s="13" t="str">
        <f t="shared" si="1"/>
        <v>VA1000-202 - Pressing 1</v>
      </c>
      <c r="D104" s="102">
        <v>2.0</v>
      </c>
      <c r="E104" s="26" t="s">
        <v>605</v>
      </c>
      <c r="F104" s="26" t="s">
        <v>646</v>
      </c>
      <c r="G104" s="104">
        <v>10.0</v>
      </c>
      <c r="H104" s="102">
        <v>100000.0</v>
      </c>
      <c r="I104" s="102">
        <v>10000.0</v>
      </c>
      <c r="J104" s="102" t="s">
        <v>645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85" t="s">
        <v>443</v>
      </c>
      <c r="B105" s="101" t="s">
        <v>444</v>
      </c>
      <c r="C105" s="13" t="str">
        <f t="shared" si="1"/>
        <v>VA1000-202 - Spinning - Direct</v>
      </c>
      <c r="D105" s="102">
        <v>3.0</v>
      </c>
      <c r="E105" s="26" t="s">
        <v>607</v>
      </c>
      <c r="F105" s="26" t="s">
        <v>647</v>
      </c>
      <c r="G105" s="104">
        <v>3.0</v>
      </c>
      <c r="H105" s="102">
        <v>100000.0</v>
      </c>
      <c r="I105" s="102">
        <v>10000.0</v>
      </c>
      <c r="J105" s="102" t="s">
        <v>645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85" t="s">
        <v>443</v>
      </c>
      <c r="B106" s="101" t="s">
        <v>444</v>
      </c>
      <c r="C106" s="13" t="str">
        <f t="shared" si="1"/>
        <v>VA1000-202 - Cutting</v>
      </c>
      <c r="D106" s="102">
        <v>4.0</v>
      </c>
      <c r="E106" s="26" t="s">
        <v>609</v>
      </c>
      <c r="F106" s="26" t="s">
        <v>648</v>
      </c>
      <c r="G106" s="104">
        <v>6.0</v>
      </c>
      <c r="H106" s="102">
        <v>100000.0</v>
      </c>
      <c r="I106" s="102">
        <v>10000.0</v>
      </c>
      <c r="J106" s="102" t="s">
        <v>645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85" t="s">
        <v>443</v>
      </c>
      <c r="B107" s="101" t="s">
        <v>444</v>
      </c>
      <c r="C107" s="13" t="str">
        <f t="shared" si="1"/>
        <v>VA1000-202 - Gobaa</v>
      </c>
      <c r="D107" s="102">
        <v>5.0</v>
      </c>
      <c r="E107" s="26" t="s">
        <v>612</v>
      </c>
      <c r="F107" s="26" t="s">
        <v>649</v>
      </c>
      <c r="G107" s="104">
        <v>35.0</v>
      </c>
      <c r="H107" s="102">
        <v>100000.0</v>
      </c>
      <c r="I107" s="102">
        <v>10000.0</v>
      </c>
      <c r="J107" s="102" t="s">
        <v>645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85" t="s">
        <v>443</v>
      </c>
      <c r="B108" s="101" t="s">
        <v>444</v>
      </c>
      <c r="C108" s="13" t="str">
        <f t="shared" si="1"/>
        <v>VA1000-202 - Patti Polishing</v>
      </c>
      <c r="D108" s="102">
        <v>6.0</v>
      </c>
      <c r="E108" s="26" t="s">
        <v>613</v>
      </c>
      <c r="F108" s="26" t="s">
        <v>650</v>
      </c>
      <c r="G108" s="105"/>
      <c r="H108" s="102">
        <v>100000.0</v>
      </c>
      <c r="I108" s="102">
        <v>10000.0</v>
      </c>
      <c r="J108" s="102" t="s">
        <v>645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85" t="s">
        <v>443</v>
      </c>
      <c r="B109" s="101" t="s">
        <v>444</v>
      </c>
      <c r="C109" s="13" t="str">
        <f t="shared" si="1"/>
        <v>VA1000-202 - Patti Fatka</v>
      </c>
      <c r="D109" s="102">
        <v>7.0</v>
      </c>
      <c r="E109" s="26" t="s">
        <v>616</v>
      </c>
      <c r="F109" s="26" t="s">
        <v>649</v>
      </c>
      <c r="G109" s="104">
        <v>33.0</v>
      </c>
      <c r="H109" s="102">
        <v>100000.0</v>
      </c>
      <c r="I109" s="102">
        <v>10000.0</v>
      </c>
      <c r="J109" s="102" t="s">
        <v>645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85" t="s">
        <v>443</v>
      </c>
      <c r="B110" s="101" t="s">
        <v>444</v>
      </c>
      <c r="C110" s="13" t="str">
        <f t="shared" si="1"/>
        <v>VA1000-202 - Polishing</v>
      </c>
      <c r="D110" s="102">
        <v>8.0</v>
      </c>
      <c r="E110" s="26" t="s">
        <v>619</v>
      </c>
      <c r="F110" s="26" t="s">
        <v>650</v>
      </c>
      <c r="G110" s="105"/>
      <c r="H110" s="102">
        <v>100000.0</v>
      </c>
      <c r="I110" s="102">
        <v>10000.0</v>
      </c>
      <c r="J110" s="102" t="s">
        <v>645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85" t="s">
        <v>443</v>
      </c>
      <c r="B111" s="101" t="s">
        <v>444</v>
      </c>
      <c r="C111" s="13" t="str">
        <f t="shared" si="1"/>
        <v>VA1000-202 - Rework</v>
      </c>
      <c r="D111" s="102">
        <v>9.0</v>
      </c>
      <c r="E111" s="26" t="s">
        <v>621</v>
      </c>
      <c r="F111" s="26" t="s">
        <v>650</v>
      </c>
      <c r="G111" s="105"/>
      <c r="H111" s="102">
        <v>100000.0</v>
      </c>
      <c r="I111" s="102">
        <v>10000.0</v>
      </c>
      <c r="J111" s="102" t="s">
        <v>645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85" t="s">
        <v>443</v>
      </c>
      <c r="B112" s="101" t="s">
        <v>444</v>
      </c>
      <c r="C112" s="13" t="str">
        <f t="shared" si="1"/>
        <v>VA1000-202 - Cleaning</v>
      </c>
      <c r="D112" s="102">
        <v>10.0</v>
      </c>
      <c r="E112" s="26" t="s">
        <v>622</v>
      </c>
      <c r="F112" s="13"/>
      <c r="G112" s="105"/>
      <c r="H112" s="102">
        <v>100000.0</v>
      </c>
      <c r="I112" s="102">
        <v>10000.0</v>
      </c>
      <c r="J112" s="102" t="s">
        <v>645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85" t="s">
        <v>443</v>
      </c>
      <c r="B113" s="101" t="s">
        <v>444</v>
      </c>
      <c r="C113" s="13" t="str">
        <f t="shared" si="1"/>
        <v>VA1000-202 - Handle Hole</v>
      </c>
      <c r="D113" s="102">
        <v>11.0</v>
      </c>
      <c r="E113" s="26" t="s">
        <v>624</v>
      </c>
      <c r="F113" s="26" t="s">
        <v>649</v>
      </c>
      <c r="G113" s="104">
        <v>100.0</v>
      </c>
      <c r="H113" s="102">
        <v>100000.0</v>
      </c>
      <c r="I113" s="102">
        <v>10000.0</v>
      </c>
      <c r="J113" s="102" t="s">
        <v>645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85" t="s">
        <v>443</v>
      </c>
      <c r="B114" s="101" t="s">
        <v>444</v>
      </c>
      <c r="C114" s="13" t="str">
        <f t="shared" si="1"/>
        <v>VA1000-202 - Bottom Hole</v>
      </c>
      <c r="D114" s="102">
        <v>12.0</v>
      </c>
      <c r="E114" s="26" t="s">
        <v>626</v>
      </c>
      <c r="F114" s="26" t="s">
        <v>649</v>
      </c>
      <c r="G114" s="104">
        <v>50.0</v>
      </c>
      <c r="H114" s="102">
        <v>100000.0</v>
      </c>
      <c r="I114" s="102">
        <v>10000.0</v>
      </c>
      <c r="J114" s="102" t="s">
        <v>645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85" t="s">
        <v>443</v>
      </c>
      <c r="B115" s="101" t="s">
        <v>444</v>
      </c>
      <c r="C115" s="13" t="str">
        <f t="shared" si="1"/>
        <v>VA1000-202 - Flow Breaker</v>
      </c>
      <c r="D115" s="102">
        <v>13.0</v>
      </c>
      <c r="E115" s="26" t="s">
        <v>628</v>
      </c>
      <c r="F115" s="26" t="s">
        <v>649</v>
      </c>
      <c r="G115" s="104">
        <v>87.0</v>
      </c>
      <c r="H115" s="102">
        <v>100000.0</v>
      </c>
      <c r="I115" s="102">
        <v>10000.0</v>
      </c>
      <c r="J115" s="102" t="s">
        <v>645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85" t="s">
        <v>443</v>
      </c>
      <c r="B116" s="101" t="s">
        <v>444</v>
      </c>
      <c r="C116" s="13" t="str">
        <f t="shared" si="1"/>
        <v>VA1000-202 - Final Cleaning</v>
      </c>
      <c r="D116" s="102">
        <v>14.0</v>
      </c>
      <c r="E116" s="26" t="s">
        <v>627</v>
      </c>
      <c r="F116" s="13"/>
      <c r="G116" s="105"/>
      <c r="H116" s="102">
        <v>100000.0</v>
      </c>
      <c r="I116" s="102">
        <v>10000.0</v>
      </c>
      <c r="J116" s="102" t="s">
        <v>645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85" t="s">
        <v>443</v>
      </c>
      <c r="B117" s="101" t="s">
        <v>444</v>
      </c>
      <c r="C117" s="13" t="str">
        <f t="shared" si="1"/>
        <v>VA1000-202 - QC</v>
      </c>
      <c r="D117" s="102">
        <v>15.0</v>
      </c>
      <c r="E117" s="26" t="s">
        <v>629</v>
      </c>
      <c r="F117" s="13"/>
      <c r="G117" s="105"/>
      <c r="H117" s="102">
        <v>100000.0</v>
      </c>
      <c r="I117" s="102">
        <v>10000.0</v>
      </c>
      <c r="J117" s="102" t="s">
        <v>645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85" t="s">
        <v>443</v>
      </c>
      <c r="B118" s="101" t="s">
        <v>444</v>
      </c>
      <c r="C118" s="13" t="str">
        <f t="shared" si="1"/>
        <v>VA1000-202 - Packaging</v>
      </c>
      <c r="D118" s="102">
        <v>16.0</v>
      </c>
      <c r="E118" s="26" t="s">
        <v>631</v>
      </c>
      <c r="F118" s="13"/>
      <c r="G118" s="105"/>
      <c r="H118" s="102">
        <v>100000.0</v>
      </c>
      <c r="I118" s="102">
        <v>10000.0</v>
      </c>
      <c r="J118" s="102" t="s">
        <v>645</v>
      </c>
      <c r="K118" s="26" t="s">
        <v>651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85" t="s">
        <v>445</v>
      </c>
      <c r="B119" s="101" t="s">
        <v>446</v>
      </c>
      <c r="C119" s="13" t="str">
        <f t="shared" si="1"/>
        <v>VA0400-202 - Circle Cutting</v>
      </c>
      <c r="D119" s="102">
        <v>1.0</v>
      </c>
      <c r="E119" s="26" t="s">
        <v>604</v>
      </c>
      <c r="F119" s="26" t="s">
        <v>644</v>
      </c>
      <c r="G119" s="103">
        <f>49</f>
        <v>49</v>
      </c>
      <c r="H119" s="102">
        <v>100000.0</v>
      </c>
      <c r="I119" s="102">
        <v>10000.0</v>
      </c>
      <c r="J119" s="102" t="s">
        <v>645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85" t="s">
        <v>445</v>
      </c>
      <c r="B120" s="101" t="s">
        <v>446</v>
      </c>
      <c r="C120" s="13" t="str">
        <f t="shared" si="1"/>
        <v>VA0400-202 - Pressing 1</v>
      </c>
      <c r="D120" s="102">
        <v>2.0</v>
      </c>
      <c r="E120" s="26" t="s">
        <v>605</v>
      </c>
      <c r="F120" s="26" t="s">
        <v>646</v>
      </c>
      <c r="G120" s="104">
        <v>10.0</v>
      </c>
      <c r="H120" s="102">
        <v>100000.0</v>
      </c>
      <c r="I120" s="102">
        <v>10000.0</v>
      </c>
      <c r="J120" s="102" t="s">
        <v>645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85" t="s">
        <v>445</v>
      </c>
      <c r="B121" s="101" t="s">
        <v>446</v>
      </c>
      <c r="C121" s="13" t="str">
        <f t="shared" si="1"/>
        <v>VA0400-202 - Spinning - Direct</v>
      </c>
      <c r="D121" s="102">
        <v>3.0</v>
      </c>
      <c r="E121" s="26" t="s">
        <v>607</v>
      </c>
      <c r="F121" s="26" t="s">
        <v>647</v>
      </c>
      <c r="G121" s="104">
        <v>3.0</v>
      </c>
      <c r="H121" s="102">
        <v>100000.0</v>
      </c>
      <c r="I121" s="102">
        <v>10000.0</v>
      </c>
      <c r="J121" s="102" t="s">
        <v>645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85" t="s">
        <v>445</v>
      </c>
      <c r="B122" s="101" t="s">
        <v>446</v>
      </c>
      <c r="C122" s="13" t="str">
        <f t="shared" si="1"/>
        <v>VA0400-202 - Cutting</v>
      </c>
      <c r="D122" s="102">
        <v>4.0</v>
      </c>
      <c r="E122" s="26" t="s">
        <v>609</v>
      </c>
      <c r="F122" s="26" t="s">
        <v>648</v>
      </c>
      <c r="G122" s="104">
        <v>6.0</v>
      </c>
      <c r="H122" s="102">
        <v>100000.0</v>
      </c>
      <c r="I122" s="102">
        <v>10000.0</v>
      </c>
      <c r="J122" s="102" t="s">
        <v>645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85" t="s">
        <v>445</v>
      </c>
      <c r="B123" s="101" t="s">
        <v>446</v>
      </c>
      <c r="C123" s="13" t="str">
        <f t="shared" si="1"/>
        <v>VA0400-202 - Gobaa</v>
      </c>
      <c r="D123" s="102">
        <v>5.0</v>
      </c>
      <c r="E123" s="26" t="s">
        <v>612</v>
      </c>
      <c r="F123" s="26" t="s">
        <v>649</v>
      </c>
      <c r="G123" s="104">
        <v>35.0</v>
      </c>
      <c r="H123" s="102">
        <v>100000.0</v>
      </c>
      <c r="I123" s="102">
        <v>10000.0</v>
      </c>
      <c r="J123" s="102" t="s">
        <v>645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85" t="s">
        <v>445</v>
      </c>
      <c r="B124" s="101" t="s">
        <v>446</v>
      </c>
      <c r="C124" s="13" t="str">
        <f t="shared" si="1"/>
        <v>VA0400-202 - Patti Polishing</v>
      </c>
      <c r="D124" s="102">
        <v>6.0</v>
      </c>
      <c r="E124" s="26" t="s">
        <v>613</v>
      </c>
      <c r="F124" s="26" t="s">
        <v>650</v>
      </c>
      <c r="G124" s="103"/>
      <c r="H124" s="102">
        <v>100000.0</v>
      </c>
      <c r="I124" s="102">
        <v>10000.0</v>
      </c>
      <c r="J124" s="102" t="s">
        <v>645</v>
      </c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85" t="s">
        <v>445</v>
      </c>
      <c r="B125" s="101" t="s">
        <v>446</v>
      </c>
      <c r="C125" s="13" t="str">
        <f t="shared" si="1"/>
        <v>VA0400-202 - Patti Fatka</v>
      </c>
      <c r="D125" s="102">
        <v>7.0</v>
      </c>
      <c r="E125" s="26" t="s">
        <v>616</v>
      </c>
      <c r="F125" s="26" t="s">
        <v>649</v>
      </c>
      <c r="G125" s="104">
        <v>33.0</v>
      </c>
      <c r="H125" s="102">
        <v>100000.0</v>
      </c>
      <c r="I125" s="102">
        <v>10000.0</v>
      </c>
      <c r="J125" s="102" t="s">
        <v>645</v>
      </c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85" t="s">
        <v>445</v>
      </c>
      <c r="B126" s="101" t="s">
        <v>446</v>
      </c>
      <c r="C126" s="13" t="str">
        <f t="shared" si="1"/>
        <v>VA0400-202 - Polishing</v>
      </c>
      <c r="D126" s="102">
        <v>8.0</v>
      </c>
      <c r="E126" s="26" t="s">
        <v>619</v>
      </c>
      <c r="F126" s="26" t="s">
        <v>650</v>
      </c>
      <c r="G126" s="105"/>
      <c r="H126" s="102">
        <v>100000.0</v>
      </c>
      <c r="I126" s="102">
        <v>10000.0</v>
      </c>
      <c r="J126" s="102" t="s">
        <v>645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85" t="s">
        <v>445</v>
      </c>
      <c r="B127" s="101" t="s">
        <v>446</v>
      </c>
      <c r="C127" s="13" t="str">
        <f t="shared" si="1"/>
        <v>VA0400-202 - Rework</v>
      </c>
      <c r="D127" s="102">
        <v>9.0</v>
      </c>
      <c r="E127" s="26" t="s">
        <v>621</v>
      </c>
      <c r="F127" s="26" t="s">
        <v>650</v>
      </c>
      <c r="G127" s="105"/>
      <c r="H127" s="102">
        <v>100000.0</v>
      </c>
      <c r="I127" s="102">
        <v>10000.0</v>
      </c>
      <c r="J127" s="102" t="s">
        <v>645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85" t="s">
        <v>445</v>
      </c>
      <c r="B128" s="101" t="s">
        <v>446</v>
      </c>
      <c r="C128" s="13" t="str">
        <f t="shared" si="1"/>
        <v>VA0400-202 - Cleaning</v>
      </c>
      <c r="D128" s="102">
        <v>10.0</v>
      </c>
      <c r="E128" s="26" t="s">
        <v>622</v>
      </c>
      <c r="F128" s="13"/>
      <c r="G128" s="105"/>
      <c r="H128" s="102">
        <v>100000.0</v>
      </c>
      <c r="I128" s="102">
        <v>10000.0</v>
      </c>
      <c r="J128" s="102" t="s">
        <v>645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85" t="s">
        <v>445</v>
      </c>
      <c r="B129" s="101" t="s">
        <v>446</v>
      </c>
      <c r="C129" s="13" t="str">
        <f t="shared" si="1"/>
        <v>VA0400-202 - Bottom Hole</v>
      </c>
      <c r="D129" s="102">
        <v>11.0</v>
      </c>
      <c r="E129" s="26" t="s">
        <v>626</v>
      </c>
      <c r="F129" s="26" t="s">
        <v>649</v>
      </c>
      <c r="G129" s="104">
        <v>50.0</v>
      </c>
      <c r="H129" s="102">
        <v>100000.0</v>
      </c>
      <c r="I129" s="102">
        <v>10000.0</v>
      </c>
      <c r="J129" s="102" t="s">
        <v>645</v>
      </c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85" t="s">
        <v>445</v>
      </c>
      <c r="B130" s="101" t="s">
        <v>446</v>
      </c>
      <c r="C130" s="13" t="str">
        <f t="shared" si="1"/>
        <v>VA0400-202 - Final Cleaning</v>
      </c>
      <c r="D130" s="102">
        <v>12.0</v>
      </c>
      <c r="E130" s="26" t="s">
        <v>627</v>
      </c>
      <c r="F130" s="13"/>
      <c r="G130" s="105"/>
      <c r="H130" s="102">
        <v>100000.0</v>
      </c>
      <c r="I130" s="102">
        <v>10000.0</v>
      </c>
      <c r="J130" s="102" t="s">
        <v>645</v>
      </c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85" t="s">
        <v>445</v>
      </c>
      <c r="B131" s="101" t="s">
        <v>446</v>
      </c>
      <c r="C131" s="13" t="str">
        <f t="shared" si="1"/>
        <v>VA0400-202 - QC</v>
      </c>
      <c r="D131" s="102">
        <v>13.0</v>
      </c>
      <c r="E131" s="26" t="s">
        <v>629</v>
      </c>
      <c r="F131" s="13"/>
      <c r="G131" s="105"/>
      <c r="H131" s="102">
        <v>100000.0</v>
      </c>
      <c r="I131" s="102">
        <v>10000.0</v>
      </c>
      <c r="J131" s="102" t="s">
        <v>645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85" t="s">
        <v>445</v>
      </c>
      <c r="B132" s="101" t="s">
        <v>446</v>
      </c>
      <c r="C132" s="13" t="str">
        <f t="shared" si="1"/>
        <v>VA0400-202 - Packaging</v>
      </c>
      <c r="D132" s="102">
        <v>14.0</v>
      </c>
      <c r="E132" s="26" t="s">
        <v>631</v>
      </c>
      <c r="F132" s="13"/>
      <c r="G132" s="105"/>
      <c r="H132" s="102">
        <v>100000.0</v>
      </c>
      <c r="I132" s="102">
        <v>10000.0</v>
      </c>
      <c r="J132" s="102" t="s">
        <v>645</v>
      </c>
      <c r="K132" s="26" t="s">
        <v>651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85" t="s">
        <v>467</v>
      </c>
      <c r="B133" s="101" t="s">
        <v>468</v>
      </c>
      <c r="C133" s="13" t="str">
        <f t="shared" si="1"/>
        <v>DJ1500-204 - Circle Cutting</v>
      </c>
      <c r="D133" s="102">
        <v>1.0</v>
      </c>
      <c r="E133" s="26" t="s">
        <v>604</v>
      </c>
      <c r="F133" s="26" t="s">
        <v>644</v>
      </c>
      <c r="G133" s="103">
        <f>49</f>
        <v>49</v>
      </c>
      <c r="H133" s="102">
        <v>100000.0</v>
      </c>
      <c r="I133" s="102">
        <v>10000.0</v>
      </c>
      <c r="J133" s="102" t="s">
        <v>645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85" t="s">
        <v>467</v>
      </c>
      <c r="B134" s="101" t="s">
        <v>468</v>
      </c>
      <c r="C134" s="13" t="str">
        <f t="shared" si="1"/>
        <v>DJ1500-204 - Pressing 1</v>
      </c>
      <c r="D134" s="102">
        <v>2.0</v>
      </c>
      <c r="E134" s="26" t="s">
        <v>605</v>
      </c>
      <c r="F134" s="26" t="s">
        <v>646</v>
      </c>
      <c r="G134" s="104">
        <v>10.0</v>
      </c>
      <c r="H134" s="102">
        <v>100000.0</v>
      </c>
      <c r="I134" s="102">
        <v>10000.0</v>
      </c>
      <c r="J134" s="102" t="s">
        <v>645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85" t="s">
        <v>467</v>
      </c>
      <c r="B135" s="101" t="s">
        <v>468</v>
      </c>
      <c r="C135" s="13" t="str">
        <f t="shared" si="1"/>
        <v>DJ1500-204 - Spinning - Direct</v>
      </c>
      <c r="D135" s="102">
        <v>3.0</v>
      </c>
      <c r="E135" s="26" t="s">
        <v>607</v>
      </c>
      <c r="F135" s="26" t="s">
        <v>647</v>
      </c>
      <c r="G135" s="104">
        <v>3.0</v>
      </c>
      <c r="H135" s="102">
        <v>100000.0</v>
      </c>
      <c r="I135" s="102">
        <v>10000.0</v>
      </c>
      <c r="J135" s="102" t="s">
        <v>645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85" t="s">
        <v>467</v>
      </c>
      <c r="B136" s="101" t="s">
        <v>468</v>
      </c>
      <c r="C136" s="13" t="str">
        <f t="shared" si="1"/>
        <v>DJ1500-204 - Cutting</v>
      </c>
      <c r="D136" s="102">
        <v>4.0</v>
      </c>
      <c r="E136" s="26" t="s">
        <v>609</v>
      </c>
      <c r="F136" s="26" t="s">
        <v>648</v>
      </c>
      <c r="G136" s="104">
        <v>6.0</v>
      </c>
      <c r="H136" s="102">
        <v>100000.0</v>
      </c>
      <c r="I136" s="102">
        <v>10000.0</v>
      </c>
      <c r="J136" s="102" t="s">
        <v>645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85" t="s">
        <v>467</v>
      </c>
      <c r="B137" s="101" t="s">
        <v>468</v>
      </c>
      <c r="C137" s="13" t="str">
        <f t="shared" si="1"/>
        <v>DJ1500-204 - Gobaa</v>
      </c>
      <c r="D137" s="102">
        <v>5.0</v>
      </c>
      <c r="E137" s="26" t="s">
        <v>612</v>
      </c>
      <c r="F137" s="26" t="s">
        <v>649</v>
      </c>
      <c r="G137" s="104">
        <v>35.0</v>
      </c>
      <c r="H137" s="102">
        <v>100000.0</v>
      </c>
      <c r="I137" s="102">
        <v>10000.0</v>
      </c>
      <c r="J137" s="102" t="s">
        <v>645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85" t="s">
        <v>467</v>
      </c>
      <c r="B138" s="101" t="s">
        <v>468</v>
      </c>
      <c r="C138" s="13" t="str">
        <f t="shared" si="1"/>
        <v>DJ1500-204 - Patti Polishing</v>
      </c>
      <c r="D138" s="102">
        <v>6.0</v>
      </c>
      <c r="E138" s="26" t="s">
        <v>613</v>
      </c>
      <c r="F138" s="26" t="s">
        <v>650</v>
      </c>
      <c r="G138" s="105"/>
      <c r="H138" s="102">
        <v>100000.0</v>
      </c>
      <c r="I138" s="102">
        <v>10000.0</v>
      </c>
      <c r="J138" s="102" t="s">
        <v>645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85" t="s">
        <v>467</v>
      </c>
      <c r="B139" s="101" t="s">
        <v>468</v>
      </c>
      <c r="C139" s="13" t="str">
        <f t="shared" si="1"/>
        <v>DJ1500-204 - Patti Fatka</v>
      </c>
      <c r="D139" s="102">
        <v>7.0</v>
      </c>
      <c r="E139" s="26" t="s">
        <v>616</v>
      </c>
      <c r="F139" s="26" t="s">
        <v>649</v>
      </c>
      <c r="G139" s="104">
        <v>33.0</v>
      </c>
      <c r="H139" s="102">
        <v>100000.0</v>
      </c>
      <c r="I139" s="102">
        <v>10000.0</v>
      </c>
      <c r="J139" s="102" t="s">
        <v>645</v>
      </c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85" t="s">
        <v>467</v>
      </c>
      <c r="B140" s="101" t="s">
        <v>468</v>
      </c>
      <c r="C140" s="13" t="str">
        <f t="shared" si="1"/>
        <v>DJ1500-204 - Pre Buffing</v>
      </c>
      <c r="D140" s="102">
        <v>8.0</v>
      </c>
      <c r="E140" s="26" t="s">
        <v>617</v>
      </c>
      <c r="F140" s="26" t="s">
        <v>650</v>
      </c>
      <c r="G140" s="105"/>
      <c r="H140" s="102">
        <v>100000.0</v>
      </c>
      <c r="I140" s="102">
        <v>10000.0</v>
      </c>
      <c r="J140" s="102" t="s">
        <v>645</v>
      </c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85" t="s">
        <v>467</v>
      </c>
      <c r="B141" s="101" t="s">
        <v>468</v>
      </c>
      <c r="C141" s="13" t="str">
        <f t="shared" si="1"/>
        <v>DJ1500-204 - Polishing</v>
      </c>
      <c r="D141" s="102">
        <v>9.0</v>
      </c>
      <c r="E141" s="26" t="s">
        <v>619</v>
      </c>
      <c r="F141" s="26" t="s">
        <v>650</v>
      </c>
      <c r="G141" s="105"/>
      <c r="H141" s="102">
        <v>100000.0</v>
      </c>
      <c r="I141" s="102">
        <v>10000.0</v>
      </c>
      <c r="J141" s="102" t="s">
        <v>645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85" t="s">
        <v>467</v>
      </c>
      <c r="B142" s="101" t="s">
        <v>468</v>
      </c>
      <c r="C142" s="13" t="str">
        <f t="shared" si="1"/>
        <v>DJ1500-204 - Rework</v>
      </c>
      <c r="D142" s="102">
        <v>10.0</v>
      </c>
      <c r="E142" s="26" t="s">
        <v>621</v>
      </c>
      <c r="F142" s="26" t="s">
        <v>650</v>
      </c>
      <c r="G142" s="105"/>
      <c r="H142" s="102">
        <v>100000.0</v>
      </c>
      <c r="I142" s="102">
        <v>10000.0</v>
      </c>
      <c r="J142" s="102" t="s">
        <v>645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85" t="s">
        <v>467</v>
      </c>
      <c r="B143" s="101" t="s">
        <v>468</v>
      </c>
      <c r="C143" s="13" t="str">
        <f t="shared" si="1"/>
        <v>DJ1500-204 - Cleaning</v>
      </c>
      <c r="D143" s="102">
        <v>11.0</v>
      </c>
      <c r="E143" s="26" t="s">
        <v>622</v>
      </c>
      <c r="F143" s="13"/>
      <c r="G143" s="105"/>
      <c r="H143" s="102">
        <v>100000.0</v>
      </c>
      <c r="I143" s="102">
        <v>10000.0</v>
      </c>
      <c r="J143" s="102" t="s">
        <v>645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85" t="s">
        <v>467</v>
      </c>
      <c r="B144" s="101" t="s">
        <v>468</v>
      </c>
      <c r="C144" s="13" t="str">
        <f t="shared" si="1"/>
        <v>DJ1500-204 - Handle Hole</v>
      </c>
      <c r="D144" s="102">
        <v>12.0</v>
      </c>
      <c r="E144" s="26" t="s">
        <v>624</v>
      </c>
      <c r="F144" s="26" t="s">
        <v>649</v>
      </c>
      <c r="G144" s="104">
        <v>100.0</v>
      </c>
      <c r="H144" s="102">
        <v>100000.0</v>
      </c>
      <c r="I144" s="102">
        <v>10000.0</v>
      </c>
      <c r="J144" s="102" t="s">
        <v>645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85" t="s">
        <v>467</v>
      </c>
      <c r="B145" s="101" t="s">
        <v>468</v>
      </c>
      <c r="C145" s="13" t="str">
        <f t="shared" si="1"/>
        <v>DJ1500-204 - Bottom Hole</v>
      </c>
      <c r="D145" s="102">
        <v>13.0</v>
      </c>
      <c r="E145" s="26" t="s">
        <v>626</v>
      </c>
      <c r="F145" s="26" t="s">
        <v>649</v>
      </c>
      <c r="G145" s="104">
        <v>50.0</v>
      </c>
      <c r="H145" s="102">
        <v>100000.0</v>
      </c>
      <c r="I145" s="102">
        <v>10000.0</v>
      </c>
      <c r="J145" s="102" t="s">
        <v>645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85" t="s">
        <v>467</v>
      </c>
      <c r="B146" s="101" t="s">
        <v>468</v>
      </c>
      <c r="C146" s="13" t="str">
        <f t="shared" si="1"/>
        <v>DJ1500-204 - Flow Breaker</v>
      </c>
      <c r="D146" s="102">
        <v>14.0</v>
      </c>
      <c r="E146" s="26" t="s">
        <v>628</v>
      </c>
      <c r="F146" s="26" t="s">
        <v>649</v>
      </c>
      <c r="G146" s="104">
        <v>87.0</v>
      </c>
      <c r="H146" s="102">
        <v>100000.0</v>
      </c>
      <c r="I146" s="102">
        <v>10000.0</v>
      </c>
      <c r="J146" s="102" t="s">
        <v>645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85" t="s">
        <v>467</v>
      </c>
      <c r="B147" s="101" t="s">
        <v>468</v>
      </c>
      <c r="C147" s="13" t="str">
        <f t="shared" si="1"/>
        <v>DJ1500-204 - Final Cleaning</v>
      </c>
      <c r="D147" s="102">
        <v>15.0</v>
      </c>
      <c r="E147" s="26" t="s">
        <v>627</v>
      </c>
      <c r="F147" s="13"/>
      <c r="G147" s="105"/>
      <c r="H147" s="102">
        <v>100000.0</v>
      </c>
      <c r="I147" s="102">
        <v>10000.0</v>
      </c>
      <c r="J147" s="102" t="s">
        <v>645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85" t="s">
        <v>467</v>
      </c>
      <c r="B148" s="101" t="s">
        <v>468</v>
      </c>
      <c r="C148" s="13" t="str">
        <f t="shared" si="1"/>
        <v>DJ1500-204 - QC</v>
      </c>
      <c r="D148" s="102">
        <v>16.0</v>
      </c>
      <c r="E148" s="26" t="s">
        <v>629</v>
      </c>
      <c r="F148" s="13"/>
      <c r="G148" s="105"/>
      <c r="H148" s="102">
        <v>100000.0</v>
      </c>
      <c r="I148" s="102">
        <v>10000.0</v>
      </c>
      <c r="J148" s="102" t="s">
        <v>645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85" t="s">
        <v>467</v>
      </c>
      <c r="B149" s="101" t="s">
        <v>468</v>
      </c>
      <c r="C149" s="13" t="str">
        <f t="shared" si="1"/>
        <v>DJ1500-204 - Packaging</v>
      </c>
      <c r="D149" s="102">
        <v>17.0</v>
      </c>
      <c r="E149" s="26" t="s">
        <v>631</v>
      </c>
      <c r="F149" s="13"/>
      <c r="G149" s="105"/>
      <c r="H149" s="102">
        <v>100000.0</v>
      </c>
      <c r="I149" s="102">
        <v>10000.0</v>
      </c>
      <c r="J149" s="102" t="s">
        <v>645</v>
      </c>
      <c r="K149" s="26" t="s">
        <v>651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85" t="s">
        <v>469</v>
      </c>
      <c r="B150" s="101" t="s">
        <v>470</v>
      </c>
      <c r="C150" s="13" t="str">
        <f t="shared" si="1"/>
        <v>FJ1000-204 - Circle Cutting</v>
      </c>
      <c r="D150" s="102">
        <v>1.0</v>
      </c>
      <c r="E150" s="26" t="s">
        <v>604</v>
      </c>
      <c r="F150" s="26" t="s">
        <v>644</v>
      </c>
      <c r="G150" s="103">
        <f>49</f>
        <v>49</v>
      </c>
      <c r="H150" s="102">
        <v>100000.0</v>
      </c>
      <c r="I150" s="102">
        <v>10000.0</v>
      </c>
      <c r="J150" s="102" t="s">
        <v>645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85" t="s">
        <v>469</v>
      </c>
      <c r="B151" s="101" t="s">
        <v>470</v>
      </c>
      <c r="C151" s="13" t="str">
        <f t="shared" si="1"/>
        <v>FJ1000-204 - Pressing 1</v>
      </c>
      <c r="D151" s="102">
        <v>2.0</v>
      </c>
      <c r="E151" s="26" t="s">
        <v>605</v>
      </c>
      <c r="F151" s="26" t="s">
        <v>646</v>
      </c>
      <c r="G151" s="104">
        <v>10.0</v>
      </c>
      <c r="H151" s="102">
        <v>100000.0</v>
      </c>
      <c r="I151" s="102">
        <v>10000.0</v>
      </c>
      <c r="J151" s="102" t="s">
        <v>645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85" t="s">
        <v>469</v>
      </c>
      <c r="B152" s="101" t="s">
        <v>470</v>
      </c>
      <c r="C152" s="13" t="str">
        <f t="shared" si="1"/>
        <v>FJ1000-204 - Spinning - Direct</v>
      </c>
      <c r="D152" s="102">
        <v>3.0</v>
      </c>
      <c r="E152" s="26" t="s">
        <v>607</v>
      </c>
      <c r="F152" s="26" t="s">
        <v>647</v>
      </c>
      <c r="G152" s="104">
        <v>3.0</v>
      </c>
      <c r="H152" s="102">
        <v>100000.0</v>
      </c>
      <c r="I152" s="102">
        <v>10000.0</v>
      </c>
      <c r="J152" s="102" t="s">
        <v>645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85" t="s">
        <v>469</v>
      </c>
      <c r="B153" s="101" t="s">
        <v>470</v>
      </c>
      <c r="C153" s="13" t="str">
        <f t="shared" si="1"/>
        <v>FJ1000-204 - Cutting</v>
      </c>
      <c r="D153" s="102">
        <v>4.0</v>
      </c>
      <c r="E153" s="26" t="s">
        <v>609</v>
      </c>
      <c r="F153" s="26" t="s">
        <v>648</v>
      </c>
      <c r="G153" s="104">
        <v>6.0</v>
      </c>
      <c r="H153" s="102">
        <v>100000.0</v>
      </c>
      <c r="I153" s="102">
        <v>10000.0</v>
      </c>
      <c r="J153" s="102" t="s">
        <v>645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85" t="s">
        <v>469</v>
      </c>
      <c r="B154" s="101" t="s">
        <v>470</v>
      </c>
      <c r="C154" s="13" t="str">
        <f t="shared" si="1"/>
        <v>FJ1000-204 - Gobaa</v>
      </c>
      <c r="D154" s="102">
        <v>5.0</v>
      </c>
      <c r="E154" s="26" t="s">
        <v>612</v>
      </c>
      <c r="F154" s="26" t="s">
        <v>649</v>
      </c>
      <c r="G154" s="104">
        <v>35.0</v>
      </c>
      <c r="H154" s="102">
        <v>100000.0</v>
      </c>
      <c r="I154" s="102">
        <v>10000.0</v>
      </c>
      <c r="J154" s="102" t="s">
        <v>645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85" t="s">
        <v>469</v>
      </c>
      <c r="B155" s="101" t="s">
        <v>470</v>
      </c>
      <c r="C155" s="13" t="str">
        <f t="shared" si="1"/>
        <v>FJ1000-204 - Patti Polishing</v>
      </c>
      <c r="D155" s="102">
        <v>6.0</v>
      </c>
      <c r="E155" s="26" t="s">
        <v>613</v>
      </c>
      <c r="F155" s="26" t="s">
        <v>650</v>
      </c>
      <c r="G155" s="105"/>
      <c r="H155" s="102">
        <v>100000.0</v>
      </c>
      <c r="I155" s="102">
        <v>10000.0</v>
      </c>
      <c r="J155" s="102" t="s">
        <v>645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85" t="s">
        <v>469</v>
      </c>
      <c r="B156" s="101" t="s">
        <v>470</v>
      </c>
      <c r="C156" s="13" t="str">
        <f t="shared" si="1"/>
        <v>FJ1000-204 - Patti Fatka</v>
      </c>
      <c r="D156" s="102">
        <v>7.0</v>
      </c>
      <c r="E156" s="26" t="s">
        <v>616</v>
      </c>
      <c r="F156" s="26" t="s">
        <v>649</v>
      </c>
      <c r="G156" s="104">
        <v>33.0</v>
      </c>
      <c r="H156" s="102">
        <v>100000.0</v>
      </c>
      <c r="I156" s="102">
        <v>10000.0</v>
      </c>
      <c r="J156" s="102" t="s">
        <v>645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85" t="s">
        <v>469</v>
      </c>
      <c r="B157" s="101" t="s">
        <v>470</v>
      </c>
      <c r="C157" s="13" t="str">
        <f t="shared" si="1"/>
        <v>FJ1000-204 - Pre Buffing</v>
      </c>
      <c r="D157" s="102">
        <v>8.0</v>
      </c>
      <c r="E157" s="26" t="s">
        <v>617</v>
      </c>
      <c r="F157" s="26" t="s">
        <v>650</v>
      </c>
      <c r="G157" s="105"/>
      <c r="H157" s="102">
        <v>100000.0</v>
      </c>
      <c r="I157" s="102">
        <v>10000.0</v>
      </c>
      <c r="J157" s="102" t="s">
        <v>645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85" t="s">
        <v>469</v>
      </c>
      <c r="B158" s="101" t="s">
        <v>470</v>
      </c>
      <c r="C158" s="13" t="str">
        <f t="shared" si="1"/>
        <v>FJ1000-204 - Polishing</v>
      </c>
      <c r="D158" s="102">
        <v>9.0</v>
      </c>
      <c r="E158" s="26" t="s">
        <v>619</v>
      </c>
      <c r="F158" s="26" t="s">
        <v>650</v>
      </c>
      <c r="G158" s="105"/>
      <c r="H158" s="102">
        <v>100000.0</v>
      </c>
      <c r="I158" s="102">
        <v>10000.0</v>
      </c>
      <c r="J158" s="102" t="s">
        <v>645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85" t="s">
        <v>469</v>
      </c>
      <c r="B159" s="101" t="s">
        <v>470</v>
      </c>
      <c r="C159" s="13" t="str">
        <f t="shared" si="1"/>
        <v>FJ1000-204 - Rework</v>
      </c>
      <c r="D159" s="102">
        <v>10.0</v>
      </c>
      <c r="E159" s="26" t="s">
        <v>621</v>
      </c>
      <c r="F159" s="26" t="s">
        <v>650</v>
      </c>
      <c r="G159" s="105"/>
      <c r="H159" s="102">
        <v>100000.0</v>
      </c>
      <c r="I159" s="102">
        <v>10000.0</v>
      </c>
      <c r="J159" s="102" t="s">
        <v>645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85" t="s">
        <v>469</v>
      </c>
      <c r="B160" s="101" t="s">
        <v>470</v>
      </c>
      <c r="C160" s="13" t="str">
        <f t="shared" si="1"/>
        <v>FJ1000-204 - Cleaning</v>
      </c>
      <c r="D160" s="102">
        <v>11.0</v>
      </c>
      <c r="E160" s="26" t="s">
        <v>622</v>
      </c>
      <c r="F160" s="13"/>
      <c r="G160" s="105"/>
      <c r="H160" s="102">
        <v>100000.0</v>
      </c>
      <c r="I160" s="102">
        <v>10000.0</v>
      </c>
      <c r="J160" s="102" t="s">
        <v>645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85" t="s">
        <v>469</v>
      </c>
      <c r="B161" s="101" t="s">
        <v>470</v>
      </c>
      <c r="C161" s="13" t="str">
        <f t="shared" si="1"/>
        <v>FJ1000-204 - Handle Hole</v>
      </c>
      <c r="D161" s="102">
        <v>12.0</v>
      </c>
      <c r="E161" s="26" t="s">
        <v>624</v>
      </c>
      <c r="F161" s="26" t="s">
        <v>649</v>
      </c>
      <c r="G161" s="104">
        <v>100.0</v>
      </c>
      <c r="H161" s="102">
        <v>100000.0</v>
      </c>
      <c r="I161" s="102">
        <v>10000.0</v>
      </c>
      <c r="J161" s="102" t="s">
        <v>645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85" t="s">
        <v>469</v>
      </c>
      <c r="B162" s="101" t="s">
        <v>470</v>
      </c>
      <c r="C162" s="13" t="str">
        <f t="shared" si="1"/>
        <v>FJ1000-204 - Bottom Hole</v>
      </c>
      <c r="D162" s="102">
        <v>13.0</v>
      </c>
      <c r="E162" s="26" t="s">
        <v>626</v>
      </c>
      <c r="F162" s="26" t="s">
        <v>649</v>
      </c>
      <c r="G162" s="104">
        <v>50.0</v>
      </c>
      <c r="H162" s="102">
        <v>100000.0</v>
      </c>
      <c r="I162" s="102">
        <v>10000.0</v>
      </c>
      <c r="J162" s="102" t="s">
        <v>645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85" t="s">
        <v>469</v>
      </c>
      <c r="B163" s="101" t="s">
        <v>470</v>
      </c>
      <c r="C163" s="13" t="str">
        <f t="shared" si="1"/>
        <v>FJ1000-204 - Flow Breaker</v>
      </c>
      <c r="D163" s="102">
        <v>14.0</v>
      </c>
      <c r="E163" s="26" t="s">
        <v>628</v>
      </c>
      <c r="F163" s="26" t="s">
        <v>649</v>
      </c>
      <c r="G163" s="104">
        <v>87.0</v>
      </c>
      <c r="H163" s="102">
        <v>100000.0</v>
      </c>
      <c r="I163" s="102">
        <v>10000.0</v>
      </c>
      <c r="J163" s="102" t="s">
        <v>645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85" t="s">
        <v>469</v>
      </c>
      <c r="B164" s="101" t="s">
        <v>470</v>
      </c>
      <c r="C164" s="13" t="str">
        <f t="shared" si="1"/>
        <v>FJ1000-204 - Final Cleaning</v>
      </c>
      <c r="D164" s="102">
        <v>15.0</v>
      </c>
      <c r="E164" s="26" t="s">
        <v>627</v>
      </c>
      <c r="F164" s="13"/>
      <c r="G164" s="105"/>
      <c r="H164" s="102">
        <v>100000.0</v>
      </c>
      <c r="I164" s="102">
        <v>10000.0</v>
      </c>
      <c r="J164" s="102" t="s">
        <v>645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85" t="s">
        <v>469</v>
      </c>
      <c r="B165" s="101" t="s">
        <v>470</v>
      </c>
      <c r="C165" s="13" t="str">
        <f t="shared" si="1"/>
        <v>FJ1000-204 - QC</v>
      </c>
      <c r="D165" s="102">
        <v>16.0</v>
      </c>
      <c r="E165" s="26" t="s">
        <v>629</v>
      </c>
      <c r="F165" s="13"/>
      <c r="G165" s="105"/>
      <c r="H165" s="102">
        <v>100000.0</v>
      </c>
      <c r="I165" s="102">
        <v>10000.0</v>
      </c>
      <c r="J165" s="102" t="s">
        <v>645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85" t="s">
        <v>469</v>
      </c>
      <c r="B166" s="101" t="s">
        <v>470</v>
      </c>
      <c r="C166" s="13" t="str">
        <f t="shared" si="1"/>
        <v>FJ1000-204 - Packaging</v>
      </c>
      <c r="D166" s="102">
        <v>17.0</v>
      </c>
      <c r="E166" s="26" t="s">
        <v>631</v>
      </c>
      <c r="F166" s="13"/>
      <c r="G166" s="105"/>
      <c r="H166" s="102">
        <v>100000.0</v>
      </c>
      <c r="I166" s="102">
        <v>10000.0</v>
      </c>
      <c r="J166" s="102" t="s">
        <v>645</v>
      </c>
      <c r="K166" s="26" t="s">
        <v>651</v>
      </c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85" t="s">
        <v>453</v>
      </c>
      <c r="B167" s="101" t="s">
        <v>454</v>
      </c>
      <c r="C167" s="13" t="str">
        <f t="shared" si="1"/>
        <v>ST1500-202 - Circle Cutting</v>
      </c>
      <c r="D167" s="102">
        <v>1.0</v>
      </c>
      <c r="E167" s="26" t="s">
        <v>604</v>
      </c>
      <c r="F167" s="26" t="s">
        <v>644</v>
      </c>
      <c r="G167" s="103">
        <f>49</f>
        <v>49</v>
      </c>
      <c r="H167" s="102">
        <v>100000.0</v>
      </c>
      <c r="I167" s="102">
        <v>10000.0</v>
      </c>
      <c r="J167" s="102" t="s">
        <v>645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85" t="s">
        <v>453</v>
      </c>
      <c r="B168" s="101" t="s">
        <v>454</v>
      </c>
      <c r="C168" s="13" t="str">
        <f t="shared" si="1"/>
        <v>ST1500-202 - Pressing 1</v>
      </c>
      <c r="D168" s="102">
        <v>2.0</v>
      </c>
      <c r="E168" s="26" t="s">
        <v>605</v>
      </c>
      <c r="F168" s="26" t="s">
        <v>646</v>
      </c>
      <c r="G168" s="104">
        <v>10.0</v>
      </c>
      <c r="H168" s="102">
        <v>100000.0</v>
      </c>
      <c r="I168" s="102">
        <v>10000.0</v>
      </c>
      <c r="J168" s="102" t="s">
        <v>645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85" t="s">
        <v>453</v>
      </c>
      <c r="B169" s="101" t="s">
        <v>454</v>
      </c>
      <c r="C169" s="13" t="str">
        <f t="shared" si="1"/>
        <v>ST1500-202 - Spinning - Dab</v>
      </c>
      <c r="D169" s="102">
        <v>3.0</v>
      </c>
      <c r="E169" s="26" t="s">
        <v>608</v>
      </c>
      <c r="F169" s="26" t="s">
        <v>647</v>
      </c>
      <c r="G169" s="104">
        <v>3.0</v>
      </c>
      <c r="H169" s="102">
        <v>100000.0</v>
      </c>
      <c r="I169" s="102">
        <v>10000.0</v>
      </c>
      <c r="J169" s="102" t="s">
        <v>645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85" t="s">
        <v>453</v>
      </c>
      <c r="B170" s="101" t="s">
        <v>454</v>
      </c>
      <c r="C170" s="13" t="str">
        <f t="shared" si="1"/>
        <v>ST1500-202 - Spinning - Final</v>
      </c>
      <c r="D170" s="102">
        <v>4.0</v>
      </c>
      <c r="E170" s="26" t="s">
        <v>610</v>
      </c>
      <c r="F170" s="26" t="s">
        <v>647</v>
      </c>
      <c r="G170" s="104">
        <v>3.0</v>
      </c>
      <c r="H170" s="102">
        <v>100000.0</v>
      </c>
      <c r="I170" s="102">
        <v>10000.0</v>
      </c>
      <c r="J170" s="102" t="s">
        <v>645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85" t="s">
        <v>453</v>
      </c>
      <c r="B171" s="101" t="s">
        <v>454</v>
      </c>
      <c r="C171" s="13" t="str">
        <f t="shared" si="1"/>
        <v>ST1500-202 - Cutting</v>
      </c>
      <c r="D171" s="102">
        <v>5.0</v>
      </c>
      <c r="E171" s="26" t="s">
        <v>609</v>
      </c>
      <c r="F171" s="26" t="s">
        <v>648</v>
      </c>
      <c r="G171" s="104">
        <v>6.0</v>
      </c>
      <c r="H171" s="102">
        <v>100000.0</v>
      </c>
      <c r="I171" s="102">
        <v>10000.0</v>
      </c>
      <c r="J171" s="102" t="s">
        <v>645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85" t="s">
        <v>453</v>
      </c>
      <c r="B172" s="101" t="s">
        <v>454</v>
      </c>
      <c r="C172" s="13" t="str">
        <f t="shared" si="1"/>
        <v>ST1500-202 - Gobaa</v>
      </c>
      <c r="D172" s="102">
        <v>6.0</v>
      </c>
      <c r="E172" s="26" t="s">
        <v>612</v>
      </c>
      <c r="F172" s="26" t="s">
        <v>649</v>
      </c>
      <c r="G172" s="104">
        <v>35.0</v>
      </c>
      <c r="H172" s="102">
        <v>100000.0</v>
      </c>
      <c r="I172" s="102">
        <v>10000.0</v>
      </c>
      <c r="J172" s="102" t="s">
        <v>645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85" t="s">
        <v>453</v>
      </c>
      <c r="B173" s="101" t="s">
        <v>454</v>
      </c>
      <c r="C173" s="13" t="str">
        <f t="shared" si="1"/>
        <v>ST1500-202 - Sizing</v>
      </c>
      <c r="D173" s="102">
        <v>7.0</v>
      </c>
      <c r="E173" s="26" t="s">
        <v>615</v>
      </c>
      <c r="F173" s="26" t="s">
        <v>646</v>
      </c>
      <c r="G173" s="104">
        <v>17.0</v>
      </c>
      <c r="H173" s="102">
        <v>100000.0</v>
      </c>
      <c r="I173" s="102">
        <v>10000.0</v>
      </c>
      <c r="J173" s="102" t="s">
        <v>645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85" t="s">
        <v>453</v>
      </c>
      <c r="B174" s="101" t="s">
        <v>454</v>
      </c>
      <c r="C174" s="13" t="str">
        <f t="shared" si="1"/>
        <v>ST1500-202 - Round Fatka</v>
      </c>
      <c r="D174" s="102">
        <v>8.0</v>
      </c>
      <c r="E174" s="26" t="s">
        <v>620</v>
      </c>
      <c r="F174" s="26" t="s">
        <v>652</v>
      </c>
      <c r="G174" s="104">
        <v>17.0</v>
      </c>
      <c r="H174" s="102">
        <v>100000.0</v>
      </c>
      <c r="I174" s="102">
        <v>10000.0</v>
      </c>
      <c r="J174" s="102" t="s">
        <v>645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85" t="s">
        <v>453</v>
      </c>
      <c r="B175" s="101" t="s">
        <v>454</v>
      </c>
      <c r="C175" s="13" t="str">
        <f t="shared" si="1"/>
        <v>ST1500-202 - Pre Buffing</v>
      </c>
      <c r="D175" s="102">
        <v>9.0</v>
      </c>
      <c r="E175" s="26" t="s">
        <v>617</v>
      </c>
      <c r="F175" s="26" t="s">
        <v>650</v>
      </c>
      <c r="G175" s="105"/>
      <c r="H175" s="102">
        <v>100000.0</v>
      </c>
      <c r="I175" s="102">
        <v>10000.0</v>
      </c>
      <c r="J175" s="102" t="s">
        <v>645</v>
      </c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85" t="s">
        <v>453</v>
      </c>
      <c r="B176" s="101" t="s">
        <v>454</v>
      </c>
      <c r="C176" s="13" t="str">
        <f t="shared" si="1"/>
        <v>ST1500-202 - Polishing</v>
      </c>
      <c r="D176" s="102">
        <v>10.0</v>
      </c>
      <c r="E176" s="26" t="s">
        <v>619</v>
      </c>
      <c r="F176" s="26" t="s">
        <v>650</v>
      </c>
      <c r="G176" s="105"/>
      <c r="H176" s="102">
        <v>100000.0</v>
      </c>
      <c r="I176" s="102">
        <v>10000.0</v>
      </c>
      <c r="J176" s="102" t="s">
        <v>645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85" t="s">
        <v>453</v>
      </c>
      <c r="B177" s="101" t="s">
        <v>454</v>
      </c>
      <c r="C177" s="13" t="str">
        <f t="shared" si="1"/>
        <v>ST1500-202 - Rework</v>
      </c>
      <c r="D177" s="102">
        <v>11.0</v>
      </c>
      <c r="E177" s="26" t="s">
        <v>621</v>
      </c>
      <c r="F177" s="26" t="s">
        <v>650</v>
      </c>
      <c r="G177" s="105"/>
      <c r="H177" s="102">
        <v>100000.0</v>
      </c>
      <c r="I177" s="102">
        <v>10000.0</v>
      </c>
      <c r="J177" s="102" t="s">
        <v>645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85" t="s">
        <v>453</v>
      </c>
      <c r="B178" s="101" t="s">
        <v>454</v>
      </c>
      <c r="C178" s="13" t="str">
        <f t="shared" si="1"/>
        <v>ST1500-202 - Cleaning</v>
      </c>
      <c r="D178" s="102">
        <v>12.0</v>
      </c>
      <c r="E178" s="26" t="s">
        <v>622</v>
      </c>
      <c r="F178" s="13"/>
      <c r="G178" s="105"/>
      <c r="H178" s="102">
        <v>100000.0</v>
      </c>
      <c r="I178" s="102">
        <v>10000.0</v>
      </c>
      <c r="J178" s="102" t="s">
        <v>645</v>
      </c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85" t="s">
        <v>453</v>
      </c>
      <c r="B179" s="101" t="s">
        <v>454</v>
      </c>
      <c r="C179" s="13" t="str">
        <f t="shared" si="1"/>
        <v>ST1500-202 - Handle Hole</v>
      </c>
      <c r="D179" s="102">
        <v>13.0</v>
      </c>
      <c r="E179" s="26" t="s">
        <v>624</v>
      </c>
      <c r="F179" s="26" t="s">
        <v>649</v>
      </c>
      <c r="G179" s="104">
        <v>100.0</v>
      </c>
      <c r="H179" s="102">
        <v>100000.0</v>
      </c>
      <c r="I179" s="102">
        <v>10000.0</v>
      </c>
      <c r="J179" s="102" t="s">
        <v>645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85" t="s">
        <v>453</v>
      </c>
      <c r="B180" s="101" t="s">
        <v>454</v>
      </c>
      <c r="C180" s="13" t="str">
        <f t="shared" si="1"/>
        <v>ST1500-202 - Bottom Hole</v>
      </c>
      <c r="D180" s="102">
        <v>14.0</v>
      </c>
      <c r="E180" s="26" t="s">
        <v>626</v>
      </c>
      <c r="F180" s="26" t="s">
        <v>649</v>
      </c>
      <c r="G180" s="104">
        <v>50.0</v>
      </c>
      <c r="H180" s="102">
        <v>100000.0</v>
      </c>
      <c r="I180" s="102">
        <v>10000.0</v>
      </c>
      <c r="J180" s="102" t="s">
        <v>645</v>
      </c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85" t="s">
        <v>453</v>
      </c>
      <c r="B181" s="101" t="s">
        <v>454</v>
      </c>
      <c r="C181" s="13" t="str">
        <f t="shared" si="1"/>
        <v>ST1500-202 - Flow Breaker</v>
      </c>
      <c r="D181" s="102">
        <v>15.0</v>
      </c>
      <c r="E181" s="26" t="s">
        <v>628</v>
      </c>
      <c r="F181" s="26" t="s">
        <v>649</v>
      </c>
      <c r="G181" s="104">
        <v>87.0</v>
      </c>
      <c r="H181" s="102">
        <v>100000.0</v>
      </c>
      <c r="I181" s="102">
        <v>10000.0</v>
      </c>
      <c r="J181" s="102" t="s">
        <v>645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85" t="s">
        <v>453</v>
      </c>
      <c r="B182" s="101" t="s">
        <v>454</v>
      </c>
      <c r="C182" s="13" t="str">
        <f t="shared" si="1"/>
        <v>ST1500-202 - Final Cleaning</v>
      </c>
      <c r="D182" s="102">
        <v>16.0</v>
      </c>
      <c r="E182" s="26" t="s">
        <v>627</v>
      </c>
      <c r="F182" s="13"/>
      <c r="G182" s="105"/>
      <c r="H182" s="102">
        <v>100000.0</v>
      </c>
      <c r="I182" s="102">
        <v>10000.0</v>
      </c>
      <c r="J182" s="102" t="s">
        <v>645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85" t="s">
        <v>453</v>
      </c>
      <c r="B183" s="101" t="s">
        <v>454</v>
      </c>
      <c r="C183" s="13" t="str">
        <f t="shared" si="1"/>
        <v>ST1500-202 - QC</v>
      </c>
      <c r="D183" s="102">
        <v>17.0</v>
      </c>
      <c r="E183" s="26" t="s">
        <v>629</v>
      </c>
      <c r="F183" s="13"/>
      <c r="G183" s="105"/>
      <c r="H183" s="102">
        <v>100000.0</v>
      </c>
      <c r="I183" s="102">
        <v>10000.0</v>
      </c>
      <c r="J183" s="102" t="s">
        <v>645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85" t="s">
        <v>453</v>
      </c>
      <c r="B184" s="101" t="s">
        <v>454</v>
      </c>
      <c r="C184" s="13" t="str">
        <f t="shared" si="1"/>
        <v>ST1500-202 - Packaging</v>
      </c>
      <c r="D184" s="102">
        <v>18.0</v>
      </c>
      <c r="E184" s="26" t="s">
        <v>631</v>
      </c>
      <c r="F184" s="13"/>
      <c r="G184" s="105"/>
      <c r="H184" s="102">
        <v>100000.0</v>
      </c>
      <c r="I184" s="102">
        <v>10000.0</v>
      </c>
      <c r="J184" s="102" t="s">
        <v>645</v>
      </c>
      <c r="K184" s="26" t="s">
        <v>651</v>
      </c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85" t="s">
        <v>455</v>
      </c>
      <c r="B185" s="101" t="s">
        <v>456</v>
      </c>
      <c r="C185" s="13" t="str">
        <f t="shared" si="1"/>
        <v>ST1000-202 - Circle Cutting</v>
      </c>
      <c r="D185" s="102">
        <v>1.0</v>
      </c>
      <c r="E185" s="26" t="s">
        <v>604</v>
      </c>
      <c r="F185" s="26" t="s">
        <v>644</v>
      </c>
      <c r="G185" s="103">
        <f>49</f>
        <v>49</v>
      </c>
      <c r="H185" s="102">
        <v>100000.0</v>
      </c>
      <c r="I185" s="102">
        <v>10000.0</v>
      </c>
      <c r="J185" s="102" t="s">
        <v>645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85" t="s">
        <v>455</v>
      </c>
      <c r="B186" s="101" t="s">
        <v>456</v>
      </c>
      <c r="C186" s="13" t="str">
        <f t="shared" si="1"/>
        <v>ST1000-202 - Pressing 1</v>
      </c>
      <c r="D186" s="102">
        <v>2.0</v>
      </c>
      <c r="E186" s="26" t="s">
        <v>605</v>
      </c>
      <c r="F186" s="26" t="s">
        <v>646</v>
      </c>
      <c r="G186" s="104">
        <v>10.0</v>
      </c>
      <c r="H186" s="102">
        <v>100000.0</v>
      </c>
      <c r="I186" s="102">
        <v>10000.0</v>
      </c>
      <c r="J186" s="102" t="s">
        <v>645</v>
      </c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85" t="s">
        <v>455</v>
      </c>
      <c r="B187" s="101" t="s">
        <v>456</v>
      </c>
      <c r="C187" s="13" t="str">
        <f t="shared" si="1"/>
        <v>ST1000-202 - Spinning - Direct</v>
      </c>
      <c r="D187" s="102">
        <v>3.0</v>
      </c>
      <c r="E187" s="26" t="s">
        <v>607</v>
      </c>
      <c r="F187" s="26" t="s">
        <v>647</v>
      </c>
      <c r="G187" s="104">
        <v>3.0</v>
      </c>
      <c r="H187" s="102">
        <v>100000.0</v>
      </c>
      <c r="I187" s="102">
        <v>10000.0</v>
      </c>
      <c r="J187" s="102" t="s">
        <v>645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85" t="s">
        <v>455</v>
      </c>
      <c r="B188" s="101" t="s">
        <v>456</v>
      </c>
      <c r="C188" s="13" t="str">
        <f t="shared" si="1"/>
        <v>ST1000-202 - Cutting</v>
      </c>
      <c r="D188" s="102">
        <v>4.0</v>
      </c>
      <c r="E188" s="26" t="s">
        <v>609</v>
      </c>
      <c r="F188" s="26" t="s">
        <v>648</v>
      </c>
      <c r="G188" s="104">
        <v>6.0</v>
      </c>
      <c r="H188" s="102">
        <v>100000.0</v>
      </c>
      <c r="I188" s="102">
        <v>10000.0</v>
      </c>
      <c r="J188" s="102" t="s">
        <v>645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85" t="s">
        <v>455</v>
      </c>
      <c r="B189" s="101" t="s">
        <v>456</v>
      </c>
      <c r="C189" s="13" t="str">
        <f t="shared" si="1"/>
        <v>ST1000-202 - Gobaa</v>
      </c>
      <c r="D189" s="102">
        <v>5.0</v>
      </c>
      <c r="E189" s="26" t="s">
        <v>612</v>
      </c>
      <c r="F189" s="26" t="s">
        <v>649</v>
      </c>
      <c r="G189" s="104">
        <v>35.0</v>
      </c>
      <c r="H189" s="102">
        <v>100000.0</v>
      </c>
      <c r="I189" s="102">
        <v>10000.0</v>
      </c>
      <c r="J189" s="102" t="s">
        <v>645</v>
      </c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85" t="s">
        <v>455</v>
      </c>
      <c r="B190" s="101" t="s">
        <v>456</v>
      </c>
      <c r="C190" s="13" t="str">
        <f t="shared" si="1"/>
        <v>ST1000-202 - Sizing</v>
      </c>
      <c r="D190" s="102">
        <v>6.0</v>
      </c>
      <c r="E190" s="26" t="s">
        <v>615</v>
      </c>
      <c r="F190" s="26" t="s">
        <v>646</v>
      </c>
      <c r="G190" s="104">
        <v>17.0</v>
      </c>
      <c r="H190" s="102">
        <v>100000.0</v>
      </c>
      <c r="I190" s="102">
        <v>10000.0</v>
      </c>
      <c r="J190" s="102" t="s">
        <v>645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85" t="s">
        <v>455</v>
      </c>
      <c r="B191" s="101" t="s">
        <v>456</v>
      </c>
      <c r="C191" s="13" t="str">
        <f t="shared" si="1"/>
        <v>ST1000-202 - Round Fatka</v>
      </c>
      <c r="D191" s="102">
        <v>7.0</v>
      </c>
      <c r="E191" s="26" t="s">
        <v>620</v>
      </c>
      <c r="F191" s="26" t="s">
        <v>652</v>
      </c>
      <c r="G191" s="104">
        <v>17.0</v>
      </c>
      <c r="H191" s="102">
        <v>100000.0</v>
      </c>
      <c r="I191" s="102">
        <v>10000.0</v>
      </c>
      <c r="J191" s="102" t="s">
        <v>645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85" t="s">
        <v>455</v>
      </c>
      <c r="B192" s="101" t="s">
        <v>456</v>
      </c>
      <c r="C192" s="13" t="str">
        <f t="shared" si="1"/>
        <v>ST1000-202 - Pre Buffing</v>
      </c>
      <c r="D192" s="102">
        <v>8.0</v>
      </c>
      <c r="E192" s="26" t="s">
        <v>617</v>
      </c>
      <c r="F192" s="26" t="s">
        <v>650</v>
      </c>
      <c r="G192" s="105"/>
      <c r="H192" s="102">
        <v>100000.0</v>
      </c>
      <c r="I192" s="102">
        <v>10000.0</v>
      </c>
      <c r="J192" s="102" t="s">
        <v>645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85" t="s">
        <v>455</v>
      </c>
      <c r="B193" s="101" t="s">
        <v>456</v>
      </c>
      <c r="C193" s="13" t="str">
        <f t="shared" si="1"/>
        <v>ST1000-202 - Polishing</v>
      </c>
      <c r="D193" s="102">
        <v>9.0</v>
      </c>
      <c r="E193" s="26" t="s">
        <v>619</v>
      </c>
      <c r="F193" s="26" t="s">
        <v>650</v>
      </c>
      <c r="G193" s="105"/>
      <c r="H193" s="102">
        <v>100000.0</v>
      </c>
      <c r="I193" s="102">
        <v>10000.0</v>
      </c>
      <c r="J193" s="102" t="s">
        <v>645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85" t="s">
        <v>455</v>
      </c>
      <c r="B194" s="101" t="s">
        <v>456</v>
      </c>
      <c r="C194" s="13" t="str">
        <f t="shared" si="1"/>
        <v>ST1000-202 - Rework</v>
      </c>
      <c r="D194" s="102">
        <v>10.0</v>
      </c>
      <c r="E194" s="26" t="s">
        <v>621</v>
      </c>
      <c r="F194" s="26" t="s">
        <v>650</v>
      </c>
      <c r="G194" s="105"/>
      <c r="H194" s="102">
        <v>100000.0</v>
      </c>
      <c r="I194" s="102">
        <v>10000.0</v>
      </c>
      <c r="J194" s="102" t="s">
        <v>645</v>
      </c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85" t="s">
        <v>455</v>
      </c>
      <c r="B195" s="101" t="s">
        <v>456</v>
      </c>
      <c r="C195" s="13" t="str">
        <f t="shared" si="1"/>
        <v>ST1000-202 - Cleaning</v>
      </c>
      <c r="D195" s="102">
        <v>11.0</v>
      </c>
      <c r="E195" s="26" t="s">
        <v>622</v>
      </c>
      <c r="F195" s="13"/>
      <c r="G195" s="105"/>
      <c r="H195" s="102">
        <v>100000.0</v>
      </c>
      <c r="I195" s="102">
        <v>10000.0</v>
      </c>
      <c r="J195" s="102" t="s">
        <v>645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85" t="s">
        <v>455</v>
      </c>
      <c r="B196" s="101" t="s">
        <v>456</v>
      </c>
      <c r="C196" s="13" t="str">
        <f t="shared" si="1"/>
        <v>ST1000-202 - Handle Hole</v>
      </c>
      <c r="D196" s="102">
        <v>12.0</v>
      </c>
      <c r="E196" s="26" t="s">
        <v>624</v>
      </c>
      <c r="F196" s="26" t="s">
        <v>649</v>
      </c>
      <c r="G196" s="104">
        <v>100.0</v>
      </c>
      <c r="H196" s="102">
        <v>100000.0</v>
      </c>
      <c r="I196" s="102">
        <v>10000.0</v>
      </c>
      <c r="J196" s="102" t="s">
        <v>645</v>
      </c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85" t="s">
        <v>455</v>
      </c>
      <c r="B197" s="101" t="s">
        <v>456</v>
      </c>
      <c r="C197" s="13" t="str">
        <f t="shared" si="1"/>
        <v>ST1000-202 - Bottom Hole</v>
      </c>
      <c r="D197" s="102">
        <v>13.0</v>
      </c>
      <c r="E197" s="26" t="s">
        <v>626</v>
      </c>
      <c r="F197" s="26" t="s">
        <v>649</v>
      </c>
      <c r="G197" s="104">
        <v>50.0</v>
      </c>
      <c r="H197" s="102">
        <v>100000.0</v>
      </c>
      <c r="I197" s="102">
        <v>10000.0</v>
      </c>
      <c r="J197" s="102" t="s">
        <v>645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85" t="s">
        <v>455</v>
      </c>
      <c r="B198" s="101" t="s">
        <v>456</v>
      </c>
      <c r="C198" s="13" t="str">
        <f t="shared" si="1"/>
        <v>ST1000-202 - Flow Breaker</v>
      </c>
      <c r="D198" s="102">
        <v>14.0</v>
      </c>
      <c r="E198" s="26" t="s">
        <v>628</v>
      </c>
      <c r="F198" s="26" t="s">
        <v>649</v>
      </c>
      <c r="G198" s="104">
        <v>87.0</v>
      </c>
      <c r="H198" s="102">
        <v>100000.0</v>
      </c>
      <c r="I198" s="102">
        <v>10000.0</v>
      </c>
      <c r="J198" s="102" t="s">
        <v>645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85" t="s">
        <v>455</v>
      </c>
      <c r="B199" s="101" t="s">
        <v>456</v>
      </c>
      <c r="C199" s="13" t="str">
        <f t="shared" si="1"/>
        <v>ST1000-202 - Final Cleaning</v>
      </c>
      <c r="D199" s="102">
        <v>15.0</v>
      </c>
      <c r="E199" s="26" t="s">
        <v>627</v>
      </c>
      <c r="F199" s="26"/>
      <c r="G199" s="105"/>
      <c r="H199" s="102">
        <v>100000.0</v>
      </c>
      <c r="I199" s="102">
        <v>10000.0</v>
      </c>
      <c r="J199" s="102" t="s">
        <v>645</v>
      </c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85" t="s">
        <v>455</v>
      </c>
      <c r="B200" s="101" t="s">
        <v>456</v>
      </c>
      <c r="C200" s="13" t="str">
        <f t="shared" si="1"/>
        <v>ST1000-202 - QC</v>
      </c>
      <c r="D200" s="102">
        <v>16.0</v>
      </c>
      <c r="E200" s="26" t="s">
        <v>629</v>
      </c>
      <c r="F200" s="13"/>
      <c r="G200" s="105"/>
      <c r="H200" s="102">
        <v>100000.0</v>
      </c>
      <c r="I200" s="102">
        <v>10000.0</v>
      </c>
      <c r="J200" s="102" t="s">
        <v>645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85" t="s">
        <v>455</v>
      </c>
      <c r="B201" s="101" t="s">
        <v>456</v>
      </c>
      <c r="C201" s="13" t="str">
        <f t="shared" si="1"/>
        <v>ST1000-202 - Packaging</v>
      </c>
      <c r="D201" s="102">
        <v>17.0</v>
      </c>
      <c r="E201" s="26" t="s">
        <v>631</v>
      </c>
      <c r="F201" s="13"/>
      <c r="G201" s="105"/>
      <c r="H201" s="102">
        <v>100000.0</v>
      </c>
      <c r="I201" s="102">
        <v>10000.0</v>
      </c>
      <c r="J201" s="102" t="s">
        <v>645</v>
      </c>
      <c r="K201" s="26" t="s">
        <v>651</v>
      </c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85" t="s">
        <v>457</v>
      </c>
      <c r="B202" s="101" t="s">
        <v>458</v>
      </c>
      <c r="C202" s="13" t="str">
        <f t="shared" si="1"/>
        <v>GX1500-202 - Circle Cutting</v>
      </c>
      <c r="D202" s="102">
        <v>1.0</v>
      </c>
      <c r="E202" s="26" t="s">
        <v>604</v>
      </c>
      <c r="F202" s="26" t="s">
        <v>644</v>
      </c>
      <c r="G202" s="103">
        <f>49</f>
        <v>49</v>
      </c>
      <c r="H202" s="102">
        <v>100000.0</v>
      </c>
      <c r="I202" s="102">
        <v>10000.0</v>
      </c>
      <c r="J202" s="102" t="s">
        <v>645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85" t="s">
        <v>457</v>
      </c>
      <c r="B203" s="101" t="s">
        <v>458</v>
      </c>
      <c r="C203" s="13" t="str">
        <f t="shared" si="1"/>
        <v>GX1500-202 - Pressing 1</v>
      </c>
      <c r="D203" s="102">
        <v>2.0</v>
      </c>
      <c r="E203" s="26" t="s">
        <v>605</v>
      </c>
      <c r="F203" s="26" t="s">
        <v>646</v>
      </c>
      <c r="G203" s="104">
        <v>10.0</v>
      </c>
      <c r="H203" s="102">
        <v>100000.0</v>
      </c>
      <c r="I203" s="102">
        <v>10000.0</v>
      </c>
      <c r="J203" s="102" t="s">
        <v>645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85" t="s">
        <v>457</v>
      </c>
      <c r="B204" s="101" t="s">
        <v>458</v>
      </c>
      <c r="C204" s="13" t="str">
        <f t="shared" si="1"/>
        <v>GX1500-202 - Spinning - Dab</v>
      </c>
      <c r="D204" s="102">
        <v>3.0</v>
      </c>
      <c r="E204" s="26" t="s">
        <v>608</v>
      </c>
      <c r="F204" s="26" t="s">
        <v>647</v>
      </c>
      <c r="G204" s="104">
        <v>3.0</v>
      </c>
      <c r="H204" s="102">
        <v>100000.0</v>
      </c>
      <c r="I204" s="102">
        <v>10000.0</v>
      </c>
      <c r="J204" s="102" t="s">
        <v>645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85" t="s">
        <v>457</v>
      </c>
      <c r="B205" s="101" t="s">
        <v>458</v>
      </c>
      <c r="C205" s="13" t="str">
        <f t="shared" si="1"/>
        <v>GX1500-202 - Spinning - Final</v>
      </c>
      <c r="D205" s="102">
        <v>4.0</v>
      </c>
      <c r="E205" s="26" t="s">
        <v>610</v>
      </c>
      <c r="F205" s="26" t="s">
        <v>647</v>
      </c>
      <c r="G205" s="104">
        <v>3.0</v>
      </c>
      <c r="H205" s="102">
        <v>100000.0</v>
      </c>
      <c r="I205" s="102">
        <v>10000.0</v>
      </c>
      <c r="J205" s="102" t="s">
        <v>645</v>
      </c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85" t="s">
        <v>457</v>
      </c>
      <c r="B206" s="101" t="s">
        <v>458</v>
      </c>
      <c r="C206" s="13" t="str">
        <f t="shared" si="1"/>
        <v>GX1500-202 - Cutting</v>
      </c>
      <c r="D206" s="102">
        <v>5.0</v>
      </c>
      <c r="E206" s="26" t="s">
        <v>609</v>
      </c>
      <c r="F206" s="26" t="s">
        <v>648</v>
      </c>
      <c r="G206" s="104">
        <v>6.0</v>
      </c>
      <c r="H206" s="102">
        <v>100000.0</v>
      </c>
      <c r="I206" s="102">
        <v>10000.0</v>
      </c>
      <c r="J206" s="102" t="s">
        <v>645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85" t="s">
        <v>457</v>
      </c>
      <c r="B207" s="101" t="s">
        <v>458</v>
      </c>
      <c r="C207" s="13" t="str">
        <f t="shared" si="1"/>
        <v>GX1500-202 - Cross Fatka</v>
      </c>
      <c r="D207" s="102">
        <v>6.0</v>
      </c>
      <c r="E207" s="26" t="s">
        <v>614</v>
      </c>
      <c r="F207" s="26" t="s">
        <v>652</v>
      </c>
      <c r="G207" s="104">
        <v>17.0</v>
      </c>
      <c r="H207" s="102">
        <v>100000.0</v>
      </c>
      <c r="I207" s="102">
        <v>10000.0</v>
      </c>
      <c r="J207" s="102" t="s">
        <v>645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85" t="s">
        <v>457</v>
      </c>
      <c r="B208" s="101" t="s">
        <v>458</v>
      </c>
      <c r="C208" s="13" t="str">
        <f t="shared" si="1"/>
        <v>GX1500-202 - Pre Buffing</v>
      </c>
      <c r="D208" s="102">
        <v>7.0</v>
      </c>
      <c r="E208" s="26" t="s">
        <v>617</v>
      </c>
      <c r="F208" s="26" t="s">
        <v>650</v>
      </c>
      <c r="G208" s="105"/>
      <c r="H208" s="102">
        <v>100000.0</v>
      </c>
      <c r="I208" s="102">
        <v>10000.0</v>
      </c>
      <c r="J208" s="102" t="s">
        <v>645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85" t="s">
        <v>457</v>
      </c>
      <c r="B209" s="101" t="s">
        <v>458</v>
      </c>
      <c r="C209" s="13" t="str">
        <f t="shared" si="1"/>
        <v>GX1500-202 - Polishing</v>
      </c>
      <c r="D209" s="102">
        <v>8.0</v>
      </c>
      <c r="E209" s="26" t="s">
        <v>619</v>
      </c>
      <c r="F209" s="26" t="s">
        <v>650</v>
      </c>
      <c r="G209" s="105"/>
      <c r="H209" s="102">
        <v>100000.0</v>
      </c>
      <c r="I209" s="102">
        <v>10000.0</v>
      </c>
      <c r="J209" s="102" t="s">
        <v>645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85" t="s">
        <v>457</v>
      </c>
      <c r="B210" s="101" t="s">
        <v>458</v>
      </c>
      <c r="C210" s="13" t="str">
        <f t="shared" si="1"/>
        <v>GX1500-202 - Rework</v>
      </c>
      <c r="D210" s="102">
        <v>9.0</v>
      </c>
      <c r="E210" s="26" t="s">
        <v>621</v>
      </c>
      <c r="F210" s="26" t="s">
        <v>650</v>
      </c>
      <c r="G210" s="105"/>
      <c r="H210" s="102">
        <v>100000.0</v>
      </c>
      <c r="I210" s="102">
        <v>10000.0</v>
      </c>
      <c r="J210" s="102" t="s">
        <v>645</v>
      </c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85" t="s">
        <v>457</v>
      </c>
      <c r="B211" s="101" t="s">
        <v>458</v>
      </c>
      <c r="C211" s="13" t="str">
        <f t="shared" si="1"/>
        <v>GX1500-202 - Cleaning</v>
      </c>
      <c r="D211" s="102">
        <v>10.0</v>
      </c>
      <c r="E211" s="26" t="s">
        <v>622</v>
      </c>
      <c r="F211" s="13"/>
      <c r="G211" s="105"/>
      <c r="H211" s="102">
        <v>100000.0</v>
      </c>
      <c r="I211" s="102">
        <v>10000.0</v>
      </c>
      <c r="J211" s="102" t="s">
        <v>645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85" t="s">
        <v>457</v>
      </c>
      <c r="B212" s="101" t="s">
        <v>458</v>
      </c>
      <c r="C212" s="13" t="str">
        <f t="shared" si="1"/>
        <v>GX1500-202 - Handle Hole</v>
      </c>
      <c r="D212" s="102">
        <v>11.0</v>
      </c>
      <c r="E212" s="26" t="s">
        <v>624</v>
      </c>
      <c r="F212" s="26" t="s">
        <v>649</v>
      </c>
      <c r="G212" s="104">
        <v>100.0</v>
      </c>
      <c r="H212" s="102">
        <v>100000.0</v>
      </c>
      <c r="I212" s="102">
        <v>10000.0</v>
      </c>
      <c r="J212" s="102" t="s">
        <v>645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85" t="s">
        <v>457</v>
      </c>
      <c r="B213" s="101" t="s">
        <v>458</v>
      </c>
      <c r="C213" s="13" t="str">
        <f t="shared" si="1"/>
        <v>GX1500-202 - Bottom Hole</v>
      </c>
      <c r="D213" s="102">
        <v>12.0</v>
      </c>
      <c r="E213" s="26" t="s">
        <v>626</v>
      </c>
      <c r="F213" s="26" t="s">
        <v>649</v>
      </c>
      <c r="G213" s="104">
        <v>50.0</v>
      </c>
      <c r="H213" s="102">
        <v>100000.0</v>
      </c>
      <c r="I213" s="102">
        <v>10000.0</v>
      </c>
      <c r="J213" s="102" t="s">
        <v>645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85" t="s">
        <v>457</v>
      </c>
      <c r="B214" s="101" t="s">
        <v>458</v>
      </c>
      <c r="C214" s="13" t="str">
        <f t="shared" si="1"/>
        <v>GX1500-202 - Flow Breaker</v>
      </c>
      <c r="D214" s="102">
        <v>13.0</v>
      </c>
      <c r="E214" s="26" t="s">
        <v>628</v>
      </c>
      <c r="F214" s="26" t="s">
        <v>649</v>
      </c>
      <c r="G214" s="104">
        <v>87.0</v>
      </c>
      <c r="H214" s="102">
        <v>100000.0</v>
      </c>
      <c r="I214" s="102">
        <v>10000.0</v>
      </c>
      <c r="J214" s="102" t="s">
        <v>645</v>
      </c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85" t="s">
        <v>457</v>
      </c>
      <c r="B215" s="101" t="s">
        <v>458</v>
      </c>
      <c r="C215" s="13" t="str">
        <f t="shared" si="1"/>
        <v>GX1500-202 - Final Cleaning</v>
      </c>
      <c r="D215" s="102">
        <v>14.0</v>
      </c>
      <c r="E215" s="26" t="s">
        <v>627</v>
      </c>
      <c r="F215" s="13"/>
      <c r="G215" s="105"/>
      <c r="H215" s="102">
        <v>100000.0</v>
      </c>
      <c r="I215" s="102">
        <v>10000.0</v>
      </c>
      <c r="J215" s="102" t="s">
        <v>645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85" t="s">
        <v>457</v>
      </c>
      <c r="B216" s="101" t="s">
        <v>458</v>
      </c>
      <c r="C216" s="13" t="str">
        <f t="shared" si="1"/>
        <v>GX1500-202 - QC</v>
      </c>
      <c r="D216" s="102">
        <v>15.0</v>
      </c>
      <c r="E216" s="26" t="s">
        <v>629</v>
      </c>
      <c r="F216" s="13"/>
      <c r="G216" s="105"/>
      <c r="H216" s="102">
        <v>100000.0</v>
      </c>
      <c r="I216" s="102">
        <v>10000.0</v>
      </c>
      <c r="J216" s="102" t="s">
        <v>645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85" t="s">
        <v>457</v>
      </c>
      <c r="B217" s="101" t="s">
        <v>458</v>
      </c>
      <c r="C217" s="13" t="str">
        <f t="shared" si="1"/>
        <v>GX1500-202 - Packaging</v>
      </c>
      <c r="D217" s="102">
        <v>16.0</v>
      </c>
      <c r="E217" s="26" t="s">
        <v>631</v>
      </c>
      <c r="F217" s="13"/>
      <c r="G217" s="105"/>
      <c r="H217" s="102">
        <v>100000.0</v>
      </c>
      <c r="I217" s="102">
        <v>10000.0</v>
      </c>
      <c r="J217" s="102" t="s">
        <v>645</v>
      </c>
      <c r="K217" s="26" t="s">
        <v>651</v>
      </c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85" t="s">
        <v>459</v>
      </c>
      <c r="B218" s="101" t="s">
        <v>460</v>
      </c>
      <c r="C218" s="13" t="str">
        <f t="shared" si="1"/>
        <v>GX1000-202 - Circle Cutting</v>
      </c>
      <c r="D218" s="102">
        <v>1.0</v>
      </c>
      <c r="E218" s="26" t="s">
        <v>604</v>
      </c>
      <c r="F218" s="26" t="s">
        <v>644</v>
      </c>
      <c r="G218" s="103">
        <f>49</f>
        <v>49</v>
      </c>
      <c r="H218" s="102">
        <v>100000.0</v>
      </c>
      <c r="I218" s="102">
        <v>10000.0</v>
      </c>
      <c r="J218" s="102" t="s">
        <v>645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85" t="s">
        <v>459</v>
      </c>
      <c r="B219" s="101" t="s">
        <v>460</v>
      </c>
      <c r="C219" s="13" t="str">
        <f t="shared" si="1"/>
        <v>GX1000-202 - Pressing 1</v>
      </c>
      <c r="D219" s="102">
        <v>2.0</v>
      </c>
      <c r="E219" s="26" t="s">
        <v>605</v>
      </c>
      <c r="F219" s="26" t="s">
        <v>646</v>
      </c>
      <c r="G219" s="104">
        <v>10.0</v>
      </c>
      <c r="H219" s="102">
        <v>100000.0</v>
      </c>
      <c r="I219" s="102">
        <v>10000.0</v>
      </c>
      <c r="J219" s="102" t="s">
        <v>645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85" t="s">
        <v>459</v>
      </c>
      <c r="B220" s="101" t="s">
        <v>460</v>
      </c>
      <c r="C220" s="13" t="str">
        <f t="shared" si="1"/>
        <v>GX1000-202 - Spinning - Direct</v>
      </c>
      <c r="D220" s="102">
        <v>3.0</v>
      </c>
      <c r="E220" s="26" t="s">
        <v>607</v>
      </c>
      <c r="F220" s="26" t="s">
        <v>647</v>
      </c>
      <c r="G220" s="104">
        <v>3.0</v>
      </c>
      <c r="H220" s="102">
        <v>100000.0</v>
      </c>
      <c r="I220" s="102">
        <v>10000.0</v>
      </c>
      <c r="J220" s="102" t="s">
        <v>645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85" t="s">
        <v>459</v>
      </c>
      <c r="B221" s="101" t="s">
        <v>460</v>
      </c>
      <c r="C221" s="13" t="str">
        <f t="shared" si="1"/>
        <v>GX1000-202 - Cutting</v>
      </c>
      <c r="D221" s="102">
        <v>4.0</v>
      </c>
      <c r="E221" s="26" t="s">
        <v>609</v>
      </c>
      <c r="F221" s="26" t="s">
        <v>648</v>
      </c>
      <c r="G221" s="104">
        <v>6.0</v>
      </c>
      <c r="H221" s="102">
        <v>100000.0</v>
      </c>
      <c r="I221" s="102">
        <v>10000.0</v>
      </c>
      <c r="J221" s="102" t="s">
        <v>645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85" t="s">
        <v>459</v>
      </c>
      <c r="B222" s="101" t="s">
        <v>460</v>
      </c>
      <c r="C222" s="13" t="str">
        <f t="shared" si="1"/>
        <v>GX1000-202 - Cross Fatka</v>
      </c>
      <c r="D222" s="102">
        <v>5.0</v>
      </c>
      <c r="E222" s="26" t="s">
        <v>614</v>
      </c>
      <c r="F222" s="26" t="s">
        <v>652</v>
      </c>
      <c r="G222" s="104">
        <v>17.0</v>
      </c>
      <c r="H222" s="102">
        <v>100000.0</v>
      </c>
      <c r="I222" s="102">
        <v>10000.0</v>
      </c>
      <c r="J222" s="102" t="s">
        <v>645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85" t="s">
        <v>459</v>
      </c>
      <c r="B223" s="101" t="s">
        <v>460</v>
      </c>
      <c r="C223" s="13" t="str">
        <f t="shared" si="1"/>
        <v>GX1000-202 - Pre Buffing</v>
      </c>
      <c r="D223" s="102">
        <v>6.0</v>
      </c>
      <c r="E223" s="26" t="s">
        <v>617</v>
      </c>
      <c r="F223" s="26" t="s">
        <v>650</v>
      </c>
      <c r="G223" s="105"/>
      <c r="H223" s="102">
        <v>100000.0</v>
      </c>
      <c r="I223" s="102">
        <v>10000.0</v>
      </c>
      <c r="J223" s="102" t="s">
        <v>645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85" t="s">
        <v>459</v>
      </c>
      <c r="B224" s="101" t="s">
        <v>460</v>
      </c>
      <c r="C224" s="13" t="str">
        <f t="shared" si="1"/>
        <v>GX1000-202 - Polishing</v>
      </c>
      <c r="D224" s="102">
        <v>7.0</v>
      </c>
      <c r="E224" s="26" t="s">
        <v>619</v>
      </c>
      <c r="F224" s="26" t="s">
        <v>650</v>
      </c>
      <c r="G224" s="105"/>
      <c r="H224" s="102">
        <v>100000.0</v>
      </c>
      <c r="I224" s="102">
        <v>10000.0</v>
      </c>
      <c r="J224" s="102" t="s">
        <v>645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85" t="s">
        <v>459</v>
      </c>
      <c r="B225" s="101" t="s">
        <v>460</v>
      </c>
      <c r="C225" s="13" t="str">
        <f t="shared" si="1"/>
        <v>GX1000-202 - Rework</v>
      </c>
      <c r="D225" s="102">
        <v>8.0</v>
      </c>
      <c r="E225" s="26" t="s">
        <v>621</v>
      </c>
      <c r="F225" s="26" t="s">
        <v>650</v>
      </c>
      <c r="G225" s="105"/>
      <c r="H225" s="102">
        <v>100000.0</v>
      </c>
      <c r="I225" s="102">
        <v>10000.0</v>
      </c>
      <c r="J225" s="102" t="s">
        <v>645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85" t="s">
        <v>459</v>
      </c>
      <c r="B226" s="101" t="s">
        <v>460</v>
      </c>
      <c r="C226" s="13" t="str">
        <f t="shared" si="1"/>
        <v>GX1000-202 - Cleaning</v>
      </c>
      <c r="D226" s="102">
        <v>9.0</v>
      </c>
      <c r="E226" s="26" t="s">
        <v>622</v>
      </c>
      <c r="F226" s="13"/>
      <c r="G226" s="105"/>
      <c r="H226" s="102">
        <v>100000.0</v>
      </c>
      <c r="I226" s="102">
        <v>10000.0</v>
      </c>
      <c r="J226" s="102" t="s">
        <v>645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85" t="s">
        <v>459</v>
      </c>
      <c r="B227" s="101" t="s">
        <v>460</v>
      </c>
      <c r="C227" s="13" t="str">
        <f t="shared" si="1"/>
        <v>GX1000-202 - Handle Hole</v>
      </c>
      <c r="D227" s="102">
        <v>10.0</v>
      </c>
      <c r="E227" s="26" t="s">
        <v>624</v>
      </c>
      <c r="F227" s="26" t="s">
        <v>649</v>
      </c>
      <c r="G227" s="104">
        <v>100.0</v>
      </c>
      <c r="H227" s="102">
        <v>100000.0</v>
      </c>
      <c r="I227" s="102">
        <v>10000.0</v>
      </c>
      <c r="J227" s="102" t="s">
        <v>645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85" t="s">
        <v>459</v>
      </c>
      <c r="B228" s="101" t="s">
        <v>460</v>
      </c>
      <c r="C228" s="13" t="str">
        <f t="shared" si="1"/>
        <v>GX1000-202 - Bottom Hole</v>
      </c>
      <c r="D228" s="102">
        <v>11.0</v>
      </c>
      <c r="E228" s="26" t="s">
        <v>626</v>
      </c>
      <c r="F228" s="26" t="s">
        <v>649</v>
      </c>
      <c r="G228" s="104">
        <v>50.0</v>
      </c>
      <c r="H228" s="102">
        <v>100000.0</v>
      </c>
      <c r="I228" s="102">
        <v>10000.0</v>
      </c>
      <c r="J228" s="102" t="s">
        <v>645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85" t="s">
        <v>459</v>
      </c>
      <c r="B229" s="101" t="s">
        <v>460</v>
      </c>
      <c r="C229" s="13" t="str">
        <f t="shared" si="1"/>
        <v>GX1000-202 - Flow Breaker</v>
      </c>
      <c r="D229" s="102">
        <v>12.0</v>
      </c>
      <c r="E229" s="26" t="s">
        <v>628</v>
      </c>
      <c r="F229" s="26" t="s">
        <v>649</v>
      </c>
      <c r="G229" s="104">
        <v>87.0</v>
      </c>
      <c r="H229" s="102">
        <v>100000.0</v>
      </c>
      <c r="I229" s="102">
        <v>10000.0</v>
      </c>
      <c r="J229" s="102" t="s">
        <v>645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85" t="s">
        <v>459</v>
      </c>
      <c r="B230" s="101" t="s">
        <v>460</v>
      </c>
      <c r="C230" s="13" t="str">
        <f t="shared" si="1"/>
        <v>GX1000-202 - Final Cleaning</v>
      </c>
      <c r="D230" s="102">
        <v>13.0</v>
      </c>
      <c r="E230" s="26" t="s">
        <v>627</v>
      </c>
      <c r="F230" s="13"/>
      <c r="G230" s="105"/>
      <c r="H230" s="102">
        <v>100000.0</v>
      </c>
      <c r="I230" s="102">
        <v>10000.0</v>
      </c>
      <c r="J230" s="102" t="s">
        <v>645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85" t="s">
        <v>459</v>
      </c>
      <c r="B231" s="101" t="s">
        <v>460</v>
      </c>
      <c r="C231" s="13" t="str">
        <f t="shared" si="1"/>
        <v>GX1000-202 - QC</v>
      </c>
      <c r="D231" s="102">
        <v>14.0</v>
      </c>
      <c r="E231" s="26" t="s">
        <v>629</v>
      </c>
      <c r="F231" s="13"/>
      <c r="G231" s="105"/>
      <c r="H231" s="102">
        <v>100000.0</v>
      </c>
      <c r="I231" s="102">
        <v>10000.0</v>
      </c>
      <c r="J231" s="102" t="s">
        <v>645</v>
      </c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85" t="s">
        <v>459</v>
      </c>
      <c r="B232" s="101" t="s">
        <v>460</v>
      </c>
      <c r="C232" s="13" t="str">
        <f t="shared" si="1"/>
        <v>GX1000-202 - Packaging</v>
      </c>
      <c r="D232" s="102">
        <v>15.0</v>
      </c>
      <c r="E232" s="26" t="s">
        <v>631</v>
      </c>
      <c r="F232" s="13"/>
      <c r="G232" s="105"/>
      <c r="H232" s="102">
        <v>100000.0</v>
      </c>
      <c r="I232" s="102">
        <v>10000.0</v>
      </c>
      <c r="J232" s="102" t="s">
        <v>645</v>
      </c>
      <c r="K232" s="26" t="s">
        <v>651</v>
      </c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85" t="s">
        <v>447</v>
      </c>
      <c r="B233" s="101" t="s">
        <v>448</v>
      </c>
      <c r="C233" s="13" t="str">
        <f t="shared" si="1"/>
        <v>VF1500-202 - Circle Cutting</v>
      </c>
      <c r="D233" s="102">
        <v>1.0</v>
      </c>
      <c r="E233" s="26" t="s">
        <v>604</v>
      </c>
      <c r="F233" s="26" t="s">
        <v>644</v>
      </c>
      <c r="G233" s="103">
        <f>49</f>
        <v>49</v>
      </c>
      <c r="H233" s="102">
        <v>100000.0</v>
      </c>
      <c r="I233" s="102">
        <v>10000.0</v>
      </c>
      <c r="J233" s="102" t="s">
        <v>645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85" t="s">
        <v>447</v>
      </c>
      <c r="B234" s="101" t="s">
        <v>448</v>
      </c>
      <c r="C234" s="13" t="str">
        <f t="shared" si="1"/>
        <v>VF1500-202 - Pressing 1</v>
      </c>
      <c r="D234" s="102">
        <v>2.0</v>
      </c>
      <c r="E234" s="26" t="s">
        <v>605</v>
      </c>
      <c r="F234" s="26" t="s">
        <v>646</v>
      </c>
      <c r="G234" s="104">
        <v>10.0</v>
      </c>
      <c r="H234" s="102">
        <v>100000.0</v>
      </c>
      <c r="I234" s="102">
        <v>10000.0</v>
      </c>
      <c r="J234" s="102" t="s">
        <v>645</v>
      </c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85" t="s">
        <v>447</v>
      </c>
      <c r="B235" s="101" t="s">
        <v>448</v>
      </c>
      <c r="C235" s="13" t="str">
        <f t="shared" si="1"/>
        <v>VF1500-202 - Pressing 2</v>
      </c>
      <c r="D235" s="102">
        <v>3.0</v>
      </c>
      <c r="E235" s="26" t="s">
        <v>606</v>
      </c>
      <c r="F235" s="26" t="s">
        <v>646</v>
      </c>
      <c r="G235" s="104">
        <v>10.0</v>
      </c>
      <c r="H235" s="102">
        <v>100000.0</v>
      </c>
      <c r="I235" s="102">
        <v>10000.0</v>
      </c>
      <c r="J235" s="102" t="s">
        <v>645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85" t="s">
        <v>447</v>
      </c>
      <c r="B236" s="101" t="s">
        <v>448</v>
      </c>
      <c r="C236" s="13" t="str">
        <f t="shared" si="1"/>
        <v>VF1500-202 - Spinning - Dab</v>
      </c>
      <c r="D236" s="102">
        <v>4.0</v>
      </c>
      <c r="E236" s="26" t="s">
        <v>608</v>
      </c>
      <c r="F236" s="26" t="s">
        <v>647</v>
      </c>
      <c r="G236" s="104">
        <v>3.0</v>
      </c>
      <c r="H236" s="102">
        <v>100000.0</v>
      </c>
      <c r="I236" s="102">
        <v>10000.0</v>
      </c>
      <c r="J236" s="102" t="s">
        <v>645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85" t="s">
        <v>447</v>
      </c>
      <c r="B237" s="101" t="s">
        <v>448</v>
      </c>
      <c r="C237" s="13" t="str">
        <f t="shared" si="1"/>
        <v>VF1500-202 - Spinning - Final</v>
      </c>
      <c r="D237" s="102">
        <v>5.0</v>
      </c>
      <c r="E237" s="26" t="s">
        <v>610</v>
      </c>
      <c r="F237" s="26" t="s">
        <v>647</v>
      </c>
      <c r="G237" s="104">
        <v>3.0</v>
      </c>
      <c r="H237" s="102">
        <v>100000.0</v>
      </c>
      <c r="I237" s="102">
        <v>10000.0</v>
      </c>
      <c r="J237" s="102" t="s">
        <v>645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85" t="s">
        <v>447</v>
      </c>
      <c r="B238" s="101" t="s">
        <v>448</v>
      </c>
      <c r="C238" s="13" t="str">
        <f t="shared" si="1"/>
        <v>VF1500-202 - Cutting</v>
      </c>
      <c r="D238" s="102">
        <v>6.0</v>
      </c>
      <c r="E238" s="26" t="s">
        <v>609</v>
      </c>
      <c r="F238" s="26" t="s">
        <v>648</v>
      </c>
      <c r="G238" s="104">
        <v>6.0</v>
      </c>
      <c r="H238" s="102">
        <v>100000.0</v>
      </c>
      <c r="I238" s="102">
        <v>10000.0</v>
      </c>
      <c r="J238" s="102" t="s">
        <v>645</v>
      </c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85" t="s">
        <v>447</v>
      </c>
      <c r="B239" s="101" t="s">
        <v>448</v>
      </c>
      <c r="C239" s="13" t="str">
        <f t="shared" si="1"/>
        <v>VF1500-202 - Patti Polishing</v>
      </c>
      <c r="D239" s="102">
        <v>7.0</v>
      </c>
      <c r="E239" s="26" t="s">
        <v>613</v>
      </c>
      <c r="F239" s="26" t="s">
        <v>650</v>
      </c>
      <c r="G239" s="105"/>
      <c r="H239" s="102">
        <v>100000.0</v>
      </c>
      <c r="I239" s="102">
        <v>10000.0</v>
      </c>
      <c r="J239" s="102" t="s">
        <v>645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85" t="s">
        <v>447</v>
      </c>
      <c r="B240" s="101" t="s">
        <v>448</v>
      </c>
      <c r="C240" s="13" t="str">
        <f t="shared" si="1"/>
        <v>VF1500-202 - Patti Fatka</v>
      </c>
      <c r="D240" s="102">
        <v>8.0</v>
      </c>
      <c r="E240" s="26" t="s">
        <v>616</v>
      </c>
      <c r="F240" s="26" t="s">
        <v>649</v>
      </c>
      <c r="G240" s="104">
        <v>33.0</v>
      </c>
      <c r="H240" s="102">
        <v>100000.0</v>
      </c>
      <c r="I240" s="102">
        <v>10000.0</v>
      </c>
      <c r="J240" s="102" t="s">
        <v>645</v>
      </c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85" t="s">
        <v>447</v>
      </c>
      <c r="B241" s="101" t="s">
        <v>448</v>
      </c>
      <c r="C241" s="13" t="str">
        <f t="shared" si="1"/>
        <v>VF1500-202 - Polishing</v>
      </c>
      <c r="D241" s="102">
        <v>9.0</v>
      </c>
      <c r="E241" s="26" t="s">
        <v>619</v>
      </c>
      <c r="F241" s="26" t="s">
        <v>650</v>
      </c>
      <c r="G241" s="105"/>
      <c r="H241" s="102">
        <v>100000.0</v>
      </c>
      <c r="I241" s="102">
        <v>10000.0</v>
      </c>
      <c r="J241" s="102" t="s">
        <v>645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85" t="s">
        <v>447</v>
      </c>
      <c r="B242" s="101" t="s">
        <v>448</v>
      </c>
      <c r="C242" s="13" t="str">
        <f t="shared" si="1"/>
        <v>VF1500-202 - Rework</v>
      </c>
      <c r="D242" s="102">
        <v>10.0</v>
      </c>
      <c r="E242" s="26" t="s">
        <v>621</v>
      </c>
      <c r="F242" s="26" t="s">
        <v>650</v>
      </c>
      <c r="G242" s="105"/>
      <c r="H242" s="102">
        <v>100000.0</v>
      </c>
      <c r="I242" s="102">
        <v>10000.0</v>
      </c>
      <c r="J242" s="102" t="s">
        <v>645</v>
      </c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85" t="s">
        <v>447</v>
      </c>
      <c r="B243" s="101" t="s">
        <v>448</v>
      </c>
      <c r="C243" s="13" t="str">
        <f t="shared" si="1"/>
        <v>VF1500-202 - Cleaning</v>
      </c>
      <c r="D243" s="102">
        <v>11.0</v>
      </c>
      <c r="E243" s="26" t="s">
        <v>622</v>
      </c>
      <c r="F243" s="13"/>
      <c r="G243" s="105"/>
      <c r="H243" s="102">
        <v>100000.0</v>
      </c>
      <c r="I243" s="102">
        <v>10000.0</v>
      </c>
      <c r="J243" s="102" t="s">
        <v>645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85" t="s">
        <v>447</v>
      </c>
      <c r="B244" s="101" t="s">
        <v>448</v>
      </c>
      <c r="C244" s="13" t="str">
        <f t="shared" si="1"/>
        <v>VF1500-202 - Handle Hole</v>
      </c>
      <c r="D244" s="102">
        <v>12.0</v>
      </c>
      <c r="E244" s="26" t="s">
        <v>624</v>
      </c>
      <c r="F244" s="26" t="s">
        <v>649</v>
      </c>
      <c r="G244" s="104">
        <v>100.0</v>
      </c>
      <c r="H244" s="102">
        <v>100000.0</v>
      </c>
      <c r="I244" s="102">
        <v>10000.0</v>
      </c>
      <c r="J244" s="102" t="s">
        <v>645</v>
      </c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85" t="s">
        <v>447</v>
      </c>
      <c r="B245" s="101" t="s">
        <v>448</v>
      </c>
      <c r="C245" s="13" t="str">
        <f t="shared" si="1"/>
        <v>VF1500-202 - Bottom Hole</v>
      </c>
      <c r="D245" s="102">
        <v>13.0</v>
      </c>
      <c r="E245" s="26" t="s">
        <v>626</v>
      </c>
      <c r="F245" s="26" t="s">
        <v>649</v>
      </c>
      <c r="G245" s="104">
        <v>50.0</v>
      </c>
      <c r="H245" s="102">
        <v>100000.0</v>
      </c>
      <c r="I245" s="102">
        <v>10000.0</v>
      </c>
      <c r="J245" s="102" t="s">
        <v>645</v>
      </c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85" t="s">
        <v>447</v>
      </c>
      <c r="B246" s="101" t="s">
        <v>448</v>
      </c>
      <c r="C246" s="13" t="str">
        <f t="shared" si="1"/>
        <v>VF1500-202 - Flow Breaker</v>
      </c>
      <c r="D246" s="102">
        <v>14.0</v>
      </c>
      <c r="E246" s="26" t="s">
        <v>628</v>
      </c>
      <c r="F246" s="26" t="s">
        <v>649</v>
      </c>
      <c r="G246" s="104">
        <v>87.0</v>
      </c>
      <c r="H246" s="102">
        <v>100000.0</v>
      </c>
      <c r="I246" s="102">
        <v>10000.0</v>
      </c>
      <c r="J246" s="102" t="s">
        <v>645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85" t="s">
        <v>447</v>
      </c>
      <c r="B247" s="101" t="s">
        <v>448</v>
      </c>
      <c r="C247" s="13" t="str">
        <f t="shared" si="1"/>
        <v>VF1500-202 - Final Cleaning</v>
      </c>
      <c r="D247" s="102">
        <v>15.0</v>
      </c>
      <c r="E247" s="26" t="s">
        <v>627</v>
      </c>
      <c r="F247" s="26"/>
      <c r="G247" s="105"/>
      <c r="H247" s="102">
        <v>100000.0</v>
      </c>
      <c r="I247" s="102">
        <v>10000.0</v>
      </c>
      <c r="J247" s="102" t="s">
        <v>645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85" t="s">
        <v>447</v>
      </c>
      <c r="B248" s="101" t="s">
        <v>448</v>
      </c>
      <c r="C248" s="13" t="str">
        <f t="shared" si="1"/>
        <v>VF1500-202 - QC</v>
      </c>
      <c r="D248" s="102">
        <v>16.0</v>
      </c>
      <c r="E248" s="26" t="s">
        <v>629</v>
      </c>
      <c r="F248" s="26"/>
      <c r="G248" s="105"/>
      <c r="H248" s="102">
        <v>100000.0</v>
      </c>
      <c r="I248" s="102">
        <v>10000.0</v>
      </c>
      <c r="J248" s="102" t="s">
        <v>645</v>
      </c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85" t="s">
        <v>447</v>
      </c>
      <c r="B249" s="101" t="s">
        <v>448</v>
      </c>
      <c r="C249" s="13" t="str">
        <f t="shared" si="1"/>
        <v>VF1500-202 - Packaging</v>
      </c>
      <c r="D249" s="102">
        <v>17.0</v>
      </c>
      <c r="E249" s="26" t="s">
        <v>631</v>
      </c>
      <c r="F249" s="13"/>
      <c r="G249" s="105"/>
      <c r="H249" s="102">
        <v>100000.0</v>
      </c>
      <c r="I249" s="102">
        <v>10000.0</v>
      </c>
      <c r="J249" s="102" t="s">
        <v>645</v>
      </c>
      <c r="K249" s="26" t="s">
        <v>651</v>
      </c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85" t="s">
        <v>449</v>
      </c>
      <c r="B250" s="101" t="s">
        <v>450</v>
      </c>
      <c r="C250" s="13" t="str">
        <f t="shared" si="1"/>
        <v>VF1000-202 - Circle Cutting</v>
      </c>
      <c r="D250" s="102">
        <v>1.0</v>
      </c>
      <c r="E250" s="26" t="s">
        <v>604</v>
      </c>
      <c r="F250" s="26" t="s">
        <v>644</v>
      </c>
      <c r="G250" s="103">
        <f>49</f>
        <v>49</v>
      </c>
      <c r="H250" s="102">
        <v>100000.0</v>
      </c>
      <c r="I250" s="102">
        <v>10000.0</v>
      </c>
      <c r="J250" s="102" t="s">
        <v>645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85" t="s">
        <v>449</v>
      </c>
      <c r="B251" s="101" t="s">
        <v>450</v>
      </c>
      <c r="C251" s="13" t="str">
        <f t="shared" si="1"/>
        <v>VF1000-202 - Pressing 1</v>
      </c>
      <c r="D251" s="102">
        <v>2.0</v>
      </c>
      <c r="E251" s="26" t="s">
        <v>605</v>
      </c>
      <c r="F251" s="26" t="s">
        <v>646</v>
      </c>
      <c r="G251" s="104">
        <v>10.0</v>
      </c>
      <c r="H251" s="102">
        <v>100000.0</v>
      </c>
      <c r="I251" s="102">
        <v>10000.0</v>
      </c>
      <c r="J251" s="102" t="s">
        <v>645</v>
      </c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85" t="s">
        <v>449</v>
      </c>
      <c r="B252" s="101" t="s">
        <v>450</v>
      </c>
      <c r="C252" s="13" t="str">
        <f t="shared" si="1"/>
        <v>VF1000-202 - Spinning - Direct</v>
      </c>
      <c r="D252" s="102">
        <v>3.0</v>
      </c>
      <c r="E252" s="26" t="s">
        <v>607</v>
      </c>
      <c r="F252" s="26" t="s">
        <v>647</v>
      </c>
      <c r="G252" s="104">
        <v>3.0</v>
      </c>
      <c r="H252" s="102">
        <v>100000.0</v>
      </c>
      <c r="I252" s="102">
        <v>10000.0</v>
      </c>
      <c r="J252" s="102" t="s">
        <v>645</v>
      </c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85" t="s">
        <v>449</v>
      </c>
      <c r="B253" s="101" t="s">
        <v>450</v>
      </c>
      <c r="C253" s="13" t="str">
        <f t="shared" si="1"/>
        <v>VF1000-202 - Cutting</v>
      </c>
      <c r="D253" s="102">
        <v>4.0</v>
      </c>
      <c r="E253" s="26" t="s">
        <v>609</v>
      </c>
      <c r="F253" s="26" t="s">
        <v>648</v>
      </c>
      <c r="G253" s="104">
        <v>6.0</v>
      </c>
      <c r="H253" s="102">
        <v>100000.0</v>
      </c>
      <c r="I253" s="102">
        <v>10000.0</v>
      </c>
      <c r="J253" s="102" t="s">
        <v>645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85" t="s">
        <v>449</v>
      </c>
      <c r="B254" s="101" t="s">
        <v>450</v>
      </c>
      <c r="C254" s="13" t="str">
        <f t="shared" si="1"/>
        <v>VF1000-202 - Patti Polishing</v>
      </c>
      <c r="D254" s="102">
        <v>5.0</v>
      </c>
      <c r="E254" s="26" t="s">
        <v>613</v>
      </c>
      <c r="F254" s="26" t="s">
        <v>650</v>
      </c>
      <c r="G254" s="105"/>
      <c r="H254" s="102">
        <v>100000.0</v>
      </c>
      <c r="I254" s="102">
        <v>10000.0</v>
      </c>
      <c r="J254" s="102" t="s">
        <v>645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85" t="s">
        <v>449</v>
      </c>
      <c r="B255" s="101" t="s">
        <v>450</v>
      </c>
      <c r="C255" s="13" t="str">
        <f t="shared" si="1"/>
        <v>VF1000-202 - Patti Fatka</v>
      </c>
      <c r="D255" s="102">
        <v>6.0</v>
      </c>
      <c r="E255" s="26" t="s">
        <v>616</v>
      </c>
      <c r="F255" s="26" t="s">
        <v>649</v>
      </c>
      <c r="G255" s="104">
        <v>33.0</v>
      </c>
      <c r="H255" s="102">
        <v>100000.0</v>
      </c>
      <c r="I255" s="102">
        <v>10000.0</v>
      </c>
      <c r="J255" s="102" t="s">
        <v>645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85" t="s">
        <v>449</v>
      </c>
      <c r="B256" s="101" t="s">
        <v>450</v>
      </c>
      <c r="C256" s="13" t="str">
        <f t="shared" si="1"/>
        <v>VF1000-202 - Polishing</v>
      </c>
      <c r="D256" s="102">
        <v>7.0</v>
      </c>
      <c r="E256" s="26" t="s">
        <v>619</v>
      </c>
      <c r="F256" s="26" t="s">
        <v>650</v>
      </c>
      <c r="G256" s="105"/>
      <c r="H256" s="102">
        <v>100000.0</v>
      </c>
      <c r="I256" s="102">
        <v>10000.0</v>
      </c>
      <c r="J256" s="102" t="s">
        <v>645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85" t="s">
        <v>449</v>
      </c>
      <c r="B257" s="101" t="s">
        <v>450</v>
      </c>
      <c r="C257" s="13" t="str">
        <f t="shared" si="1"/>
        <v>VF1000-202 - Rework</v>
      </c>
      <c r="D257" s="102">
        <v>8.0</v>
      </c>
      <c r="E257" s="26" t="s">
        <v>621</v>
      </c>
      <c r="F257" s="26" t="s">
        <v>650</v>
      </c>
      <c r="G257" s="105"/>
      <c r="H257" s="102">
        <v>100000.0</v>
      </c>
      <c r="I257" s="102">
        <v>10000.0</v>
      </c>
      <c r="J257" s="102" t="s">
        <v>645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85" t="s">
        <v>449</v>
      </c>
      <c r="B258" s="101" t="s">
        <v>450</v>
      </c>
      <c r="C258" s="13" t="str">
        <f t="shared" si="1"/>
        <v>VF1000-202 - Cleaning</v>
      </c>
      <c r="D258" s="102">
        <v>9.0</v>
      </c>
      <c r="E258" s="26" t="s">
        <v>622</v>
      </c>
      <c r="F258" s="13"/>
      <c r="G258" s="105"/>
      <c r="H258" s="102">
        <v>100000.0</v>
      </c>
      <c r="I258" s="102">
        <v>10000.0</v>
      </c>
      <c r="J258" s="102" t="s">
        <v>645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85" t="s">
        <v>449</v>
      </c>
      <c r="B259" s="101" t="s">
        <v>450</v>
      </c>
      <c r="C259" s="13" t="str">
        <f t="shared" si="1"/>
        <v>VF1000-202 - Handle Hole</v>
      </c>
      <c r="D259" s="102">
        <v>10.0</v>
      </c>
      <c r="E259" s="26" t="s">
        <v>624</v>
      </c>
      <c r="F259" s="26" t="s">
        <v>649</v>
      </c>
      <c r="G259" s="104">
        <v>100.0</v>
      </c>
      <c r="H259" s="102">
        <v>100000.0</v>
      </c>
      <c r="I259" s="102">
        <v>10000.0</v>
      </c>
      <c r="J259" s="102" t="s">
        <v>645</v>
      </c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85" t="s">
        <v>449</v>
      </c>
      <c r="B260" s="101" t="s">
        <v>450</v>
      </c>
      <c r="C260" s="13" t="str">
        <f t="shared" si="1"/>
        <v>VF1000-202 - Bottom Hole</v>
      </c>
      <c r="D260" s="102">
        <v>11.0</v>
      </c>
      <c r="E260" s="26" t="s">
        <v>626</v>
      </c>
      <c r="F260" s="26" t="s">
        <v>649</v>
      </c>
      <c r="G260" s="104">
        <v>50.0</v>
      </c>
      <c r="H260" s="102">
        <v>100000.0</v>
      </c>
      <c r="I260" s="102">
        <v>10000.0</v>
      </c>
      <c r="J260" s="102" t="s">
        <v>645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85" t="s">
        <v>449</v>
      </c>
      <c r="B261" s="101" t="s">
        <v>450</v>
      </c>
      <c r="C261" s="13" t="str">
        <f t="shared" si="1"/>
        <v>VF1000-202 - Flow Breaker</v>
      </c>
      <c r="D261" s="102">
        <v>12.0</v>
      </c>
      <c r="E261" s="26" t="s">
        <v>628</v>
      </c>
      <c r="F261" s="26" t="s">
        <v>649</v>
      </c>
      <c r="G261" s="104">
        <v>87.0</v>
      </c>
      <c r="H261" s="102">
        <v>100000.0</v>
      </c>
      <c r="I261" s="102">
        <v>10000.0</v>
      </c>
      <c r="J261" s="102" t="s">
        <v>645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85" t="s">
        <v>449</v>
      </c>
      <c r="B262" s="101" t="s">
        <v>450</v>
      </c>
      <c r="C262" s="13" t="str">
        <f t="shared" si="1"/>
        <v>VF1000-202 - Final Cleaning</v>
      </c>
      <c r="D262" s="102">
        <v>13.0</v>
      </c>
      <c r="E262" s="26" t="s">
        <v>627</v>
      </c>
      <c r="F262" s="26"/>
      <c r="G262" s="105"/>
      <c r="H262" s="102">
        <v>100000.0</v>
      </c>
      <c r="I262" s="102">
        <v>10000.0</v>
      </c>
      <c r="J262" s="102" t="s">
        <v>645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85" t="s">
        <v>449</v>
      </c>
      <c r="B263" s="101" t="s">
        <v>450</v>
      </c>
      <c r="C263" s="13" t="str">
        <f t="shared" si="1"/>
        <v>VF1000-202 - QC</v>
      </c>
      <c r="D263" s="102">
        <v>14.0</v>
      </c>
      <c r="E263" s="26" t="s">
        <v>629</v>
      </c>
      <c r="F263" s="26"/>
      <c r="G263" s="105"/>
      <c r="H263" s="102">
        <v>100000.0</v>
      </c>
      <c r="I263" s="102">
        <v>10000.0</v>
      </c>
      <c r="J263" s="102" t="s">
        <v>645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85" t="s">
        <v>449</v>
      </c>
      <c r="B264" s="101" t="s">
        <v>450</v>
      </c>
      <c r="C264" s="13" t="str">
        <f t="shared" si="1"/>
        <v>VF1000-202 - Packaging</v>
      </c>
      <c r="D264" s="102">
        <v>15.0</v>
      </c>
      <c r="E264" s="26" t="s">
        <v>631</v>
      </c>
      <c r="F264" s="13"/>
      <c r="G264" s="105"/>
      <c r="H264" s="102">
        <v>100000.0</v>
      </c>
      <c r="I264" s="102">
        <v>10000.0</v>
      </c>
      <c r="J264" s="102" t="s">
        <v>645</v>
      </c>
      <c r="K264" s="26" t="s">
        <v>651</v>
      </c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85" t="s">
        <v>451</v>
      </c>
      <c r="B265" s="101" t="s">
        <v>452</v>
      </c>
      <c r="C265" s="13" t="str">
        <f t="shared" si="1"/>
        <v>VF0400-202 - Circle Cutting</v>
      </c>
      <c r="D265" s="102">
        <v>1.0</v>
      </c>
      <c r="E265" s="26" t="s">
        <v>604</v>
      </c>
      <c r="F265" s="26" t="s">
        <v>644</v>
      </c>
      <c r="G265" s="103">
        <f>49</f>
        <v>49</v>
      </c>
      <c r="H265" s="102">
        <v>100000.0</v>
      </c>
      <c r="I265" s="102">
        <v>10000.0</v>
      </c>
      <c r="J265" s="102" t="s">
        <v>645</v>
      </c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 ht="16.5" customHeight="1">
      <c r="A266" s="85" t="s">
        <v>451</v>
      </c>
      <c r="B266" s="101" t="s">
        <v>452</v>
      </c>
      <c r="C266" s="13" t="str">
        <f t="shared" si="1"/>
        <v>VF0400-202 - Pressing 1</v>
      </c>
      <c r="D266" s="102">
        <v>2.0</v>
      </c>
      <c r="E266" s="26" t="s">
        <v>605</v>
      </c>
      <c r="F266" s="26" t="s">
        <v>646</v>
      </c>
      <c r="G266" s="104">
        <v>10.0</v>
      </c>
      <c r="H266" s="102">
        <v>100000.0</v>
      </c>
      <c r="I266" s="102">
        <v>10000.0</v>
      </c>
      <c r="J266" s="102" t="s">
        <v>645</v>
      </c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85" t="s">
        <v>451</v>
      </c>
      <c r="B267" s="101" t="s">
        <v>452</v>
      </c>
      <c r="C267" s="13" t="str">
        <f t="shared" si="1"/>
        <v>VF0400-202 - Spinning - Direct</v>
      </c>
      <c r="D267" s="102">
        <v>3.0</v>
      </c>
      <c r="E267" s="26" t="s">
        <v>607</v>
      </c>
      <c r="F267" s="26" t="s">
        <v>647</v>
      </c>
      <c r="G267" s="104">
        <v>3.0</v>
      </c>
      <c r="H267" s="102">
        <v>100000.0</v>
      </c>
      <c r="I267" s="102">
        <v>10000.0</v>
      </c>
      <c r="J267" s="102" t="s">
        <v>645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85" t="s">
        <v>451</v>
      </c>
      <c r="B268" s="101" t="s">
        <v>452</v>
      </c>
      <c r="C268" s="13" t="str">
        <f t="shared" si="1"/>
        <v>VF0400-202 - Cutting</v>
      </c>
      <c r="D268" s="102">
        <v>4.0</v>
      </c>
      <c r="E268" s="26" t="s">
        <v>609</v>
      </c>
      <c r="F268" s="26" t="s">
        <v>648</v>
      </c>
      <c r="G268" s="104">
        <v>6.0</v>
      </c>
      <c r="H268" s="102">
        <v>100000.0</v>
      </c>
      <c r="I268" s="102">
        <v>10000.0</v>
      </c>
      <c r="J268" s="102" t="s">
        <v>645</v>
      </c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85" t="s">
        <v>451</v>
      </c>
      <c r="B269" s="101" t="s">
        <v>452</v>
      </c>
      <c r="C269" s="13" t="str">
        <f t="shared" si="1"/>
        <v>VF0400-202 - Patti Polishing</v>
      </c>
      <c r="D269" s="102">
        <v>5.0</v>
      </c>
      <c r="E269" s="26" t="s">
        <v>613</v>
      </c>
      <c r="F269" s="26" t="s">
        <v>650</v>
      </c>
      <c r="G269" s="105"/>
      <c r="H269" s="102">
        <v>100000.0</v>
      </c>
      <c r="I269" s="102">
        <v>10000.0</v>
      </c>
      <c r="J269" s="102" t="s">
        <v>645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85" t="s">
        <v>451</v>
      </c>
      <c r="B270" s="101" t="s">
        <v>452</v>
      </c>
      <c r="C270" s="13" t="str">
        <f t="shared" si="1"/>
        <v>VF0400-202 - Patti Fatka</v>
      </c>
      <c r="D270" s="102">
        <v>6.0</v>
      </c>
      <c r="E270" s="26" t="s">
        <v>616</v>
      </c>
      <c r="F270" s="26" t="s">
        <v>649</v>
      </c>
      <c r="G270" s="104">
        <v>33.0</v>
      </c>
      <c r="H270" s="102">
        <v>100000.0</v>
      </c>
      <c r="I270" s="102">
        <v>10000.0</v>
      </c>
      <c r="J270" s="102" t="s">
        <v>645</v>
      </c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85" t="s">
        <v>451</v>
      </c>
      <c r="B271" s="101" t="s">
        <v>452</v>
      </c>
      <c r="C271" s="13" t="str">
        <f t="shared" si="1"/>
        <v>VF0400-202 - Polishing</v>
      </c>
      <c r="D271" s="102">
        <v>7.0</v>
      </c>
      <c r="E271" s="26" t="s">
        <v>619</v>
      </c>
      <c r="F271" s="26" t="s">
        <v>650</v>
      </c>
      <c r="G271" s="105"/>
      <c r="H271" s="102">
        <v>100000.0</v>
      </c>
      <c r="I271" s="102">
        <v>10000.0</v>
      </c>
      <c r="J271" s="102" t="s">
        <v>645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85" t="s">
        <v>451</v>
      </c>
      <c r="B272" s="101" t="s">
        <v>452</v>
      </c>
      <c r="C272" s="13" t="str">
        <f t="shared" si="1"/>
        <v>VF0400-202 - Rework</v>
      </c>
      <c r="D272" s="102">
        <v>8.0</v>
      </c>
      <c r="E272" s="26" t="s">
        <v>621</v>
      </c>
      <c r="F272" s="26" t="s">
        <v>650</v>
      </c>
      <c r="G272" s="105"/>
      <c r="H272" s="102">
        <v>100000.0</v>
      </c>
      <c r="I272" s="102">
        <v>10000.0</v>
      </c>
      <c r="J272" s="102" t="s">
        <v>645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85" t="s">
        <v>451</v>
      </c>
      <c r="B273" s="101" t="s">
        <v>452</v>
      </c>
      <c r="C273" s="13" t="str">
        <f t="shared" si="1"/>
        <v>VF0400-202 - Cleaning</v>
      </c>
      <c r="D273" s="102">
        <v>8.0</v>
      </c>
      <c r="E273" s="26" t="s">
        <v>622</v>
      </c>
      <c r="F273" s="26"/>
      <c r="G273" s="105"/>
      <c r="H273" s="102">
        <v>100000.0</v>
      </c>
      <c r="I273" s="102">
        <v>10000.0</v>
      </c>
      <c r="J273" s="102" t="s">
        <v>645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85" t="s">
        <v>451</v>
      </c>
      <c r="B274" s="101" t="s">
        <v>452</v>
      </c>
      <c r="C274" s="13" t="str">
        <f t="shared" si="1"/>
        <v>VF0400-202 - Handle Hole</v>
      </c>
      <c r="D274" s="102">
        <v>9.0</v>
      </c>
      <c r="E274" s="26" t="s">
        <v>624</v>
      </c>
      <c r="F274" s="26" t="s">
        <v>649</v>
      </c>
      <c r="G274" s="104"/>
      <c r="H274" s="102">
        <v>100000.0</v>
      </c>
      <c r="I274" s="102">
        <v>10000.0</v>
      </c>
      <c r="J274" s="102" t="s">
        <v>645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85" t="s">
        <v>451</v>
      </c>
      <c r="B275" s="101" t="s">
        <v>452</v>
      </c>
      <c r="C275" s="13" t="str">
        <f t="shared" si="1"/>
        <v>VF0400-202 - Bottom Hole</v>
      </c>
      <c r="D275" s="102">
        <v>9.0</v>
      </c>
      <c r="E275" s="26" t="s">
        <v>626</v>
      </c>
      <c r="F275" s="26" t="s">
        <v>649</v>
      </c>
      <c r="G275" s="104">
        <v>50.0</v>
      </c>
      <c r="H275" s="102">
        <v>100000.0</v>
      </c>
      <c r="I275" s="102">
        <v>10000.0</v>
      </c>
      <c r="J275" s="102" t="s">
        <v>645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85" t="s">
        <v>451</v>
      </c>
      <c r="B276" s="101" t="s">
        <v>452</v>
      </c>
      <c r="C276" s="13" t="str">
        <f t="shared" si="1"/>
        <v>VF0400-202 - Final Cleaning</v>
      </c>
      <c r="D276" s="102">
        <v>10.0</v>
      </c>
      <c r="E276" s="26" t="s">
        <v>627</v>
      </c>
      <c r="F276" s="26" t="s">
        <v>649</v>
      </c>
      <c r="G276" s="105"/>
      <c r="H276" s="102">
        <v>100000.0</v>
      </c>
      <c r="I276" s="102">
        <v>10000.0</v>
      </c>
      <c r="J276" s="102" t="s">
        <v>645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85" t="s">
        <v>451</v>
      </c>
      <c r="B277" s="101" t="s">
        <v>452</v>
      </c>
      <c r="C277" s="13" t="str">
        <f t="shared" si="1"/>
        <v>VF0400-202 - QC</v>
      </c>
      <c r="D277" s="102">
        <v>11.0</v>
      </c>
      <c r="E277" s="26" t="s">
        <v>629</v>
      </c>
      <c r="F277" s="26"/>
      <c r="G277" s="105"/>
      <c r="H277" s="102">
        <v>100000.0</v>
      </c>
      <c r="I277" s="102">
        <v>10000.0</v>
      </c>
      <c r="J277" s="102" t="s">
        <v>645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85" t="s">
        <v>451</v>
      </c>
      <c r="B278" s="101" t="s">
        <v>452</v>
      </c>
      <c r="C278" s="13" t="str">
        <f t="shared" si="1"/>
        <v>VF0400-202 - Packaging</v>
      </c>
      <c r="D278" s="102">
        <v>12.0</v>
      </c>
      <c r="E278" s="26" t="s">
        <v>631</v>
      </c>
      <c r="F278" s="26"/>
      <c r="G278" s="105"/>
      <c r="H278" s="102">
        <v>100000.0</v>
      </c>
      <c r="I278" s="102">
        <v>10000.0</v>
      </c>
      <c r="J278" s="102" t="s">
        <v>645</v>
      </c>
      <c r="K278" s="26" t="s">
        <v>651</v>
      </c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85" t="s">
        <v>477</v>
      </c>
      <c r="B279" s="101" t="s">
        <v>478</v>
      </c>
      <c r="C279" s="13" t="str">
        <f t="shared" si="1"/>
        <v>MA1500-204 - Circle Cutting</v>
      </c>
      <c r="D279" s="102">
        <v>1.0</v>
      </c>
      <c r="E279" s="13" t="s">
        <v>604</v>
      </c>
      <c r="F279" s="26" t="s">
        <v>644</v>
      </c>
      <c r="G279" s="103">
        <f>49</f>
        <v>49</v>
      </c>
      <c r="H279" s="102">
        <v>100000.0</v>
      </c>
      <c r="I279" s="102">
        <v>10000.0</v>
      </c>
      <c r="J279" s="102" t="s">
        <v>645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85" t="s">
        <v>477</v>
      </c>
      <c r="B280" s="101" t="s">
        <v>478</v>
      </c>
      <c r="C280" s="13" t="str">
        <f t="shared" si="1"/>
        <v>MA1500-204 - Pressing 1</v>
      </c>
      <c r="D280" s="102">
        <v>2.0</v>
      </c>
      <c r="E280" s="13" t="s">
        <v>605</v>
      </c>
      <c r="F280" s="26" t="s">
        <v>646</v>
      </c>
      <c r="G280" s="104">
        <v>10.0</v>
      </c>
      <c r="H280" s="102">
        <v>100000.0</v>
      </c>
      <c r="I280" s="102">
        <v>10000.0</v>
      </c>
      <c r="J280" s="102" t="s">
        <v>645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85" t="s">
        <v>477</v>
      </c>
      <c r="B281" s="101" t="s">
        <v>478</v>
      </c>
      <c r="C281" s="13" t="str">
        <f t="shared" si="1"/>
        <v>MA1500-204 - Spinning - Dab</v>
      </c>
      <c r="D281" s="102">
        <v>3.0</v>
      </c>
      <c r="E281" s="13" t="s">
        <v>608</v>
      </c>
      <c r="F281" s="26" t="s">
        <v>647</v>
      </c>
      <c r="G281" s="104">
        <v>3.0</v>
      </c>
      <c r="H281" s="102">
        <v>100000.0</v>
      </c>
      <c r="I281" s="102">
        <v>10000.0</v>
      </c>
      <c r="J281" s="102" t="s">
        <v>645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85" t="s">
        <v>477</v>
      </c>
      <c r="B282" s="101" t="s">
        <v>478</v>
      </c>
      <c r="C282" s="13" t="str">
        <f t="shared" si="1"/>
        <v>MA1500-204 - Spinning - Final</v>
      </c>
      <c r="D282" s="102">
        <v>4.0</v>
      </c>
      <c r="E282" s="13" t="s">
        <v>610</v>
      </c>
      <c r="F282" s="26" t="s">
        <v>647</v>
      </c>
      <c r="G282" s="104">
        <v>3.0</v>
      </c>
      <c r="H282" s="102">
        <v>100000.0</v>
      </c>
      <c r="I282" s="102">
        <v>10000.0</v>
      </c>
      <c r="J282" s="102" t="s">
        <v>645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85" t="s">
        <v>477</v>
      </c>
      <c r="B283" s="101" t="s">
        <v>478</v>
      </c>
      <c r="C283" s="13" t="str">
        <f t="shared" si="1"/>
        <v>MA1500-204 - Cutting</v>
      </c>
      <c r="D283" s="102">
        <v>5.0</v>
      </c>
      <c r="E283" s="13" t="s">
        <v>609</v>
      </c>
      <c r="F283" s="26" t="s">
        <v>648</v>
      </c>
      <c r="G283" s="104">
        <v>6.0</v>
      </c>
      <c r="H283" s="102">
        <v>100000.0</v>
      </c>
      <c r="I283" s="102">
        <v>10000.0</v>
      </c>
      <c r="J283" s="102" t="s">
        <v>645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85" t="s">
        <v>477</v>
      </c>
      <c r="B284" s="101" t="s">
        <v>478</v>
      </c>
      <c r="C284" s="13" t="str">
        <f t="shared" si="1"/>
        <v>MA1500-204 - Gobaa</v>
      </c>
      <c r="D284" s="102">
        <v>6.0</v>
      </c>
      <c r="E284" s="26" t="s">
        <v>612</v>
      </c>
      <c r="F284" s="26" t="s">
        <v>649</v>
      </c>
      <c r="G284" s="104">
        <v>35.0</v>
      </c>
      <c r="H284" s="102">
        <v>100000.0</v>
      </c>
      <c r="I284" s="102">
        <v>10000.0</v>
      </c>
      <c r="J284" s="102" t="s">
        <v>645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85" t="s">
        <v>477</v>
      </c>
      <c r="B285" s="101" t="s">
        <v>478</v>
      </c>
      <c r="C285" s="13" t="str">
        <f t="shared" si="1"/>
        <v>MA1500-204 - Radius Fatka</v>
      </c>
      <c r="D285" s="102">
        <v>7.0</v>
      </c>
      <c r="E285" s="13" t="s">
        <v>611</v>
      </c>
      <c r="F285" s="26" t="s">
        <v>649</v>
      </c>
      <c r="G285" s="105"/>
      <c r="H285" s="102">
        <v>100000.0</v>
      </c>
      <c r="I285" s="102">
        <v>10000.0</v>
      </c>
      <c r="J285" s="102" t="s">
        <v>645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85" t="s">
        <v>477</v>
      </c>
      <c r="B286" s="101" t="s">
        <v>478</v>
      </c>
      <c r="C286" s="13" t="str">
        <f t="shared" si="1"/>
        <v>MA1500-204 - Sizing</v>
      </c>
      <c r="D286" s="102">
        <v>8.0</v>
      </c>
      <c r="E286" s="26" t="s">
        <v>615</v>
      </c>
      <c r="F286" s="26" t="s">
        <v>646</v>
      </c>
      <c r="G286" s="104">
        <v>17.0</v>
      </c>
      <c r="H286" s="102">
        <v>100000.0</v>
      </c>
      <c r="I286" s="102">
        <v>10000.0</v>
      </c>
      <c r="J286" s="102" t="s">
        <v>645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85" t="s">
        <v>477</v>
      </c>
      <c r="B287" s="101" t="s">
        <v>478</v>
      </c>
      <c r="C287" s="13" t="str">
        <f t="shared" si="1"/>
        <v>MA1500-204 - Pre Buffing</v>
      </c>
      <c r="D287" s="102">
        <v>9.0</v>
      </c>
      <c r="E287" s="26" t="s">
        <v>617</v>
      </c>
      <c r="F287" s="26" t="s">
        <v>650</v>
      </c>
      <c r="G287" s="105"/>
      <c r="H287" s="102">
        <v>100000.0</v>
      </c>
      <c r="I287" s="102">
        <v>10000.0</v>
      </c>
      <c r="J287" s="102" t="s">
        <v>645</v>
      </c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85" t="s">
        <v>477</v>
      </c>
      <c r="B288" s="101" t="s">
        <v>478</v>
      </c>
      <c r="C288" s="13" t="str">
        <f t="shared" si="1"/>
        <v>MA1500-204 - Top Outer Cutting</v>
      </c>
      <c r="D288" s="102">
        <v>10.0</v>
      </c>
      <c r="E288" s="26" t="s">
        <v>630</v>
      </c>
      <c r="F288" s="26" t="s">
        <v>649</v>
      </c>
      <c r="G288" s="105"/>
      <c r="H288" s="102">
        <v>100000.0</v>
      </c>
      <c r="I288" s="102">
        <v>10000.0</v>
      </c>
      <c r="J288" s="102" t="s">
        <v>645</v>
      </c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85" t="s">
        <v>477</v>
      </c>
      <c r="B289" s="101" t="s">
        <v>478</v>
      </c>
      <c r="C289" s="13" t="str">
        <f t="shared" si="1"/>
        <v>MA1500-204 - Polishing</v>
      </c>
      <c r="D289" s="102">
        <v>11.0</v>
      </c>
      <c r="E289" s="13" t="s">
        <v>619</v>
      </c>
      <c r="F289" s="26" t="s">
        <v>650</v>
      </c>
      <c r="G289" s="105"/>
      <c r="H289" s="102">
        <v>100000.0</v>
      </c>
      <c r="I289" s="102">
        <v>10000.0</v>
      </c>
      <c r="J289" s="102" t="s">
        <v>645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85" t="s">
        <v>477</v>
      </c>
      <c r="B290" s="101" t="s">
        <v>478</v>
      </c>
      <c r="C290" s="13" t="str">
        <f t="shared" si="1"/>
        <v>MA1500-204 - Bottom Fatka</v>
      </c>
      <c r="D290" s="102">
        <v>12.0</v>
      </c>
      <c r="E290" s="26" t="s">
        <v>633</v>
      </c>
      <c r="F290" s="26" t="s">
        <v>649</v>
      </c>
      <c r="G290" s="105"/>
      <c r="H290" s="102">
        <v>100000.0</v>
      </c>
      <c r="I290" s="102">
        <v>10000.0</v>
      </c>
      <c r="J290" s="102" t="s">
        <v>645</v>
      </c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85" t="s">
        <v>477</v>
      </c>
      <c r="B291" s="101" t="s">
        <v>478</v>
      </c>
      <c r="C291" s="13" t="str">
        <f t="shared" si="1"/>
        <v>MA1500-204 - Rework</v>
      </c>
      <c r="D291" s="102">
        <v>13.0</v>
      </c>
      <c r="E291" s="26" t="s">
        <v>621</v>
      </c>
      <c r="F291" s="26" t="s">
        <v>650</v>
      </c>
      <c r="G291" s="105"/>
      <c r="H291" s="102">
        <v>100000.0</v>
      </c>
      <c r="I291" s="102">
        <v>10000.0</v>
      </c>
      <c r="J291" s="102" t="s">
        <v>645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85" t="s">
        <v>477</v>
      </c>
      <c r="B292" s="101" t="s">
        <v>478</v>
      </c>
      <c r="C292" s="13" t="str">
        <f t="shared" si="1"/>
        <v>MA1500-204 - Cleaning</v>
      </c>
      <c r="D292" s="102">
        <v>14.0</v>
      </c>
      <c r="E292" s="26" t="s">
        <v>622</v>
      </c>
      <c r="F292" s="13"/>
      <c r="G292" s="105"/>
      <c r="H292" s="102">
        <v>100000.0</v>
      </c>
      <c r="I292" s="102">
        <v>10000.0</v>
      </c>
      <c r="J292" s="102" t="s">
        <v>645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85" t="s">
        <v>477</v>
      </c>
      <c r="B293" s="101" t="s">
        <v>478</v>
      </c>
      <c r="C293" s="13" t="str">
        <f t="shared" si="1"/>
        <v>MA1500-204 - Handle Hole</v>
      </c>
      <c r="D293" s="102">
        <v>15.0</v>
      </c>
      <c r="E293" s="13" t="s">
        <v>624</v>
      </c>
      <c r="F293" s="26" t="s">
        <v>649</v>
      </c>
      <c r="G293" s="104">
        <v>100.0</v>
      </c>
      <c r="H293" s="102">
        <v>100000.0</v>
      </c>
      <c r="I293" s="102">
        <v>10000.0</v>
      </c>
      <c r="J293" s="102" t="s">
        <v>645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85" t="s">
        <v>477</v>
      </c>
      <c r="B294" s="101" t="s">
        <v>478</v>
      </c>
      <c r="C294" s="13" t="str">
        <f t="shared" si="1"/>
        <v>MA1500-204 - Bottom Hole</v>
      </c>
      <c r="D294" s="102">
        <v>16.0</v>
      </c>
      <c r="E294" s="13" t="s">
        <v>626</v>
      </c>
      <c r="F294" s="26" t="s">
        <v>649</v>
      </c>
      <c r="G294" s="104">
        <v>50.0</v>
      </c>
      <c r="H294" s="102">
        <v>100000.0</v>
      </c>
      <c r="I294" s="102">
        <v>10000.0</v>
      </c>
      <c r="J294" s="102" t="s">
        <v>645</v>
      </c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85" t="s">
        <v>477</v>
      </c>
      <c r="B295" s="101" t="s">
        <v>478</v>
      </c>
      <c r="C295" s="13" t="str">
        <f t="shared" si="1"/>
        <v>MA1500-204 - Flow Breaker</v>
      </c>
      <c r="D295" s="102">
        <v>17.0</v>
      </c>
      <c r="E295" s="13" t="s">
        <v>628</v>
      </c>
      <c r="F295" s="26" t="s">
        <v>649</v>
      </c>
      <c r="G295" s="104">
        <v>87.0</v>
      </c>
      <c r="H295" s="102">
        <v>100000.0</v>
      </c>
      <c r="I295" s="102">
        <v>10000.0</v>
      </c>
      <c r="J295" s="102" t="s">
        <v>645</v>
      </c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85" t="s">
        <v>477</v>
      </c>
      <c r="B296" s="101" t="s">
        <v>478</v>
      </c>
      <c r="C296" s="13" t="str">
        <f t="shared" si="1"/>
        <v>MA1500-204 - Deburring</v>
      </c>
      <c r="D296" s="102">
        <v>18.0</v>
      </c>
      <c r="E296" s="26" t="s">
        <v>625</v>
      </c>
      <c r="F296" s="26" t="s">
        <v>653</v>
      </c>
      <c r="G296" s="105"/>
      <c r="H296" s="102">
        <v>100000.0</v>
      </c>
      <c r="I296" s="102">
        <v>10000.0</v>
      </c>
      <c r="J296" s="102" t="s">
        <v>645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85" t="s">
        <v>477</v>
      </c>
      <c r="B297" s="101" t="s">
        <v>478</v>
      </c>
      <c r="C297" s="13" t="str">
        <f t="shared" si="1"/>
        <v>MA1500-204 - Final Cleaning</v>
      </c>
      <c r="D297" s="102">
        <v>19.0</v>
      </c>
      <c r="E297" s="13" t="s">
        <v>627</v>
      </c>
      <c r="F297" s="13"/>
      <c r="G297" s="105"/>
      <c r="H297" s="102">
        <v>100000.0</v>
      </c>
      <c r="I297" s="102">
        <v>10000.0</v>
      </c>
      <c r="J297" s="102" t="s">
        <v>645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85" t="s">
        <v>477</v>
      </c>
      <c r="B298" s="101" t="s">
        <v>478</v>
      </c>
      <c r="C298" s="13" t="str">
        <f t="shared" si="1"/>
        <v>MA1500-204 - QC</v>
      </c>
      <c r="D298" s="102">
        <v>20.0</v>
      </c>
      <c r="E298" s="13" t="s">
        <v>629</v>
      </c>
      <c r="F298" s="13"/>
      <c r="G298" s="105"/>
      <c r="H298" s="102">
        <v>100000.0</v>
      </c>
      <c r="I298" s="102">
        <v>10000.0</v>
      </c>
      <c r="J298" s="102" t="s">
        <v>645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85" t="s">
        <v>477</v>
      </c>
      <c r="B299" s="101" t="s">
        <v>478</v>
      </c>
      <c r="C299" s="13" t="str">
        <f t="shared" si="1"/>
        <v>MA1500-204 - Packaging</v>
      </c>
      <c r="D299" s="102">
        <v>21.0</v>
      </c>
      <c r="E299" s="13" t="s">
        <v>631</v>
      </c>
      <c r="F299" s="13"/>
      <c r="G299" s="105"/>
      <c r="H299" s="102">
        <v>100000.0</v>
      </c>
      <c r="I299" s="102">
        <v>10000.0</v>
      </c>
      <c r="J299" s="102" t="s">
        <v>645</v>
      </c>
      <c r="K299" s="26" t="s">
        <v>651</v>
      </c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85" t="s">
        <v>479</v>
      </c>
      <c r="B300" s="101" t="s">
        <v>480</v>
      </c>
      <c r="C300" s="13" t="str">
        <f t="shared" si="1"/>
        <v>MA1000-204 - Circle Cutting</v>
      </c>
      <c r="D300" s="102">
        <v>1.0</v>
      </c>
      <c r="E300" s="13" t="s">
        <v>604</v>
      </c>
      <c r="F300" s="26" t="s">
        <v>644</v>
      </c>
      <c r="G300" s="103">
        <f>49</f>
        <v>49</v>
      </c>
      <c r="H300" s="102">
        <v>100000.0</v>
      </c>
      <c r="I300" s="102">
        <v>10000.0</v>
      </c>
      <c r="J300" s="102" t="s">
        <v>645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85" t="s">
        <v>479</v>
      </c>
      <c r="B301" s="101" t="s">
        <v>480</v>
      </c>
      <c r="C301" s="13" t="str">
        <f t="shared" si="1"/>
        <v>MA1000-204 - Pressing 1</v>
      </c>
      <c r="D301" s="102">
        <v>2.0</v>
      </c>
      <c r="E301" s="13" t="s">
        <v>605</v>
      </c>
      <c r="F301" s="26" t="s">
        <v>646</v>
      </c>
      <c r="G301" s="104">
        <v>10.0</v>
      </c>
      <c r="H301" s="102">
        <v>100000.0</v>
      </c>
      <c r="I301" s="102">
        <v>10000.0</v>
      </c>
      <c r="J301" s="102" t="s">
        <v>645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85" t="s">
        <v>479</v>
      </c>
      <c r="B302" s="101" t="s">
        <v>480</v>
      </c>
      <c r="C302" s="13" t="str">
        <f t="shared" si="1"/>
        <v>MA1000-204 - Spinning - Direct</v>
      </c>
      <c r="D302" s="102">
        <v>3.0</v>
      </c>
      <c r="E302" s="13" t="s">
        <v>607</v>
      </c>
      <c r="F302" s="26" t="s">
        <v>647</v>
      </c>
      <c r="G302" s="104">
        <v>3.0</v>
      </c>
      <c r="H302" s="102">
        <v>100000.0</v>
      </c>
      <c r="I302" s="102">
        <v>10000.0</v>
      </c>
      <c r="J302" s="102" t="s">
        <v>645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85" t="s">
        <v>479</v>
      </c>
      <c r="B303" s="101" t="s">
        <v>480</v>
      </c>
      <c r="C303" s="13" t="str">
        <f t="shared" si="1"/>
        <v>MA1000-204 - Cutting</v>
      </c>
      <c r="D303" s="102">
        <v>4.0</v>
      </c>
      <c r="E303" s="13" t="s">
        <v>609</v>
      </c>
      <c r="F303" s="26" t="s">
        <v>648</v>
      </c>
      <c r="G303" s="104">
        <v>6.0</v>
      </c>
      <c r="H303" s="102">
        <v>100000.0</v>
      </c>
      <c r="I303" s="102">
        <v>10000.0</v>
      </c>
      <c r="J303" s="102" t="s">
        <v>645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85" t="s">
        <v>479</v>
      </c>
      <c r="B304" s="101" t="s">
        <v>480</v>
      </c>
      <c r="C304" s="13" t="str">
        <f t="shared" si="1"/>
        <v>MA1000-204 - Gobaa</v>
      </c>
      <c r="D304" s="102">
        <v>5.0</v>
      </c>
      <c r="E304" s="26" t="s">
        <v>612</v>
      </c>
      <c r="F304" s="26" t="s">
        <v>649</v>
      </c>
      <c r="G304" s="104">
        <v>35.0</v>
      </c>
      <c r="H304" s="102">
        <v>100000.0</v>
      </c>
      <c r="I304" s="102">
        <v>10000.0</v>
      </c>
      <c r="J304" s="102" t="s">
        <v>645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85" t="s">
        <v>479</v>
      </c>
      <c r="B305" s="101" t="s">
        <v>480</v>
      </c>
      <c r="C305" s="13" t="str">
        <f t="shared" si="1"/>
        <v>MA1000-204 - Radius Fatka</v>
      </c>
      <c r="D305" s="102">
        <v>6.0</v>
      </c>
      <c r="E305" s="13" t="s">
        <v>611</v>
      </c>
      <c r="F305" s="26" t="s">
        <v>649</v>
      </c>
      <c r="G305" s="105"/>
      <c r="H305" s="102">
        <v>100000.0</v>
      </c>
      <c r="I305" s="102">
        <v>10000.0</v>
      </c>
      <c r="J305" s="102" t="s">
        <v>645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85" t="s">
        <v>479</v>
      </c>
      <c r="B306" s="101" t="s">
        <v>480</v>
      </c>
      <c r="C306" s="13" t="str">
        <f t="shared" si="1"/>
        <v>MA1000-204 - Pre Buffing</v>
      </c>
      <c r="D306" s="102">
        <v>7.0</v>
      </c>
      <c r="E306" s="26" t="s">
        <v>617</v>
      </c>
      <c r="F306" s="26" t="s">
        <v>650</v>
      </c>
      <c r="G306" s="105"/>
      <c r="H306" s="102">
        <v>100000.0</v>
      </c>
      <c r="I306" s="102">
        <v>10000.0</v>
      </c>
      <c r="J306" s="102" t="s">
        <v>645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85" t="s">
        <v>479</v>
      </c>
      <c r="B307" s="101" t="s">
        <v>480</v>
      </c>
      <c r="C307" s="13" t="str">
        <f t="shared" si="1"/>
        <v>MA1000-204 - Polishing</v>
      </c>
      <c r="D307" s="102">
        <v>8.0</v>
      </c>
      <c r="E307" s="13" t="s">
        <v>619</v>
      </c>
      <c r="F307" s="26" t="s">
        <v>650</v>
      </c>
      <c r="G307" s="105"/>
      <c r="H307" s="102">
        <v>100000.0</v>
      </c>
      <c r="I307" s="102">
        <v>10000.0</v>
      </c>
      <c r="J307" s="102" t="s">
        <v>645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85" t="s">
        <v>479</v>
      </c>
      <c r="B308" s="101" t="s">
        <v>480</v>
      </c>
      <c r="C308" s="13" t="str">
        <f t="shared" si="1"/>
        <v>MA1000-204 - Bottom Fatka</v>
      </c>
      <c r="D308" s="102">
        <v>9.0</v>
      </c>
      <c r="E308" s="26" t="s">
        <v>633</v>
      </c>
      <c r="F308" s="26" t="s">
        <v>649</v>
      </c>
      <c r="G308" s="105"/>
      <c r="H308" s="102">
        <v>100000.0</v>
      </c>
      <c r="I308" s="102">
        <v>10000.0</v>
      </c>
      <c r="J308" s="102" t="s">
        <v>645</v>
      </c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85" t="s">
        <v>479</v>
      </c>
      <c r="B309" s="101" t="s">
        <v>480</v>
      </c>
      <c r="C309" s="13" t="str">
        <f t="shared" si="1"/>
        <v>MA1000-204 - Rework</v>
      </c>
      <c r="D309" s="102">
        <v>10.0</v>
      </c>
      <c r="E309" s="26" t="s">
        <v>621</v>
      </c>
      <c r="F309" s="26" t="s">
        <v>650</v>
      </c>
      <c r="G309" s="105"/>
      <c r="H309" s="102">
        <v>100000.0</v>
      </c>
      <c r="I309" s="102">
        <v>10000.0</v>
      </c>
      <c r="J309" s="102" t="s">
        <v>645</v>
      </c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85" t="s">
        <v>479</v>
      </c>
      <c r="B310" s="101" t="s">
        <v>480</v>
      </c>
      <c r="C310" s="13" t="str">
        <f t="shared" si="1"/>
        <v>MA1000-204 - Cleaning</v>
      </c>
      <c r="D310" s="102">
        <v>11.0</v>
      </c>
      <c r="E310" s="26" t="s">
        <v>622</v>
      </c>
      <c r="F310" s="13"/>
      <c r="G310" s="105"/>
      <c r="H310" s="102">
        <v>100000.0</v>
      </c>
      <c r="I310" s="102">
        <v>10000.0</v>
      </c>
      <c r="J310" s="102" t="s">
        <v>645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85" t="s">
        <v>479</v>
      </c>
      <c r="B311" s="101" t="s">
        <v>480</v>
      </c>
      <c r="C311" s="13" t="str">
        <f t="shared" si="1"/>
        <v>MA1000-204 - Handle Hole</v>
      </c>
      <c r="D311" s="102">
        <v>12.0</v>
      </c>
      <c r="E311" s="13" t="s">
        <v>624</v>
      </c>
      <c r="F311" s="26" t="s">
        <v>649</v>
      </c>
      <c r="G311" s="104">
        <v>100.0</v>
      </c>
      <c r="H311" s="102">
        <v>100000.0</v>
      </c>
      <c r="I311" s="102">
        <v>10000.0</v>
      </c>
      <c r="J311" s="102" t="s">
        <v>645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85" t="s">
        <v>479</v>
      </c>
      <c r="B312" s="101" t="s">
        <v>480</v>
      </c>
      <c r="C312" s="13" t="str">
        <f t="shared" si="1"/>
        <v>MA1000-204 - Bottom Hole</v>
      </c>
      <c r="D312" s="102">
        <v>13.0</v>
      </c>
      <c r="E312" s="13" t="s">
        <v>626</v>
      </c>
      <c r="F312" s="26" t="s">
        <v>649</v>
      </c>
      <c r="G312" s="104">
        <v>50.0</v>
      </c>
      <c r="H312" s="102">
        <v>100000.0</v>
      </c>
      <c r="I312" s="102">
        <v>10000.0</v>
      </c>
      <c r="J312" s="102" t="s">
        <v>645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85" t="s">
        <v>479</v>
      </c>
      <c r="B313" s="101" t="s">
        <v>480</v>
      </c>
      <c r="C313" s="13" t="str">
        <f t="shared" si="1"/>
        <v>MA1000-204 - Flow Breaker</v>
      </c>
      <c r="D313" s="102">
        <v>14.0</v>
      </c>
      <c r="E313" s="13" t="s">
        <v>628</v>
      </c>
      <c r="F313" s="26" t="s">
        <v>649</v>
      </c>
      <c r="G313" s="104">
        <v>87.0</v>
      </c>
      <c r="H313" s="102">
        <v>100000.0</v>
      </c>
      <c r="I313" s="102">
        <v>10000.0</v>
      </c>
      <c r="J313" s="102" t="s">
        <v>645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85" t="s">
        <v>479</v>
      </c>
      <c r="B314" s="101" t="s">
        <v>480</v>
      </c>
      <c r="C314" s="13" t="str">
        <f t="shared" si="1"/>
        <v>MA1000-204 - Deburring</v>
      </c>
      <c r="D314" s="102">
        <v>15.0</v>
      </c>
      <c r="E314" s="26" t="s">
        <v>625</v>
      </c>
      <c r="F314" s="26" t="s">
        <v>653</v>
      </c>
      <c r="G314" s="105"/>
      <c r="H314" s="102">
        <v>100000.0</v>
      </c>
      <c r="I314" s="102">
        <v>10000.0</v>
      </c>
      <c r="J314" s="102" t="s">
        <v>645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85" t="s">
        <v>479</v>
      </c>
      <c r="B315" s="101" t="s">
        <v>480</v>
      </c>
      <c r="C315" s="13" t="str">
        <f t="shared" si="1"/>
        <v>MA1000-204 - Final Cleaning</v>
      </c>
      <c r="D315" s="102">
        <v>16.0</v>
      </c>
      <c r="E315" s="13" t="s">
        <v>627</v>
      </c>
      <c r="F315" s="13"/>
      <c r="G315" s="105"/>
      <c r="H315" s="102">
        <v>100000.0</v>
      </c>
      <c r="I315" s="102">
        <v>10000.0</v>
      </c>
      <c r="J315" s="102" t="s">
        <v>645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85" t="s">
        <v>479</v>
      </c>
      <c r="B316" s="101" t="s">
        <v>480</v>
      </c>
      <c r="C316" s="13" t="str">
        <f t="shared" si="1"/>
        <v>MA1000-204 - QC</v>
      </c>
      <c r="D316" s="102">
        <v>17.0</v>
      </c>
      <c r="E316" s="13" t="s">
        <v>629</v>
      </c>
      <c r="F316" s="13"/>
      <c r="G316" s="105"/>
      <c r="H316" s="102">
        <v>100000.0</v>
      </c>
      <c r="I316" s="102">
        <v>10000.0</v>
      </c>
      <c r="J316" s="102" t="s">
        <v>645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85" t="s">
        <v>479</v>
      </c>
      <c r="B317" s="101" t="s">
        <v>480</v>
      </c>
      <c r="C317" s="13" t="str">
        <f t="shared" si="1"/>
        <v>MA1000-204 - Packaging</v>
      </c>
      <c r="D317" s="102">
        <v>18.0</v>
      </c>
      <c r="E317" s="13" t="s">
        <v>631</v>
      </c>
      <c r="F317" s="13"/>
      <c r="G317" s="105"/>
      <c r="H317" s="102">
        <v>100000.0</v>
      </c>
      <c r="I317" s="102">
        <v>10000.0</v>
      </c>
      <c r="J317" s="102" t="s">
        <v>645</v>
      </c>
      <c r="K317" s="26" t="s">
        <v>651</v>
      </c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85" t="s">
        <v>481</v>
      </c>
      <c r="B318" s="101" t="s">
        <v>482</v>
      </c>
      <c r="C318" s="13" t="str">
        <f t="shared" si="1"/>
        <v>MA0400-204 - Circle Cutting</v>
      </c>
      <c r="D318" s="102">
        <v>1.0</v>
      </c>
      <c r="E318" s="13" t="s">
        <v>604</v>
      </c>
      <c r="F318" s="26" t="s">
        <v>644</v>
      </c>
      <c r="G318" s="103">
        <f>49</f>
        <v>49</v>
      </c>
      <c r="H318" s="102">
        <v>100000.0</v>
      </c>
      <c r="I318" s="102">
        <v>10000.0</v>
      </c>
      <c r="J318" s="102" t="s">
        <v>645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85" t="s">
        <v>481</v>
      </c>
      <c r="B319" s="101" t="s">
        <v>482</v>
      </c>
      <c r="C319" s="13" t="str">
        <f t="shared" si="1"/>
        <v>MA0400-204 - Pressing 1</v>
      </c>
      <c r="D319" s="102">
        <v>2.0</v>
      </c>
      <c r="E319" s="13" t="s">
        <v>605</v>
      </c>
      <c r="F319" s="26" t="s">
        <v>646</v>
      </c>
      <c r="G319" s="104">
        <v>10.0</v>
      </c>
      <c r="H319" s="102">
        <v>100000.0</v>
      </c>
      <c r="I319" s="102">
        <v>10000.0</v>
      </c>
      <c r="J319" s="102" t="s">
        <v>645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85" t="s">
        <v>481</v>
      </c>
      <c r="B320" s="101" t="s">
        <v>482</v>
      </c>
      <c r="C320" s="13" t="str">
        <f t="shared" si="1"/>
        <v>MA0400-204 - Spinning - Direct</v>
      </c>
      <c r="D320" s="102">
        <v>3.0</v>
      </c>
      <c r="E320" s="13" t="s">
        <v>607</v>
      </c>
      <c r="F320" s="26" t="s">
        <v>647</v>
      </c>
      <c r="G320" s="104">
        <v>3.0</v>
      </c>
      <c r="H320" s="102">
        <v>100000.0</v>
      </c>
      <c r="I320" s="102">
        <v>10000.0</v>
      </c>
      <c r="J320" s="102" t="s">
        <v>645</v>
      </c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85" t="s">
        <v>481</v>
      </c>
      <c r="B321" s="101" t="s">
        <v>482</v>
      </c>
      <c r="C321" s="13" t="str">
        <f t="shared" si="1"/>
        <v>MA0400-204 - Cutting</v>
      </c>
      <c r="D321" s="102">
        <v>4.0</v>
      </c>
      <c r="E321" s="13" t="s">
        <v>609</v>
      </c>
      <c r="F321" s="26" t="s">
        <v>648</v>
      </c>
      <c r="G321" s="104">
        <v>6.0</v>
      </c>
      <c r="H321" s="102">
        <v>100000.0</v>
      </c>
      <c r="I321" s="102">
        <v>10000.0</v>
      </c>
      <c r="J321" s="102" t="s">
        <v>645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85" t="s">
        <v>481</v>
      </c>
      <c r="B322" s="101" t="s">
        <v>482</v>
      </c>
      <c r="C322" s="13" t="str">
        <f t="shared" si="1"/>
        <v>MA0400-204 - Gobaa</v>
      </c>
      <c r="D322" s="102">
        <v>5.0</v>
      </c>
      <c r="E322" s="26" t="s">
        <v>612</v>
      </c>
      <c r="F322" s="26" t="s">
        <v>649</v>
      </c>
      <c r="G322" s="104">
        <v>35.0</v>
      </c>
      <c r="H322" s="102">
        <v>100000.0</v>
      </c>
      <c r="I322" s="102">
        <v>10000.0</v>
      </c>
      <c r="J322" s="102" t="s">
        <v>645</v>
      </c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85" t="s">
        <v>481</v>
      </c>
      <c r="B323" s="101" t="s">
        <v>482</v>
      </c>
      <c r="C323" s="13" t="str">
        <f t="shared" si="1"/>
        <v>MA0400-204 - Radius Fatka</v>
      </c>
      <c r="D323" s="102">
        <v>6.0</v>
      </c>
      <c r="E323" s="13" t="s">
        <v>611</v>
      </c>
      <c r="F323" s="26" t="s">
        <v>649</v>
      </c>
      <c r="G323" s="105"/>
      <c r="H323" s="102">
        <v>100000.0</v>
      </c>
      <c r="I323" s="102">
        <v>10000.0</v>
      </c>
      <c r="J323" s="102" t="s">
        <v>645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85" t="s">
        <v>481</v>
      </c>
      <c r="B324" s="101" t="s">
        <v>482</v>
      </c>
      <c r="C324" s="13" t="str">
        <f t="shared" si="1"/>
        <v>MA0400-204 - Pre Buffing</v>
      </c>
      <c r="D324" s="102">
        <v>7.0</v>
      </c>
      <c r="E324" s="26" t="s">
        <v>617</v>
      </c>
      <c r="F324" s="26" t="s">
        <v>650</v>
      </c>
      <c r="G324" s="105"/>
      <c r="H324" s="102">
        <v>100000.0</v>
      </c>
      <c r="I324" s="102">
        <v>10000.0</v>
      </c>
      <c r="J324" s="102" t="s">
        <v>645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85" t="s">
        <v>481</v>
      </c>
      <c r="B325" s="101" t="s">
        <v>482</v>
      </c>
      <c r="C325" s="13" t="str">
        <f t="shared" si="1"/>
        <v>MA0400-204 - Polishing</v>
      </c>
      <c r="D325" s="102">
        <v>8.0</v>
      </c>
      <c r="E325" s="13" t="s">
        <v>619</v>
      </c>
      <c r="F325" s="26" t="s">
        <v>650</v>
      </c>
      <c r="G325" s="105"/>
      <c r="H325" s="102">
        <v>100000.0</v>
      </c>
      <c r="I325" s="102">
        <v>10000.0</v>
      </c>
      <c r="J325" s="102" t="s">
        <v>645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85" t="s">
        <v>481</v>
      </c>
      <c r="B326" s="101" t="s">
        <v>482</v>
      </c>
      <c r="C326" s="13" t="str">
        <f t="shared" si="1"/>
        <v>MA0400-204 - Bottom Fatka</v>
      </c>
      <c r="D326" s="102">
        <v>9.0</v>
      </c>
      <c r="E326" s="26" t="s">
        <v>633</v>
      </c>
      <c r="F326" s="26" t="s">
        <v>649</v>
      </c>
      <c r="G326" s="105"/>
      <c r="H326" s="102">
        <v>100000.0</v>
      </c>
      <c r="I326" s="102">
        <v>10000.0</v>
      </c>
      <c r="J326" s="102" t="s">
        <v>645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85" t="s">
        <v>481</v>
      </c>
      <c r="B327" s="101" t="s">
        <v>482</v>
      </c>
      <c r="C327" s="13" t="str">
        <f t="shared" si="1"/>
        <v>MA0400-204 - Rework</v>
      </c>
      <c r="D327" s="102">
        <v>10.0</v>
      </c>
      <c r="E327" s="26" t="s">
        <v>621</v>
      </c>
      <c r="F327" s="26" t="s">
        <v>650</v>
      </c>
      <c r="G327" s="105"/>
      <c r="H327" s="102">
        <v>100000.0</v>
      </c>
      <c r="I327" s="102">
        <v>10000.0</v>
      </c>
      <c r="J327" s="102" t="s">
        <v>645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85" t="s">
        <v>481</v>
      </c>
      <c r="B328" s="101" t="s">
        <v>482</v>
      </c>
      <c r="C328" s="13" t="str">
        <f t="shared" si="1"/>
        <v>MA0400-204 - Cleaning</v>
      </c>
      <c r="D328" s="102">
        <v>11.0</v>
      </c>
      <c r="E328" s="26" t="s">
        <v>622</v>
      </c>
      <c r="F328" s="13"/>
      <c r="G328" s="105"/>
      <c r="H328" s="102">
        <v>100000.0</v>
      </c>
      <c r="I328" s="102">
        <v>10000.0</v>
      </c>
      <c r="J328" s="102" t="s">
        <v>645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85" t="s">
        <v>481</v>
      </c>
      <c r="B329" s="101" t="s">
        <v>482</v>
      </c>
      <c r="C329" s="13" t="str">
        <f t="shared" si="1"/>
        <v>MA0400-204 - Handle Hole</v>
      </c>
      <c r="D329" s="102">
        <v>12.0</v>
      </c>
      <c r="E329" s="13" t="s">
        <v>624</v>
      </c>
      <c r="F329" s="26" t="s">
        <v>649</v>
      </c>
      <c r="G329" s="104">
        <v>100.0</v>
      </c>
      <c r="H329" s="102">
        <v>100000.0</v>
      </c>
      <c r="I329" s="102">
        <v>10000.0</v>
      </c>
      <c r="J329" s="102" t="s">
        <v>645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85" t="s">
        <v>481</v>
      </c>
      <c r="B330" s="101" t="s">
        <v>482</v>
      </c>
      <c r="C330" s="13" t="str">
        <f t="shared" si="1"/>
        <v>MA0400-204 - Bottom Hole</v>
      </c>
      <c r="D330" s="102">
        <v>13.0</v>
      </c>
      <c r="E330" s="13" t="s">
        <v>626</v>
      </c>
      <c r="F330" s="26" t="s">
        <v>649</v>
      </c>
      <c r="G330" s="104">
        <v>50.0</v>
      </c>
      <c r="H330" s="102">
        <v>100000.0</v>
      </c>
      <c r="I330" s="102">
        <v>10000.0</v>
      </c>
      <c r="J330" s="102" t="s">
        <v>645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85" t="s">
        <v>481</v>
      </c>
      <c r="B331" s="101" t="s">
        <v>482</v>
      </c>
      <c r="C331" s="13" t="str">
        <f t="shared" si="1"/>
        <v>MA0400-204 - Deburring</v>
      </c>
      <c r="D331" s="102">
        <v>14.0</v>
      </c>
      <c r="E331" s="26" t="s">
        <v>625</v>
      </c>
      <c r="F331" s="26" t="s">
        <v>653</v>
      </c>
      <c r="G331" s="105"/>
      <c r="H331" s="102">
        <v>100000.0</v>
      </c>
      <c r="I331" s="102">
        <v>10000.0</v>
      </c>
      <c r="J331" s="102" t="s">
        <v>645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85" t="s">
        <v>481</v>
      </c>
      <c r="B332" s="101" t="s">
        <v>482</v>
      </c>
      <c r="C332" s="13" t="str">
        <f t="shared" si="1"/>
        <v>MA0400-204 - Final Cleaning</v>
      </c>
      <c r="D332" s="102">
        <v>15.0</v>
      </c>
      <c r="E332" s="13" t="s">
        <v>627</v>
      </c>
      <c r="F332" s="13"/>
      <c r="G332" s="105"/>
      <c r="H332" s="102">
        <v>100000.0</v>
      </c>
      <c r="I332" s="102">
        <v>10000.0</v>
      </c>
      <c r="J332" s="102" t="s">
        <v>645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85" t="s">
        <v>481</v>
      </c>
      <c r="B333" s="101" t="s">
        <v>482</v>
      </c>
      <c r="C333" s="13" t="str">
        <f t="shared" si="1"/>
        <v>MA0400-204 - QC</v>
      </c>
      <c r="D333" s="102">
        <v>16.0</v>
      </c>
      <c r="E333" s="13" t="s">
        <v>629</v>
      </c>
      <c r="F333" s="13"/>
      <c r="G333" s="105"/>
      <c r="H333" s="102">
        <v>100000.0</v>
      </c>
      <c r="I333" s="102">
        <v>10000.0</v>
      </c>
      <c r="J333" s="102" t="s">
        <v>645</v>
      </c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85" t="s">
        <v>481</v>
      </c>
      <c r="B334" s="101" t="s">
        <v>482</v>
      </c>
      <c r="C334" s="13" t="str">
        <f t="shared" si="1"/>
        <v>MA0400-204 - Packaging</v>
      </c>
      <c r="D334" s="102">
        <v>17.0</v>
      </c>
      <c r="E334" s="13" t="s">
        <v>631</v>
      </c>
      <c r="F334" s="13"/>
      <c r="G334" s="105"/>
      <c r="H334" s="102">
        <v>100000.0</v>
      </c>
      <c r="I334" s="102">
        <v>10000.0</v>
      </c>
      <c r="J334" s="102" t="s">
        <v>645</v>
      </c>
      <c r="K334" s="26" t="s">
        <v>651</v>
      </c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85" t="s">
        <v>435</v>
      </c>
      <c r="B335" s="101" t="s">
        <v>436</v>
      </c>
      <c r="C335" s="13" t="str">
        <f t="shared" si="1"/>
        <v>PF1500-202 - Circle Cutting</v>
      </c>
      <c r="D335" s="102">
        <v>1.0</v>
      </c>
      <c r="E335" s="26" t="s">
        <v>604</v>
      </c>
      <c r="F335" s="26" t="s">
        <v>644</v>
      </c>
      <c r="G335" s="103">
        <f>49</f>
        <v>49</v>
      </c>
      <c r="H335" s="102">
        <v>100000.0</v>
      </c>
      <c r="I335" s="102">
        <v>10000.0</v>
      </c>
      <c r="J335" s="102" t="s">
        <v>645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85" t="s">
        <v>435</v>
      </c>
      <c r="B336" s="101" t="s">
        <v>436</v>
      </c>
      <c r="C336" s="13" t="str">
        <f t="shared" si="1"/>
        <v>PF1500-202 - Pressing 1</v>
      </c>
      <c r="D336" s="102">
        <v>2.0</v>
      </c>
      <c r="E336" s="26" t="s">
        <v>605</v>
      </c>
      <c r="F336" s="26" t="s">
        <v>646</v>
      </c>
      <c r="G336" s="104">
        <v>10.0</v>
      </c>
      <c r="H336" s="102">
        <v>100000.0</v>
      </c>
      <c r="I336" s="102">
        <v>10000.0</v>
      </c>
      <c r="J336" s="102" t="s">
        <v>645</v>
      </c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85" t="s">
        <v>435</v>
      </c>
      <c r="B337" s="101" t="s">
        <v>436</v>
      </c>
      <c r="C337" s="13" t="str">
        <f t="shared" si="1"/>
        <v>PF1500-202 - Pressing 2</v>
      </c>
      <c r="D337" s="102">
        <v>3.0</v>
      </c>
      <c r="E337" s="26" t="s">
        <v>606</v>
      </c>
      <c r="F337" s="26" t="s">
        <v>646</v>
      </c>
      <c r="G337" s="104">
        <v>10.0</v>
      </c>
      <c r="H337" s="102">
        <v>100000.0</v>
      </c>
      <c r="I337" s="102">
        <v>10000.0</v>
      </c>
      <c r="J337" s="102" t="s">
        <v>645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85" t="s">
        <v>435</v>
      </c>
      <c r="B338" s="101" t="s">
        <v>436</v>
      </c>
      <c r="C338" s="13" t="str">
        <f t="shared" si="1"/>
        <v>PF1500-202 - Spinning - Dab</v>
      </c>
      <c r="D338" s="102">
        <v>4.0</v>
      </c>
      <c r="E338" s="26" t="s">
        <v>608</v>
      </c>
      <c r="F338" s="26" t="s">
        <v>647</v>
      </c>
      <c r="G338" s="104">
        <v>3.0</v>
      </c>
      <c r="H338" s="102">
        <v>100000.0</v>
      </c>
      <c r="I338" s="102">
        <v>10000.0</v>
      </c>
      <c r="J338" s="102" t="s">
        <v>645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85" t="s">
        <v>435</v>
      </c>
      <c r="B339" s="101" t="s">
        <v>436</v>
      </c>
      <c r="C339" s="13" t="str">
        <f t="shared" si="1"/>
        <v>PF1500-202 - Spinning - Final</v>
      </c>
      <c r="D339" s="102">
        <v>5.0</v>
      </c>
      <c r="E339" s="26" t="s">
        <v>610</v>
      </c>
      <c r="F339" s="26" t="s">
        <v>647</v>
      </c>
      <c r="G339" s="104">
        <v>3.0</v>
      </c>
      <c r="H339" s="102">
        <v>100000.0</v>
      </c>
      <c r="I339" s="102">
        <v>10000.0</v>
      </c>
      <c r="J339" s="102" t="s">
        <v>645</v>
      </c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85" t="s">
        <v>435</v>
      </c>
      <c r="B340" s="101" t="s">
        <v>436</v>
      </c>
      <c r="C340" s="13" t="str">
        <f t="shared" si="1"/>
        <v>PF1500-202 - Cutting</v>
      </c>
      <c r="D340" s="102">
        <v>6.0</v>
      </c>
      <c r="E340" s="26" t="s">
        <v>609</v>
      </c>
      <c r="F340" s="26" t="s">
        <v>648</v>
      </c>
      <c r="G340" s="104">
        <v>6.0</v>
      </c>
      <c r="H340" s="102">
        <v>100000.0</v>
      </c>
      <c r="I340" s="102">
        <v>10000.0</v>
      </c>
      <c r="J340" s="102" t="s">
        <v>645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85" t="s">
        <v>435</v>
      </c>
      <c r="B341" s="101" t="s">
        <v>436</v>
      </c>
      <c r="C341" s="13" t="str">
        <f t="shared" si="1"/>
        <v>PF1500-202 - Patti Polishing</v>
      </c>
      <c r="D341" s="102">
        <v>7.0</v>
      </c>
      <c r="E341" s="26" t="s">
        <v>613</v>
      </c>
      <c r="F341" s="26" t="s">
        <v>650</v>
      </c>
      <c r="G341" s="105"/>
      <c r="H341" s="102">
        <v>100000.0</v>
      </c>
      <c r="I341" s="102">
        <v>10000.0</v>
      </c>
      <c r="J341" s="102" t="s">
        <v>645</v>
      </c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85" t="s">
        <v>435</v>
      </c>
      <c r="B342" s="101" t="s">
        <v>436</v>
      </c>
      <c r="C342" s="13" t="str">
        <f t="shared" si="1"/>
        <v>PF1500-202 - Patti Fatka</v>
      </c>
      <c r="D342" s="102">
        <v>8.0</v>
      </c>
      <c r="E342" s="26" t="s">
        <v>616</v>
      </c>
      <c r="F342" s="26" t="s">
        <v>649</v>
      </c>
      <c r="G342" s="104">
        <v>33.0</v>
      </c>
      <c r="H342" s="102">
        <v>100000.0</v>
      </c>
      <c r="I342" s="102">
        <v>10000.0</v>
      </c>
      <c r="J342" s="102" t="s">
        <v>645</v>
      </c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85" t="s">
        <v>435</v>
      </c>
      <c r="B343" s="101" t="s">
        <v>436</v>
      </c>
      <c r="C343" s="13" t="str">
        <f t="shared" si="1"/>
        <v>PF1500-202 - Polishing</v>
      </c>
      <c r="D343" s="102">
        <v>9.0</v>
      </c>
      <c r="E343" s="26" t="s">
        <v>619</v>
      </c>
      <c r="F343" s="26" t="s">
        <v>650</v>
      </c>
      <c r="G343" s="105"/>
      <c r="H343" s="102">
        <v>100000.0</v>
      </c>
      <c r="I343" s="102">
        <v>10000.0</v>
      </c>
      <c r="J343" s="102" t="s">
        <v>645</v>
      </c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85" t="s">
        <v>435</v>
      </c>
      <c r="B344" s="101" t="s">
        <v>436</v>
      </c>
      <c r="C344" s="13" t="str">
        <f t="shared" si="1"/>
        <v>PF1500-202 - Rework</v>
      </c>
      <c r="D344" s="102">
        <v>10.0</v>
      </c>
      <c r="E344" s="26" t="s">
        <v>621</v>
      </c>
      <c r="F344" s="26" t="s">
        <v>650</v>
      </c>
      <c r="G344" s="105"/>
      <c r="H344" s="102">
        <v>100000.0</v>
      </c>
      <c r="I344" s="102">
        <v>10000.0</v>
      </c>
      <c r="J344" s="102" t="s">
        <v>645</v>
      </c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85" t="s">
        <v>435</v>
      </c>
      <c r="B345" s="101" t="s">
        <v>436</v>
      </c>
      <c r="C345" s="13" t="str">
        <f t="shared" si="1"/>
        <v>PF1500-202 - Cleaning</v>
      </c>
      <c r="D345" s="102">
        <v>11.0</v>
      </c>
      <c r="E345" s="26" t="s">
        <v>622</v>
      </c>
      <c r="F345" s="13"/>
      <c r="G345" s="105"/>
      <c r="H345" s="102">
        <v>100000.0</v>
      </c>
      <c r="I345" s="102">
        <v>10000.0</v>
      </c>
      <c r="J345" s="102" t="s">
        <v>645</v>
      </c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85" t="s">
        <v>435</v>
      </c>
      <c r="B346" s="101" t="s">
        <v>436</v>
      </c>
      <c r="C346" s="13" t="str">
        <f t="shared" si="1"/>
        <v>PF1500-202 - Handle Hole</v>
      </c>
      <c r="D346" s="102">
        <v>12.0</v>
      </c>
      <c r="E346" s="26" t="s">
        <v>624</v>
      </c>
      <c r="F346" s="26" t="s">
        <v>649</v>
      </c>
      <c r="G346" s="104">
        <v>100.0</v>
      </c>
      <c r="H346" s="102">
        <v>100000.0</v>
      </c>
      <c r="I346" s="102">
        <v>10000.0</v>
      </c>
      <c r="J346" s="102" t="s">
        <v>645</v>
      </c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85" t="s">
        <v>435</v>
      </c>
      <c r="B347" s="101" t="s">
        <v>436</v>
      </c>
      <c r="C347" s="13" t="str">
        <f t="shared" si="1"/>
        <v>PF1500-202 - Bottom Hole</v>
      </c>
      <c r="D347" s="102">
        <v>13.0</v>
      </c>
      <c r="E347" s="26" t="s">
        <v>626</v>
      </c>
      <c r="F347" s="26" t="s">
        <v>649</v>
      </c>
      <c r="G347" s="104">
        <v>50.0</v>
      </c>
      <c r="H347" s="102">
        <v>100000.0</v>
      </c>
      <c r="I347" s="102">
        <v>10000.0</v>
      </c>
      <c r="J347" s="102" t="s">
        <v>645</v>
      </c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85" t="s">
        <v>435</v>
      </c>
      <c r="B348" s="101" t="s">
        <v>436</v>
      </c>
      <c r="C348" s="13" t="str">
        <f t="shared" si="1"/>
        <v>PF1500-202 - Flow Breaker</v>
      </c>
      <c r="D348" s="102">
        <v>14.0</v>
      </c>
      <c r="E348" s="26" t="s">
        <v>628</v>
      </c>
      <c r="F348" s="26" t="s">
        <v>649</v>
      </c>
      <c r="G348" s="104">
        <v>87.0</v>
      </c>
      <c r="H348" s="102">
        <v>100000.0</v>
      </c>
      <c r="I348" s="102">
        <v>10000.0</v>
      </c>
      <c r="J348" s="102" t="s">
        <v>645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85" t="s">
        <v>435</v>
      </c>
      <c r="B349" s="101" t="s">
        <v>436</v>
      </c>
      <c r="C349" s="13" t="str">
        <f t="shared" si="1"/>
        <v>PF1500-202 - Final Cleaning</v>
      </c>
      <c r="D349" s="102">
        <v>15.0</v>
      </c>
      <c r="E349" s="26" t="s">
        <v>627</v>
      </c>
      <c r="F349" s="13"/>
      <c r="G349" s="105"/>
      <c r="H349" s="102">
        <v>100000.0</v>
      </c>
      <c r="I349" s="102">
        <v>10000.0</v>
      </c>
      <c r="J349" s="102" t="s">
        <v>645</v>
      </c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85" t="s">
        <v>435</v>
      </c>
      <c r="B350" s="101" t="s">
        <v>436</v>
      </c>
      <c r="C350" s="13" t="str">
        <f t="shared" si="1"/>
        <v>PF1500-202 - QC</v>
      </c>
      <c r="D350" s="102">
        <v>16.0</v>
      </c>
      <c r="E350" s="26" t="s">
        <v>629</v>
      </c>
      <c r="F350" s="13"/>
      <c r="G350" s="105"/>
      <c r="H350" s="102">
        <v>100000.0</v>
      </c>
      <c r="I350" s="102">
        <v>10000.0</v>
      </c>
      <c r="J350" s="102" t="s">
        <v>645</v>
      </c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85" t="s">
        <v>435</v>
      </c>
      <c r="B351" s="101" t="s">
        <v>436</v>
      </c>
      <c r="C351" s="13" t="str">
        <f t="shared" si="1"/>
        <v>PF1500-202 - Packaging</v>
      </c>
      <c r="D351" s="102">
        <v>17.0</v>
      </c>
      <c r="E351" s="26" t="s">
        <v>631</v>
      </c>
      <c r="F351" s="13"/>
      <c r="G351" s="105"/>
      <c r="H351" s="102">
        <v>100000.0</v>
      </c>
      <c r="I351" s="102">
        <v>10000.0</v>
      </c>
      <c r="J351" s="102" t="s">
        <v>645</v>
      </c>
      <c r="K351" s="26" t="s">
        <v>651</v>
      </c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85" t="s">
        <v>437</v>
      </c>
      <c r="B352" s="101" t="s">
        <v>438</v>
      </c>
      <c r="C352" s="13" t="str">
        <f t="shared" si="1"/>
        <v>PF1000-202 - Circle Cutting</v>
      </c>
      <c r="D352" s="102">
        <v>1.0</v>
      </c>
      <c r="E352" s="26" t="s">
        <v>604</v>
      </c>
      <c r="F352" s="26" t="s">
        <v>644</v>
      </c>
      <c r="G352" s="103">
        <f>49</f>
        <v>49</v>
      </c>
      <c r="H352" s="102">
        <v>100000.0</v>
      </c>
      <c r="I352" s="102">
        <v>10000.0</v>
      </c>
      <c r="J352" s="102" t="s">
        <v>645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85" t="s">
        <v>437</v>
      </c>
      <c r="B353" s="101" t="s">
        <v>438</v>
      </c>
      <c r="C353" s="13" t="str">
        <f t="shared" si="1"/>
        <v>PF1000-202 - Pressing 1</v>
      </c>
      <c r="D353" s="102">
        <v>2.0</v>
      </c>
      <c r="E353" s="26" t="s">
        <v>605</v>
      </c>
      <c r="F353" s="26" t="s">
        <v>646</v>
      </c>
      <c r="G353" s="104">
        <v>10.0</v>
      </c>
      <c r="H353" s="102">
        <v>100000.0</v>
      </c>
      <c r="I353" s="102">
        <v>10000.0</v>
      </c>
      <c r="J353" s="102" t="s">
        <v>645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85" t="s">
        <v>437</v>
      </c>
      <c r="B354" s="101" t="s">
        <v>438</v>
      </c>
      <c r="C354" s="13" t="str">
        <f t="shared" si="1"/>
        <v>PF1000-202 - Spinning - Direct</v>
      </c>
      <c r="D354" s="102">
        <v>3.0</v>
      </c>
      <c r="E354" s="26" t="s">
        <v>607</v>
      </c>
      <c r="F354" s="26" t="s">
        <v>647</v>
      </c>
      <c r="G354" s="104">
        <v>3.0</v>
      </c>
      <c r="H354" s="102">
        <v>100000.0</v>
      </c>
      <c r="I354" s="102">
        <v>10000.0</v>
      </c>
      <c r="J354" s="102" t="s">
        <v>645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85" t="s">
        <v>437</v>
      </c>
      <c r="B355" s="101" t="s">
        <v>438</v>
      </c>
      <c r="C355" s="13" t="str">
        <f t="shared" si="1"/>
        <v>PF1000-202 - Cutting</v>
      </c>
      <c r="D355" s="102">
        <v>4.0</v>
      </c>
      <c r="E355" s="26" t="s">
        <v>609</v>
      </c>
      <c r="F355" s="26" t="s">
        <v>648</v>
      </c>
      <c r="G355" s="104">
        <v>6.0</v>
      </c>
      <c r="H355" s="102">
        <v>100000.0</v>
      </c>
      <c r="I355" s="102">
        <v>10000.0</v>
      </c>
      <c r="J355" s="102" t="s">
        <v>645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85" t="s">
        <v>437</v>
      </c>
      <c r="B356" s="101" t="s">
        <v>438</v>
      </c>
      <c r="C356" s="13" t="str">
        <f t="shared" si="1"/>
        <v>PF1000-202 - Patti Polishing</v>
      </c>
      <c r="D356" s="102">
        <v>5.0</v>
      </c>
      <c r="E356" s="26" t="s">
        <v>613</v>
      </c>
      <c r="F356" s="26" t="s">
        <v>650</v>
      </c>
      <c r="G356" s="105"/>
      <c r="H356" s="102">
        <v>100000.0</v>
      </c>
      <c r="I356" s="102">
        <v>10000.0</v>
      </c>
      <c r="J356" s="102" t="s">
        <v>645</v>
      </c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85" t="s">
        <v>437</v>
      </c>
      <c r="B357" s="101" t="s">
        <v>438</v>
      </c>
      <c r="C357" s="13" t="str">
        <f t="shared" si="1"/>
        <v>PF1000-202 - Patti Fatka</v>
      </c>
      <c r="D357" s="102">
        <v>6.0</v>
      </c>
      <c r="E357" s="26" t="s">
        <v>616</v>
      </c>
      <c r="F357" s="26" t="s">
        <v>649</v>
      </c>
      <c r="G357" s="104">
        <v>33.0</v>
      </c>
      <c r="H357" s="102">
        <v>100000.0</v>
      </c>
      <c r="I357" s="102">
        <v>10000.0</v>
      </c>
      <c r="J357" s="102" t="s">
        <v>645</v>
      </c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85" t="s">
        <v>437</v>
      </c>
      <c r="B358" s="101" t="s">
        <v>438</v>
      </c>
      <c r="C358" s="13" t="str">
        <f t="shared" si="1"/>
        <v>PF1000-202 - Polishing</v>
      </c>
      <c r="D358" s="102">
        <v>7.0</v>
      </c>
      <c r="E358" s="26" t="s">
        <v>619</v>
      </c>
      <c r="F358" s="26" t="s">
        <v>650</v>
      </c>
      <c r="G358" s="105"/>
      <c r="H358" s="102">
        <v>100000.0</v>
      </c>
      <c r="I358" s="102">
        <v>10000.0</v>
      </c>
      <c r="J358" s="102" t="s">
        <v>645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85" t="s">
        <v>437</v>
      </c>
      <c r="B359" s="101" t="s">
        <v>438</v>
      </c>
      <c r="C359" s="13" t="str">
        <f t="shared" si="1"/>
        <v>PF1000-202 - Rework</v>
      </c>
      <c r="D359" s="102">
        <v>8.0</v>
      </c>
      <c r="E359" s="26" t="s">
        <v>621</v>
      </c>
      <c r="F359" s="26" t="s">
        <v>650</v>
      </c>
      <c r="G359" s="105"/>
      <c r="H359" s="102">
        <v>100000.0</v>
      </c>
      <c r="I359" s="102">
        <v>10000.0</v>
      </c>
      <c r="J359" s="102" t="s">
        <v>645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85" t="s">
        <v>437</v>
      </c>
      <c r="B360" s="101" t="s">
        <v>438</v>
      </c>
      <c r="C360" s="13" t="str">
        <f t="shared" si="1"/>
        <v>PF1000-202 - Cleaning</v>
      </c>
      <c r="D360" s="102">
        <v>9.0</v>
      </c>
      <c r="E360" s="26" t="s">
        <v>622</v>
      </c>
      <c r="F360" s="13"/>
      <c r="G360" s="105"/>
      <c r="H360" s="102">
        <v>100000.0</v>
      </c>
      <c r="I360" s="102">
        <v>10000.0</v>
      </c>
      <c r="J360" s="102" t="s">
        <v>645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85" t="s">
        <v>437</v>
      </c>
      <c r="B361" s="101" t="s">
        <v>438</v>
      </c>
      <c r="C361" s="13" t="str">
        <f t="shared" si="1"/>
        <v>PF1000-202 - Handle Hole</v>
      </c>
      <c r="D361" s="102">
        <v>10.0</v>
      </c>
      <c r="E361" s="26" t="s">
        <v>624</v>
      </c>
      <c r="F361" s="26" t="s">
        <v>649</v>
      </c>
      <c r="G361" s="104">
        <v>100.0</v>
      </c>
      <c r="H361" s="102">
        <v>100000.0</v>
      </c>
      <c r="I361" s="102">
        <v>10000.0</v>
      </c>
      <c r="J361" s="102" t="s">
        <v>645</v>
      </c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85" t="s">
        <v>437</v>
      </c>
      <c r="B362" s="101" t="s">
        <v>438</v>
      </c>
      <c r="C362" s="13" t="str">
        <f t="shared" si="1"/>
        <v>PF1000-202 - Bottom Hole</v>
      </c>
      <c r="D362" s="102">
        <v>11.0</v>
      </c>
      <c r="E362" s="26" t="s">
        <v>626</v>
      </c>
      <c r="F362" s="26" t="s">
        <v>649</v>
      </c>
      <c r="G362" s="104">
        <v>50.0</v>
      </c>
      <c r="H362" s="102">
        <v>100000.0</v>
      </c>
      <c r="I362" s="102">
        <v>10000.0</v>
      </c>
      <c r="J362" s="102" t="s">
        <v>645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85" t="s">
        <v>437</v>
      </c>
      <c r="B363" s="101" t="s">
        <v>438</v>
      </c>
      <c r="C363" s="13" t="str">
        <f t="shared" si="1"/>
        <v>PF1000-202 - Flow Breaker</v>
      </c>
      <c r="D363" s="102">
        <v>12.0</v>
      </c>
      <c r="E363" s="26" t="s">
        <v>628</v>
      </c>
      <c r="F363" s="26" t="s">
        <v>649</v>
      </c>
      <c r="G363" s="104">
        <v>87.0</v>
      </c>
      <c r="H363" s="102">
        <v>100000.0</v>
      </c>
      <c r="I363" s="102">
        <v>10000.0</v>
      </c>
      <c r="J363" s="102" t="s">
        <v>645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85" t="s">
        <v>437</v>
      </c>
      <c r="B364" s="101" t="s">
        <v>438</v>
      </c>
      <c r="C364" s="13" t="str">
        <f t="shared" si="1"/>
        <v>PF1000-202 - Final Cleaning</v>
      </c>
      <c r="D364" s="102">
        <v>13.0</v>
      </c>
      <c r="E364" s="26" t="s">
        <v>627</v>
      </c>
      <c r="F364" s="13"/>
      <c r="G364" s="105"/>
      <c r="H364" s="102">
        <v>100000.0</v>
      </c>
      <c r="I364" s="102">
        <v>10000.0</v>
      </c>
      <c r="J364" s="102" t="s">
        <v>645</v>
      </c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85" t="s">
        <v>437</v>
      </c>
      <c r="B365" s="101" t="s">
        <v>438</v>
      </c>
      <c r="C365" s="13" t="str">
        <f t="shared" si="1"/>
        <v>PF1000-202 - QC</v>
      </c>
      <c r="D365" s="102">
        <v>14.0</v>
      </c>
      <c r="E365" s="26" t="s">
        <v>629</v>
      </c>
      <c r="F365" s="13"/>
      <c r="G365" s="105"/>
      <c r="H365" s="102">
        <v>100000.0</v>
      </c>
      <c r="I365" s="102">
        <v>10000.0</v>
      </c>
      <c r="J365" s="102" t="s">
        <v>645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85" t="s">
        <v>437</v>
      </c>
      <c r="B366" s="101" t="s">
        <v>438</v>
      </c>
      <c r="C366" s="13" t="str">
        <f t="shared" si="1"/>
        <v>PF1000-202 - Packaging</v>
      </c>
      <c r="D366" s="102">
        <v>15.0</v>
      </c>
      <c r="E366" s="26" t="s">
        <v>631</v>
      </c>
      <c r="F366" s="13"/>
      <c r="G366" s="105"/>
      <c r="H366" s="102">
        <v>100000.0</v>
      </c>
      <c r="I366" s="102">
        <v>10000.0</v>
      </c>
      <c r="J366" s="102" t="s">
        <v>645</v>
      </c>
      <c r="K366" s="26" t="s">
        <v>651</v>
      </c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85" t="s">
        <v>439</v>
      </c>
      <c r="B367" s="101" t="s">
        <v>440</v>
      </c>
      <c r="C367" s="13" t="str">
        <f t="shared" si="1"/>
        <v>PF0600-202 - Circle Cutting</v>
      </c>
      <c r="D367" s="102">
        <v>1.0</v>
      </c>
      <c r="E367" s="26" t="s">
        <v>604</v>
      </c>
      <c r="F367" s="26" t="s">
        <v>644</v>
      </c>
      <c r="G367" s="103">
        <f>49</f>
        <v>49</v>
      </c>
      <c r="H367" s="102">
        <v>100000.0</v>
      </c>
      <c r="I367" s="102">
        <v>10000.0</v>
      </c>
      <c r="J367" s="102" t="s">
        <v>645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85" t="s">
        <v>439</v>
      </c>
      <c r="B368" s="101" t="s">
        <v>440</v>
      </c>
      <c r="C368" s="13" t="str">
        <f t="shared" si="1"/>
        <v>PF0600-202 - Pressing 1</v>
      </c>
      <c r="D368" s="102">
        <v>2.0</v>
      </c>
      <c r="E368" s="26" t="s">
        <v>605</v>
      </c>
      <c r="F368" s="26" t="s">
        <v>646</v>
      </c>
      <c r="G368" s="104">
        <v>10.0</v>
      </c>
      <c r="H368" s="102">
        <v>100000.0</v>
      </c>
      <c r="I368" s="102">
        <v>10000.0</v>
      </c>
      <c r="J368" s="102" t="s">
        <v>645</v>
      </c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85" t="s">
        <v>439</v>
      </c>
      <c r="B369" s="101" t="s">
        <v>440</v>
      </c>
      <c r="C369" s="13" t="str">
        <f t="shared" si="1"/>
        <v>PF0600-202 - Spinning - Direct</v>
      </c>
      <c r="D369" s="102">
        <v>3.0</v>
      </c>
      <c r="E369" s="26" t="s">
        <v>607</v>
      </c>
      <c r="F369" s="26" t="s">
        <v>647</v>
      </c>
      <c r="G369" s="104">
        <v>3.0</v>
      </c>
      <c r="H369" s="102">
        <v>100000.0</v>
      </c>
      <c r="I369" s="102">
        <v>10000.0</v>
      </c>
      <c r="J369" s="102" t="s">
        <v>645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85" t="s">
        <v>439</v>
      </c>
      <c r="B370" s="101" t="s">
        <v>440</v>
      </c>
      <c r="C370" s="13" t="str">
        <f t="shared" si="1"/>
        <v>PF0600-202 - Cutting</v>
      </c>
      <c r="D370" s="102">
        <v>4.0</v>
      </c>
      <c r="E370" s="26" t="s">
        <v>609</v>
      </c>
      <c r="F370" s="26" t="s">
        <v>648</v>
      </c>
      <c r="G370" s="104">
        <v>6.0</v>
      </c>
      <c r="H370" s="102">
        <v>100000.0</v>
      </c>
      <c r="I370" s="102">
        <v>10000.0</v>
      </c>
      <c r="J370" s="102" t="s">
        <v>645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85" t="s">
        <v>439</v>
      </c>
      <c r="B371" s="101" t="s">
        <v>440</v>
      </c>
      <c r="C371" s="13" t="str">
        <f t="shared" si="1"/>
        <v>PF0600-202 - Patti Polishing</v>
      </c>
      <c r="D371" s="102">
        <v>5.0</v>
      </c>
      <c r="E371" s="26" t="s">
        <v>613</v>
      </c>
      <c r="F371" s="26" t="s">
        <v>650</v>
      </c>
      <c r="G371" s="105"/>
      <c r="H371" s="102">
        <v>100000.0</v>
      </c>
      <c r="I371" s="102">
        <v>10000.0</v>
      </c>
      <c r="J371" s="102" t="s">
        <v>645</v>
      </c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85" t="s">
        <v>439</v>
      </c>
      <c r="B372" s="101" t="s">
        <v>440</v>
      </c>
      <c r="C372" s="13" t="str">
        <f t="shared" si="1"/>
        <v>PF0600-202 - Patti Fatka</v>
      </c>
      <c r="D372" s="102">
        <v>6.0</v>
      </c>
      <c r="E372" s="26" t="s">
        <v>616</v>
      </c>
      <c r="F372" s="26" t="s">
        <v>649</v>
      </c>
      <c r="G372" s="104">
        <v>33.0</v>
      </c>
      <c r="H372" s="102">
        <v>100000.0</v>
      </c>
      <c r="I372" s="102">
        <v>10000.0</v>
      </c>
      <c r="J372" s="102" t="s">
        <v>645</v>
      </c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85" t="s">
        <v>439</v>
      </c>
      <c r="B373" s="101" t="s">
        <v>440</v>
      </c>
      <c r="C373" s="13" t="str">
        <f t="shared" si="1"/>
        <v>PF0600-202 - Polishing</v>
      </c>
      <c r="D373" s="102">
        <v>7.0</v>
      </c>
      <c r="E373" s="26" t="s">
        <v>619</v>
      </c>
      <c r="F373" s="26" t="s">
        <v>650</v>
      </c>
      <c r="G373" s="105"/>
      <c r="H373" s="102">
        <v>100000.0</v>
      </c>
      <c r="I373" s="102">
        <v>10000.0</v>
      </c>
      <c r="J373" s="102" t="s">
        <v>645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85" t="s">
        <v>439</v>
      </c>
      <c r="B374" s="101" t="s">
        <v>440</v>
      </c>
      <c r="C374" s="13" t="str">
        <f t="shared" si="1"/>
        <v>PF0600-202 - Rework</v>
      </c>
      <c r="D374" s="102">
        <v>8.0</v>
      </c>
      <c r="E374" s="26" t="s">
        <v>621</v>
      </c>
      <c r="F374" s="26" t="s">
        <v>650</v>
      </c>
      <c r="G374" s="105"/>
      <c r="H374" s="102">
        <v>100000.0</v>
      </c>
      <c r="I374" s="102">
        <v>10000.0</v>
      </c>
      <c r="J374" s="102" t="s">
        <v>645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85" t="s">
        <v>439</v>
      </c>
      <c r="B375" s="101" t="s">
        <v>440</v>
      </c>
      <c r="C375" s="13" t="str">
        <f t="shared" si="1"/>
        <v>PF0600-202 - Cleaning</v>
      </c>
      <c r="D375" s="102">
        <v>9.0</v>
      </c>
      <c r="E375" s="26" t="s">
        <v>622</v>
      </c>
      <c r="F375" s="13"/>
      <c r="G375" s="105"/>
      <c r="H375" s="102">
        <v>100000.0</v>
      </c>
      <c r="I375" s="102">
        <v>10000.0</v>
      </c>
      <c r="J375" s="102" t="s">
        <v>645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85" t="s">
        <v>439</v>
      </c>
      <c r="B376" s="101" t="s">
        <v>440</v>
      </c>
      <c r="C376" s="13" t="str">
        <f t="shared" si="1"/>
        <v>PF0600-202 - Handle Hole</v>
      </c>
      <c r="D376" s="102">
        <v>10.0</v>
      </c>
      <c r="E376" s="26" t="s">
        <v>624</v>
      </c>
      <c r="F376" s="26" t="s">
        <v>649</v>
      </c>
      <c r="G376" s="104">
        <v>100.0</v>
      </c>
      <c r="H376" s="102">
        <v>100000.0</v>
      </c>
      <c r="I376" s="102">
        <v>10000.0</v>
      </c>
      <c r="J376" s="102" t="s">
        <v>645</v>
      </c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85" t="s">
        <v>439</v>
      </c>
      <c r="B377" s="101" t="s">
        <v>440</v>
      </c>
      <c r="C377" s="13" t="str">
        <f t="shared" si="1"/>
        <v>PF0600-202 - Bottom Hole</v>
      </c>
      <c r="D377" s="102">
        <v>11.0</v>
      </c>
      <c r="E377" s="26" t="s">
        <v>626</v>
      </c>
      <c r="F377" s="26" t="s">
        <v>649</v>
      </c>
      <c r="G377" s="104">
        <v>50.0</v>
      </c>
      <c r="H377" s="102">
        <v>100000.0</v>
      </c>
      <c r="I377" s="102">
        <v>10000.0</v>
      </c>
      <c r="J377" s="102" t="s">
        <v>645</v>
      </c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85" t="s">
        <v>439</v>
      </c>
      <c r="B378" s="101" t="s">
        <v>440</v>
      </c>
      <c r="C378" s="13" t="str">
        <f t="shared" si="1"/>
        <v>PF0600-202 - Final Cleaning</v>
      </c>
      <c r="D378" s="102">
        <v>12.0</v>
      </c>
      <c r="E378" s="26" t="s">
        <v>627</v>
      </c>
      <c r="F378" s="13"/>
      <c r="G378" s="105"/>
      <c r="H378" s="102">
        <v>100000.0</v>
      </c>
      <c r="I378" s="102">
        <v>10000.0</v>
      </c>
      <c r="J378" s="102" t="s">
        <v>645</v>
      </c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85" t="s">
        <v>439</v>
      </c>
      <c r="B379" s="101" t="s">
        <v>440</v>
      </c>
      <c r="C379" s="13" t="str">
        <f t="shared" si="1"/>
        <v>PF0600-202 - QC</v>
      </c>
      <c r="D379" s="102">
        <v>13.0</v>
      </c>
      <c r="E379" s="26" t="s">
        <v>629</v>
      </c>
      <c r="F379" s="13"/>
      <c r="G379" s="105"/>
      <c r="H379" s="102">
        <v>100000.0</v>
      </c>
      <c r="I379" s="102">
        <v>10000.0</v>
      </c>
      <c r="J379" s="102" t="s">
        <v>645</v>
      </c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85" t="s">
        <v>439</v>
      </c>
      <c r="B380" s="101" t="s">
        <v>440</v>
      </c>
      <c r="C380" s="13" t="str">
        <f t="shared" si="1"/>
        <v>PF0600-202 - Packaging</v>
      </c>
      <c r="D380" s="102">
        <v>14.0</v>
      </c>
      <c r="E380" s="26" t="s">
        <v>631</v>
      </c>
      <c r="F380" s="13"/>
      <c r="G380" s="105"/>
      <c r="H380" s="102">
        <v>100000.0</v>
      </c>
      <c r="I380" s="102">
        <v>10000.0</v>
      </c>
      <c r="J380" s="102" t="s">
        <v>645</v>
      </c>
      <c r="K380" s="26" t="s">
        <v>651</v>
      </c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85" t="s">
        <v>471</v>
      </c>
      <c r="B381" s="101" t="s">
        <v>472</v>
      </c>
      <c r="C381" s="13" t="str">
        <f t="shared" si="1"/>
        <v>ND1500-204 - Circle Cutting</v>
      </c>
      <c r="D381" s="102">
        <v>1.0</v>
      </c>
      <c r="E381" s="13" t="s">
        <v>604</v>
      </c>
      <c r="F381" s="26" t="s">
        <v>644</v>
      </c>
      <c r="G381" s="105"/>
      <c r="H381" s="102">
        <v>100000.0</v>
      </c>
      <c r="I381" s="102">
        <v>10000.0</v>
      </c>
      <c r="J381" s="102" t="s">
        <v>645</v>
      </c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85" t="s">
        <v>471</v>
      </c>
      <c r="B382" s="101" t="s">
        <v>472</v>
      </c>
      <c r="C382" s="13" t="str">
        <f t="shared" si="1"/>
        <v>ND1500-204 - Pressing 1</v>
      </c>
      <c r="D382" s="102">
        <v>2.0</v>
      </c>
      <c r="E382" s="13" t="s">
        <v>605</v>
      </c>
      <c r="F382" s="26" t="s">
        <v>646</v>
      </c>
      <c r="G382" s="104">
        <v>10.0</v>
      </c>
      <c r="H382" s="102">
        <v>100000.0</v>
      </c>
      <c r="I382" s="102">
        <v>10000.0</v>
      </c>
      <c r="J382" s="102" t="s">
        <v>645</v>
      </c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85" t="s">
        <v>471</v>
      </c>
      <c r="B383" s="101" t="s">
        <v>472</v>
      </c>
      <c r="C383" s="13" t="str">
        <f t="shared" si="1"/>
        <v>ND1500-204 - Spinning - Direct</v>
      </c>
      <c r="D383" s="102">
        <v>3.0</v>
      </c>
      <c r="E383" s="13" t="s">
        <v>607</v>
      </c>
      <c r="F383" s="26" t="s">
        <v>647</v>
      </c>
      <c r="G383" s="104">
        <v>3.0</v>
      </c>
      <c r="H383" s="102">
        <v>100000.0</v>
      </c>
      <c r="I383" s="102">
        <v>10000.0</v>
      </c>
      <c r="J383" s="102" t="s">
        <v>645</v>
      </c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85" t="s">
        <v>471</v>
      </c>
      <c r="B384" s="101" t="s">
        <v>472</v>
      </c>
      <c r="C384" s="13" t="str">
        <f t="shared" si="1"/>
        <v>ND1500-204 - Radius Fatka</v>
      </c>
      <c r="D384" s="102">
        <v>4.0</v>
      </c>
      <c r="E384" s="13" t="s">
        <v>611</v>
      </c>
      <c r="F384" s="26" t="s">
        <v>649</v>
      </c>
      <c r="G384" s="105"/>
      <c r="H384" s="102">
        <v>100000.0</v>
      </c>
      <c r="I384" s="102">
        <v>10000.0</v>
      </c>
      <c r="J384" s="102" t="s">
        <v>645</v>
      </c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85" t="s">
        <v>471</v>
      </c>
      <c r="B385" s="101" t="s">
        <v>472</v>
      </c>
      <c r="C385" s="13" t="str">
        <f t="shared" si="1"/>
        <v>ND1500-204 - Cutting</v>
      </c>
      <c r="D385" s="102">
        <v>5.0</v>
      </c>
      <c r="E385" s="13" t="s">
        <v>609</v>
      </c>
      <c r="F385" s="26" t="s">
        <v>648</v>
      </c>
      <c r="G385" s="104">
        <v>9.0</v>
      </c>
      <c r="H385" s="102">
        <v>100000.0</v>
      </c>
      <c r="I385" s="102">
        <v>10000.0</v>
      </c>
      <c r="J385" s="102" t="s">
        <v>645</v>
      </c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85" t="s">
        <v>471</v>
      </c>
      <c r="B386" s="101" t="s">
        <v>472</v>
      </c>
      <c r="C386" s="13" t="str">
        <f t="shared" si="1"/>
        <v>ND1500-204 - Gobaa</v>
      </c>
      <c r="D386" s="102">
        <v>6.0</v>
      </c>
      <c r="E386" s="13" t="s">
        <v>612</v>
      </c>
      <c r="F386" s="26" t="s">
        <v>649</v>
      </c>
      <c r="G386" s="104">
        <v>35.0</v>
      </c>
      <c r="H386" s="102">
        <v>100000.0</v>
      </c>
      <c r="I386" s="102">
        <v>10000.0</v>
      </c>
      <c r="J386" s="102" t="s">
        <v>645</v>
      </c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85" t="s">
        <v>471</v>
      </c>
      <c r="B387" s="101" t="s">
        <v>472</v>
      </c>
      <c r="C387" s="13" t="str">
        <f t="shared" si="1"/>
        <v>ND1500-204 - Pre Buffing</v>
      </c>
      <c r="D387" s="102">
        <v>7.0</v>
      </c>
      <c r="E387" s="26" t="s">
        <v>617</v>
      </c>
      <c r="F387" s="26" t="s">
        <v>650</v>
      </c>
      <c r="G387" s="105"/>
      <c r="H387" s="102">
        <v>100000.0</v>
      </c>
      <c r="I387" s="102">
        <v>10000.0</v>
      </c>
      <c r="J387" s="102" t="s">
        <v>645</v>
      </c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85" t="s">
        <v>471</v>
      </c>
      <c r="B388" s="101" t="s">
        <v>472</v>
      </c>
      <c r="C388" s="13" t="str">
        <f t="shared" si="1"/>
        <v>ND1500-204 - Polishing</v>
      </c>
      <c r="D388" s="102">
        <v>8.0</v>
      </c>
      <c r="E388" s="13" t="s">
        <v>619</v>
      </c>
      <c r="F388" s="26" t="s">
        <v>650</v>
      </c>
      <c r="G388" s="105"/>
      <c r="H388" s="102">
        <v>100000.0</v>
      </c>
      <c r="I388" s="102">
        <v>10000.0</v>
      </c>
      <c r="J388" s="102" t="s">
        <v>645</v>
      </c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85" t="s">
        <v>471</v>
      </c>
      <c r="B389" s="101" t="s">
        <v>472</v>
      </c>
      <c r="C389" s="13" t="str">
        <f t="shared" si="1"/>
        <v>ND1500-204 - Cleaning</v>
      </c>
      <c r="D389" s="102">
        <v>9.0</v>
      </c>
      <c r="E389" s="13" t="s">
        <v>622</v>
      </c>
      <c r="F389" s="13"/>
      <c r="G389" s="105"/>
      <c r="H389" s="102">
        <v>100000.0</v>
      </c>
      <c r="I389" s="102">
        <v>10000.0</v>
      </c>
      <c r="J389" s="102" t="s">
        <v>645</v>
      </c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85" t="s">
        <v>471</v>
      </c>
      <c r="B390" s="101" t="s">
        <v>472</v>
      </c>
      <c r="C390" s="13" t="str">
        <f t="shared" si="1"/>
        <v>ND1500-204 - Handle Hole</v>
      </c>
      <c r="D390" s="102">
        <v>10.0</v>
      </c>
      <c r="E390" s="13" t="s">
        <v>624</v>
      </c>
      <c r="F390" s="26" t="s">
        <v>649</v>
      </c>
      <c r="G390" s="104">
        <v>100.0</v>
      </c>
      <c r="H390" s="102">
        <v>100000.0</v>
      </c>
      <c r="I390" s="102">
        <v>10000.0</v>
      </c>
      <c r="J390" s="102" t="s">
        <v>645</v>
      </c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85" t="s">
        <v>471</v>
      </c>
      <c r="B391" s="101" t="s">
        <v>472</v>
      </c>
      <c r="C391" s="13" t="str">
        <f t="shared" si="1"/>
        <v>ND1500-204 - Bottom Hole</v>
      </c>
      <c r="D391" s="102">
        <v>11.0</v>
      </c>
      <c r="E391" s="13" t="s">
        <v>626</v>
      </c>
      <c r="F391" s="26" t="s">
        <v>649</v>
      </c>
      <c r="G391" s="104">
        <v>50.0</v>
      </c>
      <c r="H391" s="102">
        <v>100000.0</v>
      </c>
      <c r="I391" s="102">
        <v>10000.0</v>
      </c>
      <c r="J391" s="102" t="s">
        <v>645</v>
      </c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85" t="s">
        <v>471</v>
      </c>
      <c r="B392" s="101" t="s">
        <v>472</v>
      </c>
      <c r="C392" s="13" t="str">
        <f t="shared" si="1"/>
        <v>ND1500-204 - Flow Breaker</v>
      </c>
      <c r="D392" s="102">
        <v>12.0</v>
      </c>
      <c r="E392" s="13" t="s">
        <v>628</v>
      </c>
      <c r="F392" s="26" t="s">
        <v>649</v>
      </c>
      <c r="G392" s="104">
        <v>87.0</v>
      </c>
      <c r="H392" s="102">
        <v>100000.0</v>
      </c>
      <c r="I392" s="102">
        <v>10000.0</v>
      </c>
      <c r="J392" s="102" t="s">
        <v>645</v>
      </c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85" t="s">
        <v>471</v>
      </c>
      <c r="B393" s="101" t="s">
        <v>472</v>
      </c>
      <c r="C393" s="13" t="str">
        <f t="shared" si="1"/>
        <v>ND1500-204 - Final Cleaning</v>
      </c>
      <c r="D393" s="102">
        <v>13.0</v>
      </c>
      <c r="E393" s="13" t="s">
        <v>627</v>
      </c>
      <c r="F393" s="13"/>
      <c r="G393" s="105"/>
      <c r="H393" s="102">
        <v>100000.0</v>
      </c>
      <c r="I393" s="102">
        <v>10000.0</v>
      </c>
      <c r="J393" s="102" t="s">
        <v>645</v>
      </c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85" t="s">
        <v>471</v>
      </c>
      <c r="B394" s="101" t="s">
        <v>472</v>
      </c>
      <c r="C394" s="13" t="str">
        <f t="shared" si="1"/>
        <v>ND1500-204 - QC</v>
      </c>
      <c r="D394" s="102">
        <v>14.0</v>
      </c>
      <c r="E394" s="13" t="s">
        <v>629</v>
      </c>
      <c r="F394" s="13"/>
      <c r="G394" s="105"/>
      <c r="H394" s="102">
        <v>100000.0</v>
      </c>
      <c r="I394" s="102">
        <v>10000.0</v>
      </c>
      <c r="J394" s="102" t="s">
        <v>645</v>
      </c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85" t="s">
        <v>471</v>
      </c>
      <c r="B395" s="101" t="s">
        <v>472</v>
      </c>
      <c r="C395" s="13" t="str">
        <f t="shared" si="1"/>
        <v>ND1500-204 - Packaging</v>
      </c>
      <c r="D395" s="102">
        <v>15.0</v>
      </c>
      <c r="E395" s="13" t="s">
        <v>631</v>
      </c>
      <c r="F395" s="13"/>
      <c r="G395" s="105"/>
      <c r="H395" s="102">
        <v>100000.0</v>
      </c>
      <c r="I395" s="102">
        <v>10000.0</v>
      </c>
      <c r="J395" s="102" t="s">
        <v>645</v>
      </c>
      <c r="K395" s="26" t="s">
        <v>651</v>
      </c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85" t="s">
        <v>473</v>
      </c>
      <c r="B396" s="101" t="s">
        <v>474</v>
      </c>
      <c r="C396" s="13" t="str">
        <f t="shared" si="1"/>
        <v>NF1000-204 - Circle Cutting</v>
      </c>
      <c r="D396" s="102">
        <v>1.0</v>
      </c>
      <c r="E396" s="13" t="s">
        <v>604</v>
      </c>
      <c r="F396" s="26" t="s">
        <v>644</v>
      </c>
      <c r="G396" s="105"/>
      <c r="H396" s="102">
        <v>100000.0</v>
      </c>
      <c r="I396" s="102">
        <v>10000.0</v>
      </c>
      <c r="J396" s="102" t="s">
        <v>645</v>
      </c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85" t="s">
        <v>473</v>
      </c>
      <c r="B397" s="101" t="s">
        <v>474</v>
      </c>
      <c r="C397" s="13" t="str">
        <f t="shared" si="1"/>
        <v>NF1000-204 - Pressing 1</v>
      </c>
      <c r="D397" s="102">
        <v>2.0</v>
      </c>
      <c r="E397" s="13" t="s">
        <v>605</v>
      </c>
      <c r="F397" s="26" t="s">
        <v>646</v>
      </c>
      <c r="G397" s="104">
        <v>10.0</v>
      </c>
      <c r="H397" s="102">
        <v>100000.0</v>
      </c>
      <c r="I397" s="102">
        <v>10000.0</v>
      </c>
      <c r="J397" s="102" t="s">
        <v>645</v>
      </c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85" t="s">
        <v>473</v>
      </c>
      <c r="B398" s="101" t="s">
        <v>474</v>
      </c>
      <c r="C398" s="13" t="str">
        <f t="shared" si="1"/>
        <v>NF1000-204 - Spinning - Direct</v>
      </c>
      <c r="D398" s="102">
        <v>3.0</v>
      </c>
      <c r="E398" s="13" t="s">
        <v>607</v>
      </c>
      <c r="F398" s="26" t="s">
        <v>647</v>
      </c>
      <c r="G398" s="104">
        <v>3.0</v>
      </c>
      <c r="H398" s="102">
        <v>100000.0</v>
      </c>
      <c r="I398" s="102">
        <v>10000.0</v>
      </c>
      <c r="J398" s="102" t="s">
        <v>645</v>
      </c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85" t="s">
        <v>473</v>
      </c>
      <c r="B399" s="101" t="s">
        <v>474</v>
      </c>
      <c r="C399" s="13" t="str">
        <f t="shared" si="1"/>
        <v>NF1000-204 - Radius Fatka</v>
      </c>
      <c r="D399" s="102">
        <v>4.0</v>
      </c>
      <c r="E399" s="13" t="s">
        <v>611</v>
      </c>
      <c r="F399" s="26" t="s">
        <v>649</v>
      </c>
      <c r="G399" s="105"/>
      <c r="H399" s="102">
        <v>100000.0</v>
      </c>
      <c r="I399" s="102">
        <v>10000.0</v>
      </c>
      <c r="J399" s="102" t="s">
        <v>645</v>
      </c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85" t="s">
        <v>473</v>
      </c>
      <c r="B400" s="101" t="s">
        <v>474</v>
      </c>
      <c r="C400" s="13" t="str">
        <f t="shared" si="1"/>
        <v>NF1000-204 - Cutting</v>
      </c>
      <c r="D400" s="102">
        <v>5.0</v>
      </c>
      <c r="E400" s="13" t="s">
        <v>609</v>
      </c>
      <c r="F400" s="26" t="s">
        <v>648</v>
      </c>
      <c r="G400" s="104">
        <v>9.0</v>
      </c>
      <c r="H400" s="102">
        <v>100000.0</v>
      </c>
      <c r="I400" s="102">
        <v>10000.0</v>
      </c>
      <c r="J400" s="102" t="s">
        <v>645</v>
      </c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85" t="s">
        <v>473</v>
      </c>
      <c r="B401" s="101" t="s">
        <v>474</v>
      </c>
      <c r="C401" s="13" t="str">
        <f t="shared" si="1"/>
        <v>NF1000-204 - Gobaa</v>
      </c>
      <c r="D401" s="102">
        <v>6.0</v>
      </c>
      <c r="E401" s="13" t="s">
        <v>612</v>
      </c>
      <c r="F401" s="26" t="s">
        <v>649</v>
      </c>
      <c r="G401" s="104">
        <v>35.0</v>
      </c>
      <c r="H401" s="102">
        <v>100000.0</v>
      </c>
      <c r="I401" s="102">
        <v>10000.0</v>
      </c>
      <c r="J401" s="102" t="s">
        <v>645</v>
      </c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85" t="s">
        <v>473</v>
      </c>
      <c r="B402" s="101" t="s">
        <v>474</v>
      </c>
      <c r="C402" s="13" t="str">
        <f t="shared" si="1"/>
        <v>NF1000-204 - Pre Buffing</v>
      </c>
      <c r="D402" s="102">
        <v>7.0</v>
      </c>
      <c r="E402" s="26" t="s">
        <v>617</v>
      </c>
      <c r="F402" s="26" t="s">
        <v>650</v>
      </c>
      <c r="G402" s="105"/>
      <c r="H402" s="102">
        <v>100000.0</v>
      </c>
      <c r="I402" s="102">
        <v>10000.0</v>
      </c>
      <c r="J402" s="102" t="s">
        <v>645</v>
      </c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85" t="s">
        <v>473</v>
      </c>
      <c r="B403" s="101" t="s">
        <v>474</v>
      </c>
      <c r="C403" s="13" t="str">
        <f t="shared" si="1"/>
        <v>NF1000-204 - Polishing</v>
      </c>
      <c r="D403" s="102">
        <v>8.0</v>
      </c>
      <c r="E403" s="13" t="s">
        <v>619</v>
      </c>
      <c r="F403" s="26" t="s">
        <v>650</v>
      </c>
      <c r="G403" s="105"/>
      <c r="H403" s="102">
        <v>100000.0</v>
      </c>
      <c r="I403" s="102">
        <v>10000.0</v>
      </c>
      <c r="J403" s="102" t="s">
        <v>645</v>
      </c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85" t="s">
        <v>473</v>
      </c>
      <c r="B404" s="101" t="s">
        <v>474</v>
      </c>
      <c r="C404" s="13" t="str">
        <f t="shared" si="1"/>
        <v>NF1000-204 - Cleaning</v>
      </c>
      <c r="D404" s="102">
        <v>9.0</v>
      </c>
      <c r="E404" s="13" t="s">
        <v>622</v>
      </c>
      <c r="F404" s="13"/>
      <c r="G404" s="105"/>
      <c r="H404" s="102">
        <v>100000.0</v>
      </c>
      <c r="I404" s="102">
        <v>10000.0</v>
      </c>
      <c r="J404" s="102" t="s">
        <v>645</v>
      </c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85" t="s">
        <v>473</v>
      </c>
      <c r="B405" s="101" t="s">
        <v>474</v>
      </c>
      <c r="C405" s="13" t="str">
        <f t="shared" si="1"/>
        <v>NF1000-204 - Handle Hole</v>
      </c>
      <c r="D405" s="102">
        <v>10.0</v>
      </c>
      <c r="E405" s="13" t="s">
        <v>624</v>
      </c>
      <c r="F405" s="26" t="s">
        <v>649</v>
      </c>
      <c r="G405" s="104">
        <v>100.0</v>
      </c>
      <c r="H405" s="102">
        <v>100000.0</v>
      </c>
      <c r="I405" s="102">
        <v>10000.0</v>
      </c>
      <c r="J405" s="102" t="s">
        <v>645</v>
      </c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85" t="s">
        <v>473</v>
      </c>
      <c r="B406" s="101" t="s">
        <v>474</v>
      </c>
      <c r="C406" s="13" t="str">
        <f t="shared" si="1"/>
        <v>NF1000-204 - Bottom Hole</v>
      </c>
      <c r="D406" s="102">
        <v>11.0</v>
      </c>
      <c r="E406" s="13" t="s">
        <v>626</v>
      </c>
      <c r="F406" s="26" t="s">
        <v>649</v>
      </c>
      <c r="G406" s="104">
        <v>50.0</v>
      </c>
      <c r="H406" s="102">
        <v>100000.0</v>
      </c>
      <c r="I406" s="102">
        <v>10000.0</v>
      </c>
      <c r="J406" s="102" t="s">
        <v>645</v>
      </c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85" t="s">
        <v>473</v>
      </c>
      <c r="B407" s="101" t="s">
        <v>474</v>
      </c>
      <c r="C407" s="13" t="str">
        <f t="shared" si="1"/>
        <v>NF1000-204 - Flow Breaker</v>
      </c>
      <c r="D407" s="102">
        <v>12.0</v>
      </c>
      <c r="E407" s="13" t="s">
        <v>628</v>
      </c>
      <c r="F407" s="26" t="s">
        <v>649</v>
      </c>
      <c r="G407" s="104">
        <v>87.0</v>
      </c>
      <c r="H407" s="102">
        <v>100000.0</v>
      </c>
      <c r="I407" s="102">
        <v>10000.0</v>
      </c>
      <c r="J407" s="102" t="s">
        <v>645</v>
      </c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85" t="s">
        <v>473</v>
      </c>
      <c r="B408" s="101" t="s">
        <v>474</v>
      </c>
      <c r="C408" s="13" t="str">
        <f t="shared" si="1"/>
        <v>NF1000-204 - Final Cleaning</v>
      </c>
      <c r="D408" s="102">
        <v>13.0</v>
      </c>
      <c r="E408" s="13" t="s">
        <v>627</v>
      </c>
      <c r="F408" s="13"/>
      <c r="G408" s="105"/>
      <c r="H408" s="102">
        <v>100000.0</v>
      </c>
      <c r="I408" s="102">
        <v>10000.0</v>
      </c>
      <c r="J408" s="102" t="s">
        <v>645</v>
      </c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85" t="s">
        <v>473</v>
      </c>
      <c r="B409" s="101" t="s">
        <v>474</v>
      </c>
      <c r="C409" s="13" t="str">
        <f t="shared" si="1"/>
        <v>NF1000-204 - QC</v>
      </c>
      <c r="D409" s="102">
        <v>14.0</v>
      </c>
      <c r="E409" s="13" t="s">
        <v>629</v>
      </c>
      <c r="F409" s="13"/>
      <c r="G409" s="105"/>
      <c r="H409" s="102">
        <v>100000.0</v>
      </c>
      <c r="I409" s="102">
        <v>10000.0</v>
      </c>
      <c r="J409" s="102" t="s">
        <v>645</v>
      </c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85" t="s">
        <v>473</v>
      </c>
      <c r="B410" s="101" t="s">
        <v>474</v>
      </c>
      <c r="C410" s="13" t="str">
        <f t="shared" si="1"/>
        <v>NF1000-204 - Packaging</v>
      </c>
      <c r="D410" s="102">
        <v>15.0</v>
      </c>
      <c r="E410" s="13" t="s">
        <v>631</v>
      </c>
      <c r="F410" s="13"/>
      <c r="G410" s="105"/>
      <c r="H410" s="102">
        <v>100000.0</v>
      </c>
      <c r="I410" s="102">
        <v>10000.0</v>
      </c>
      <c r="J410" s="102" t="s">
        <v>645</v>
      </c>
      <c r="K410" s="26" t="s">
        <v>651</v>
      </c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85" t="s">
        <v>475</v>
      </c>
      <c r="B411" s="101" t="s">
        <v>476</v>
      </c>
      <c r="C411" s="13" t="str">
        <f t="shared" si="1"/>
        <v>NC0400-204 - Circle Cutting</v>
      </c>
      <c r="D411" s="102">
        <v>1.0</v>
      </c>
      <c r="E411" s="13" t="s">
        <v>604</v>
      </c>
      <c r="F411" s="26" t="s">
        <v>644</v>
      </c>
      <c r="G411" s="105"/>
      <c r="H411" s="102">
        <v>100000.0</v>
      </c>
      <c r="I411" s="102">
        <v>10000.0</v>
      </c>
      <c r="J411" s="102" t="s">
        <v>645</v>
      </c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85" t="s">
        <v>475</v>
      </c>
      <c r="B412" s="101" t="s">
        <v>476</v>
      </c>
      <c r="C412" s="13" t="str">
        <f t="shared" si="1"/>
        <v>NC0400-204 - Pressing 1</v>
      </c>
      <c r="D412" s="102">
        <v>2.0</v>
      </c>
      <c r="E412" s="13" t="s">
        <v>605</v>
      </c>
      <c r="F412" s="26" t="s">
        <v>646</v>
      </c>
      <c r="G412" s="104">
        <v>10.0</v>
      </c>
      <c r="H412" s="102">
        <v>100000.0</v>
      </c>
      <c r="I412" s="102">
        <v>10000.0</v>
      </c>
      <c r="J412" s="102" t="s">
        <v>645</v>
      </c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85" t="s">
        <v>475</v>
      </c>
      <c r="B413" s="101" t="s">
        <v>476</v>
      </c>
      <c r="C413" s="13" t="str">
        <f t="shared" si="1"/>
        <v>NC0400-204 - Spinning - Direct</v>
      </c>
      <c r="D413" s="102">
        <v>3.0</v>
      </c>
      <c r="E413" s="13" t="s">
        <v>607</v>
      </c>
      <c r="F413" s="26" t="s">
        <v>647</v>
      </c>
      <c r="G413" s="104">
        <v>3.0</v>
      </c>
      <c r="H413" s="102">
        <v>100000.0</v>
      </c>
      <c r="I413" s="102">
        <v>10000.0</v>
      </c>
      <c r="J413" s="102" t="s">
        <v>645</v>
      </c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85" t="s">
        <v>475</v>
      </c>
      <c r="B414" s="101" t="s">
        <v>476</v>
      </c>
      <c r="C414" s="13" t="str">
        <f t="shared" si="1"/>
        <v>NC0400-204 - Radius Fatka</v>
      </c>
      <c r="D414" s="102">
        <v>4.0</v>
      </c>
      <c r="E414" s="13" t="s">
        <v>611</v>
      </c>
      <c r="F414" s="26" t="s">
        <v>649</v>
      </c>
      <c r="G414" s="105"/>
      <c r="H414" s="102">
        <v>100000.0</v>
      </c>
      <c r="I414" s="102">
        <v>10000.0</v>
      </c>
      <c r="J414" s="102" t="s">
        <v>645</v>
      </c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85" t="s">
        <v>475</v>
      </c>
      <c r="B415" s="101" t="s">
        <v>476</v>
      </c>
      <c r="C415" s="13" t="str">
        <f t="shared" si="1"/>
        <v>NC0400-204 - Cutting</v>
      </c>
      <c r="D415" s="102">
        <v>5.0</v>
      </c>
      <c r="E415" s="13" t="s">
        <v>609</v>
      </c>
      <c r="F415" s="26" t="s">
        <v>648</v>
      </c>
      <c r="G415" s="104">
        <v>9.0</v>
      </c>
      <c r="H415" s="102">
        <v>100000.0</v>
      </c>
      <c r="I415" s="102">
        <v>10000.0</v>
      </c>
      <c r="J415" s="102" t="s">
        <v>645</v>
      </c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85" t="s">
        <v>475</v>
      </c>
      <c r="B416" s="101" t="s">
        <v>476</v>
      </c>
      <c r="C416" s="13" t="str">
        <f t="shared" si="1"/>
        <v>NC0400-204 - Pre Buffing</v>
      </c>
      <c r="D416" s="102">
        <v>6.0</v>
      </c>
      <c r="E416" s="26" t="s">
        <v>617</v>
      </c>
      <c r="F416" s="26" t="s">
        <v>650</v>
      </c>
      <c r="G416" s="105"/>
      <c r="H416" s="102">
        <v>100000.0</v>
      </c>
      <c r="I416" s="102">
        <v>10000.0</v>
      </c>
      <c r="J416" s="102" t="s">
        <v>645</v>
      </c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85" t="s">
        <v>475</v>
      </c>
      <c r="B417" s="101" t="s">
        <v>476</v>
      </c>
      <c r="C417" s="13" t="str">
        <f t="shared" si="1"/>
        <v>NC0400-204 - Polishing</v>
      </c>
      <c r="D417" s="102">
        <v>7.0</v>
      </c>
      <c r="E417" s="13" t="s">
        <v>619</v>
      </c>
      <c r="F417" s="26" t="s">
        <v>650</v>
      </c>
      <c r="G417" s="105"/>
      <c r="H417" s="102">
        <v>100000.0</v>
      </c>
      <c r="I417" s="102">
        <v>10000.0</v>
      </c>
      <c r="J417" s="102" t="s">
        <v>645</v>
      </c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85" t="s">
        <v>475</v>
      </c>
      <c r="B418" s="101" t="s">
        <v>476</v>
      </c>
      <c r="C418" s="13" t="str">
        <f t="shared" si="1"/>
        <v>NC0400-204 - Cleaning</v>
      </c>
      <c r="D418" s="102">
        <v>8.0</v>
      </c>
      <c r="E418" s="13" t="s">
        <v>622</v>
      </c>
      <c r="F418" s="13"/>
      <c r="G418" s="105"/>
      <c r="H418" s="102">
        <v>100000.0</v>
      </c>
      <c r="I418" s="102">
        <v>10000.0</v>
      </c>
      <c r="J418" s="102" t="s">
        <v>645</v>
      </c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85" t="s">
        <v>475</v>
      </c>
      <c r="B419" s="101" t="s">
        <v>476</v>
      </c>
      <c r="C419" s="13" t="str">
        <f t="shared" si="1"/>
        <v>NC0400-204 - Handle Hole</v>
      </c>
      <c r="D419" s="102">
        <v>9.0</v>
      </c>
      <c r="E419" s="13" t="s">
        <v>624</v>
      </c>
      <c r="F419" s="26" t="s">
        <v>649</v>
      </c>
      <c r="G419" s="104">
        <v>100.0</v>
      </c>
      <c r="H419" s="102">
        <v>100000.0</v>
      </c>
      <c r="I419" s="102">
        <v>10000.0</v>
      </c>
      <c r="J419" s="102" t="s">
        <v>645</v>
      </c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85" t="s">
        <v>475</v>
      </c>
      <c r="B420" s="101" t="s">
        <v>476</v>
      </c>
      <c r="C420" s="13" t="str">
        <f t="shared" si="1"/>
        <v>NC0400-204 - Bottom Hole</v>
      </c>
      <c r="D420" s="102">
        <v>10.0</v>
      </c>
      <c r="E420" s="13" t="s">
        <v>626</v>
      </c>
      <c r="F420" s="26" t="s">
        <v>649</v>
      </c>
      <c r="G420" s="104">
        <v>50.0</v>
      </c>
      <c r="H420" s="102">
        <v>100000.0</v>
      </c>
      <c r="I420" s="102">
        <v>10000.0</v>
      </c>
      <c r="J420" s="102" t="s">
        <v>645</v>
      </c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85" t="s">
        <v>475</v>
      </c>
      <c r="B421" s="101" t="s">
        <v>476</v>
      </c>
      <c r="C421" s="13" t="str">
        <f t="shared" si="1"/>
        <v>NC0400-204 - Final Cleaning</v>
      </c>
      <c r="D421" s="102">
        <v>11.0</v>
      </c>
      <c r="E421" s="13" t="s">
        <v>627</v>
      </c>
      <c r="F421" s="13"/>
      <c r="G421" s="105"/>
      <c r="H421" s="102">
        <v>100000.0</v>
      </c>
      <c r="I421" s="102">
        <v>10000.0</v>
      </c>
      <c r="J421" s="102" t="s">
        <v>645</v>
      </c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85" t="s">
        <v>475</v>
      </c>
      <c r="B422" s="101" t="s">
        <v>476</v>
      </c>
      <c r="C422" s="13" t="str">
        <f t="shared" si="1"/>
        <v>NC0400-204 - QC</v>
      </c>
      <c r="D422" s="102">
        <v>12.0</v>
      </c>
      <c r="E422" s="13" t="s">
        <v>629</v>
      </c>
      <c r="F422" s="13"/>
      <c r="G422" s="105"/>
      <c r="H422" s="102">
        <v>100000.0</v>
      </c>
      <c r="I422" s="102">
        <v>10000.0</v>
      </c>
      <c r="J422" s="102" t="s">
        <v>645</v>
      </c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85" t="s">
        <v>475</v>
      </c>
      <c r="B423" s="101" t="s">
        <v>476</v>
      </c>
      <c r="C423" s="13" t="str">
        <f t="shared" si="1"/>
        <v>NC0400-204 - Packaging</v>
      </c>
      <c r="D423" s="102">
        <v>13.0</v>
      </c>
      <c r="E423" s="13" t="s">
        <v>631</v>
      </c>
      <c r="F423" s="13"/>
      <c r="G423" s="105"/>
      <c r="H423" s="102">
        <v>100000.0</v>
      </c>
      <c r="I423" s="102">
        <v>10000.0</v>
      </c>
      <c r="J423" s="102" t="s">
        <v>645</v>
      </c>
      <c r="K423" s="26" t="s">
        <v>651</v>
      </c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85" t="s">
        <v>493</v>
      </c>
      <c r="B424" s="101" t="s">
        <v>494</v>
      </c>
      <c r="C424" s="13" t="str">
        <f t="shared" si="1"/>
        <v>BO2000-202 - Circle Cutting</v>
      </c>
      <c r="D424" s="102">
        <v>1.0</v>
      </c>
      <c r="E424" s="13" t="s">
        <v>604</v>
      </c>
      <c r="F424" s="26" t="s">
        <v>644</v>
      </c>
      <c r="G424" s="105"/>
      <c r="H424" s="102">
        <v>100000.0</v>
      </c>
      <c r="I424" s="102">
        <v>10000.0</v>
      </c>
      <c r="J424" s="102" t="s">
        <v>645</v>
      </c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85" t="s">
        <v>493</v>
      </c>
      <c r="B425" s="101" t="s">
        <v>494</v>
      </c>
      <c r="C425" s="13" t="str">
        <f t="shared" si="1"/>
        <v>BO2000-202 - Pressing 1</v>
      </c>
      <c r="D425" s="102">
        <v>2.0</v>
      </c>
      <c r="E425" s="13" t="s">
        <v>605</v>
      </c>
      <c r="F425" s="26" t="s">
        <v>646</v>
      </c>
      <c r="G425" s="104">
        <v>10.0</v>
      </c>
      <c r="H425" s="102">
        <v>100000.0</v>
      </c>
      <c r="I425" s="102">
        <v>10000.0</v>
      </c>
      <c r="J425" s="102" t="s">
        <v>645</v>
      </c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85" t="s">
        <v>493</v>
      </c>
      <c r="B426" s="101" t="s">
        <v>494</v>
      </c>
      <c r="C426" s="13" t="str">
        <f t="shared" si="1"/>
        <v>BO2000-202 - Spinning - Dab</v>
      </c>
      <c r="D426" s="102">
        <v>3.0</v>
      </c>
      <c r="E426" s="13" t="s">
        <v>608</v>
      </c>
      <c r="F426" s="26" t="s">
        <v>647</v>
      </c>
      <c r="G426" s="104">
        <v>3.0</v>
      </c>
      <c r="H426" s="102">
        <v>100000.0</v>
      </c>
      <c r="I426" s="102">
        <v>10000.0</v>
      </c>
      <c r="J426" s="102" t="s">
        <v>645</v>
      </c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85" t="s">
        <v>493</v>
      </c>
      <c r="B427" s="101" t="s">
        <v>494</v>
      </c>
      <c r="C427" s="13" t="str">
        <f t="shared" si="1"/>
        <v>BO2000-202 - Spinning - Final</v>
      </c>
      <c r="D427" s="102">
        <v>4.0</v>
      </c>
      <c r="E427" s="13" t="s">
        <v>610</v>
      </c>
      <c r="F427" s="26" t="s">
        <v>647</v>
      </c>
      <c r="G427" s="104">
        <v>3.0</v>
      </c>
      <c r="H427" s="102">
        <v>100000.0</v>
      </c>
      <c r="I427" s="102">
        <v>10000.0</v>
      </c>
      <c r="J427" s="102" t="s">
        <v>645</v>
      </c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85" t="s">
        <v>493</v>
      </c>
      <c r="B428" s="101" t="s">
        <v>494</v>
      </c>
      <c r="C428" s="13" t="str">
        <f t="shared" si="1"/>
        <v>BO2000-202 - Cutting</v>
      </c>
      <c r="D428" s="102">
        <v>5.0</v>
      </c>
      <c r="E428" s="13" t="s">
        <v>609</v>
      </c>
      <c r="F428" s="26" t="s">
        <v>648</v>
      </c>
      <c r="G428" s="104">
        <v>9.0</v>
      </c>
      <c r="H428" s="102">
        <v>100000.0</v>
      </c>
      <c r="I428" s="102">
        <v>10000.0</v>
      </c>
      <c r="J428" s="102" t="s">
        <v>645</v>
      </c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85" t="s">
        <v>493</v>
      </c>
      <c r="B429" s="101" t="s">
        <v>494</v>
      </c>
      <c r="C429" s="13" t="str">
        <f t="shared" si="1"/>
        <v>BO2000-202 - Sizing</v>
      </c>
      <c r="D429" s="102">
        <v>6.0</v>
      </c>
      <c r="E429" s="13" t="s">
        <v>615</v>
      </c>
      <c r="F429" s="13"/>
      <c r="G429" s="104">
        <v>17.0</v>
      </c>
      <c r="H429" s="102">
        <v>100000.0</v>
      </c>
      <c r="I429" s="102">
        <v>10000.0</v>
      </c>
      <c r="J429" s="102" t="s">
        <v>645</v>
      </c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85" t="s">
        <v>493</v>
      </c>
      <c r="B430" s="101" t="s">
        <v>494</v>
      </c>
      <c r="C430" s="13" t="str">
        <f t="shared" si="1"/>
        <v>BO2000-202 - Pre Buffing</v>
      </c>
      <c r="D430" s="102">
        <v>7.0</v>
      </c>
      <c r="E430" s="26" t="s">
        <v>617</v>
      </c>
      <c r="F430" s="26" t="s">
        <v>650</v>
      </c>
      <c r="G430" s="105"/>
      <c r="H430" s="102">
        <v>100000.0</v>
      </c>
      <c r="I430" s="102">
        <v>10000.0</v>
      </c>
      <c r="J430" s="102" t="s">
        <v>645</v>
      </c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85" t="s">
        <v>493</v>
      </c>
      <c r="B431" s="101" t="s">
        <v>494</v>
      </c>
      <c r="C431" s="13" t="str">
        <f t="shared" si="1"/>
        <v>BO2000-202 - Polishing</v>
      </c>
      <c r="D431" s="102">
        <v>8.0</v>
      </c>
      <c r="E431" s="13" t="s">
        <v>619</v>
      </c>
      <c r="F431" s="26" t="s">
        <v>650</v>
      </c>
      <c r="G431" s="105"/>
      <c r="H431" s="102">
        <v>100000.0</v>
      </c>
      <c r="I431" s="102">
        <v>10000.0</v>
      </c>
      <c r="J431" s="102" t="s">
        <v>645</v>
      </c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85" t="s">
        <v>493</v>
      </c>
      <c r="B432" s="101" t="s">
        <v>494</v>
      </c>
      <c r="C432" s="13" t="str">
        <f t="shared" si="1"/>
        <v>BO2000-202 - Top Oval Cutting</v>
      </c>
      <c r="D432" s="102">
        <v>9.0</v>
      </c>
      <c r="E432" s="13" t="s">
        <v>623</v>
      </c>
      <c r="F432" s="13"/>
      <c r="G432" s="105"/>
      <c r="H432" s="102">
        <v>100000.0</v>
      </c>
      <c r="I432" s="102">
        <v>10000.0</v>
      </c>
      <c r="J432" s="102" t="s">
        <v>645</v>
      </c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85" t="s">
        <v>493</v>
      </c>
      <c r="B433" s="101" t="s">
        <v>494</v>
      </c>
      <c r="C433" s="13" t="str">
        <f t="shared" si="1"/>
        <v>BO2000-202 - Deburring</v>
      </c>
      <c r="D433" s="102">
        <v>10.0</v>
      </c>
      <c r="E433" s="26" t="s">
        <v>625</v>
      </c>
      <c r="F433" s="13"/>
      <c r="G433" s="105"/>
      <c r="H433" s="102">
        <v>100000.0</v>
      </c>
      <c r="I433" s="102">
        <v>10000.0</v>
      </c>
      <c r="J433" s="102" t="s">
        <v>645</v>
      </c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85" t="s">
        <v>493</v>
      </c>
      <c r="B434" s="101" t="s">
        <v>494</v>
      </c>
      <c r="C434" s="13" t="str">
        <f t="shared" si="1"/>
        <v>BO2000-202 - Rework</v>
      </c>
      <c r="D434" s="102">
        <v>11.0</v>
      </c>
      <c r="E434" s="26" t="s">
        <v>621</v>
      </c>
      <c r="F434" s="13"/>
      <c r="G434" s="105"/>
      <c r="H434" s="102">
        <v>100000.0</v>
      </c>
      <c r="I434" s="102">
        <v>10000.0</v>
      </c>
      <c r="J434" s="102" t="s">
        <v>645</v>
      </c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85" t="s">
        <v>493</v>
      </c>
      <c r="B435" s="101" t="s">
        <v>494</v>
      </c>
      <c r="C435" s="13" t="str">
        <f t="shared" si="1"/>
        <v>BO2000-202 - Cleaning</v>
      </c>
      <c r="D435" s="102">
        <v>12.0</v>
      </c>
      <c r="E435" s="13" t="s">
        <v>622</v>
      </c>
      <c r="F435" s="13"/>
      <c r="G435" s="105"/>
      <c r="H435" s="102">
        <v>100000.0</v>
      </c>
      <c r="I435" s="102">
        <v>10000.0</v>
      </c>
      <c r="J435" s="102" t="s">
        <v>645</v>
      </c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85" t="s">
        <v>493</v>
      </c>
      <c r="B436" s="101" t="s">
        <v>494</v>
      </c>
      <c r="C436" s="13" t="str">
        <f t="shared" si="1"/>
        <v>BO2000-202 - Handle Hole</v>
      </c>
      <c r="D436" s="102">
        <v>13.0</v>
      </c>
      <c r="E436" s="13" t="s">
        <v>624</v>
      </c>
      <c r="F436" s="26" t="s">
        <v>649</v>
      </c>
      <c r="G436" s="104">
        <v>100.0</v>
      </c>
      <c r="H436" s="102">
        <v>100000.0</v>
      </c>
      <c r="I436" s="102">
        <v>10000.0</v>
      </c>
      <c r="J436" s="102" t="s">
        <v>645</v>
      </c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85" t="s">
        <v>493</v>
      </c>
      <c r="B437" s="101" t="s">
        <v>494</v>
      </c>
      <c r="C437" s="13" t="str">
        <f t="shared" si="1"/>
        <v>BO2000-202 - Bottom Hole</v>
      </c>
      <c r="D437" s="102">
        <v>14.0</v>
      </c>
      <c r="E437" s="13" t="s">
        <v>626</v>
      </c>
      <c r="F437" s="26" t="s">
        <v>649</v>
      </c>
      <c r="G437" s="104">
        <v>50.0</v>
      </c>
      <c r="H437" s="102">
        <v>100000.0</v>
      </c>
      <c r="I437" s="102">
        <v>10000.0</v>
      </c>
      <c r="J437" s="102" t="s">
        <v>645</v>
      </c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85" t="s">
        <v>493</v>
      </c>
      <c r="B438" s="101" t="s">
        <v>494</v>
      </c>
      <c r="C438" s="13" t="str">
        <f t="shared" si="1"/>
        <v>BO2000-202 - Final Cleaning</v>
      </c>
      <c r="D438" s="102">
        <v>15.0</v>
      </c>
      <c r="E438" s="13" t="s">
        <v>627</v>
      </c>
      <c r="F438" s="13"/>
      <c r="G438" s="105"/>
      <c r="H438" s="102">
        <v>100000.0</v>
      </c>
      <c r="I438" s="102">
        <v>10000.0</v>
      </c>
      <c r="J438" s="102" t="s">
        <v>645</v>
      </c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85" t="s">
        <v>493</v>
      </c>
      <c r="B439" s="101" t="s">
        <v>494</v>
      </c>
      <c r="C439" s="13" t="str">
        <f t="shared" si="1"/>
        <v>BO2000-202 - QC</v>
      </c>
      <c r="D439" s="102">
        <v>16.0</v>
      </c>
      <c r="E439" s="13" t="s">
        <v>629</v>
      </c>
      <c r="F439" s="13"/>
      <c r="G439" s="105"/>
      <c r="H439" s="102">
        <v>100000.0</v>
      </c>
      <c r="I439" s="102">
        <v>10000.0</v>
      </c>
      <c r="J439" s="102" t="s">
        <v>645</v>
      </c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85" t="s">
        <v>493</v>
      </c>
      <c r="B440" s="101" t="s">
        <v>494</v>
      </c>
      <c r="C440" s="13" t="str">
        <f t="shared" si="1"/>
        <v>BO2000-202 - Packaging</v>
      </c>
      <c r="D440" s="102">
        <v>17.0</v>
      </c>
      <c r="E440" s="13" t="s">
        <v>631</v>
      </c>
      <c r="F440" s="13"/>
      <c r="G440" s="105"/>
      <c r="H440" s="102">
        <v>100000.0</v>
      </c>
      <c r="I440" s="102">
        <v>10000.0</v>
      </c>
      <c r="J440" s="102" t="s">
        <v>645</v>
      </c>
      <c r="K440" s="26" t="s">
        <v>651</v>
      </c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85" t="s">
        <v>495</v>
      </c>
      <c r="B441" s="101" t="s">
        <v>496</v>
      </c>
      <c r="C441" s="13" t="str">
        <f t="shared" si="1"/>
        <v>TB1500-204 - Circle Cutting</v>
      </c>
      <c r="D441" s="102">
        <v>1.0</v>
      </c>
      <c r="E441" s="26" t="s">
        <v>604</v>
      </c>
      <c r="F441" s="26" t="s">
        <v>644</v>
      </c>
      <c r="G441" s="105"/>
      <c r="H441" s="102">
        <v>100000.0</v>
      </c>
      <c r="I441" s="102">
        <v>10000.0</v>
      </c>
      <c r="J441" s="102" t="s">
        <v>645</v>
      </c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85" t="s">
        <v>495</v>
      </c>
      <c r="B442" s="101" t="s">
        <v>496</v>
      </c>
      <c r="C442" s="13" t="str">
        <f t="shared" si="1"/>
        <v>TB1500-204 - Pressing 1</v>
      </c>
      <c r="D442" s="102">
        <v>2.0</v>
      </c>
      <c r="E442" s="26" t="s">
        <v>605</v>
      </c>
      <c r="F442" s="26" t="s">
        <v>646</v>
      </c>
      <c r="G442" s="104">
        <v>10.0</v>
      </c>
      <c r="H442" s="102">
        <v>100000.0</v>
      </c>
      <c r="I442" s="102">
        <v>10000.0</v>
      </c>
      <c r="J442" s="102" t="s">
        <v>645</v>
      </c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85" t="s">
        <v>495</v>
      </c>
      <c r="B443" s="101" t="s">
        <v>496</v>
      </c>
      <c r="C443" s="13" t="str">
        <f t="shared" si="1"/>
        <v>TB1500-204 - Spinning - Dab</v>
      </c>
      <c r="D443" s="102">
        <v>3.0</v>
      </c>
      <c r="E443" s="26" t="s">
        <v>608</v>
      </c>
      <c r="F443" s="26" t="s">
        <v>647</v>
      </c>
      <c r="G443" s="104">
        <v>3.0</v>
      </c>
      <c r="H443" s="102">
        <v>100000.0</v>
      </c>
      <c r="I443" s="102">
        <v>10000.0</v>
      </c>
      <c r="J443" s="102" t="s">
        <v>645</v>
      </c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85" t="s">
        <v>495</v>
      </c>
      <c r="B444" s="101" t="s">
        <v>496</v>
      </c>
      <c r="C444" s="13" t="str">
        <f t="shared" si="1"/>
        <v>TB1500-204 - Spinning - Final</v>
      </c>
      <c r="D444" s="102">
        <v>4.0</v>
      </c>
      <c r="E444" s="26" t="s">
        <v>610</v>
      </c>
      <c r="F444" s="26" t="s">
        <v>647</v>
      </c>
      <c r="G444" s="104">
        <v>3.0</v>
      </c>
      <c r="H444" s="102">
        <v>100000.0</v>
      </c>
      <c r="I444" s="102">
        <v>10000.0</v>
      </c>
      <c r="J444" s="102" t="s">
        <v>645</v>
      </c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85" t="s">
        <v>495</v>
      </c>
      <c r="B445" s="101" t="s">
        <v>496</v>
      </c>
      <c r="C445" s="13" t="str">
        <f t="shared" si="1"/>
        <v>TB1500-204 - Cutting</v>
      </c>
      <c r="D445" s="102">
        <v>5.0</v>
      </c>
      <c r="E445" s="26" t="s">
        <v>609</v>
      </c>
      <c r="F445" s="26" t="s">
        <v>648</v>
      </c>
      <c r="G445" s="104">
        <v>6.0</v>
      </c>
      <c r="H445" s="102">
        <v>100000.0</v>
      </c>
      <c r="I445" s="102">
        <v>10000.0</v>
      </c>
      <c r="J445" s="102" t="s">
        <v>645</v>
      </c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85" t="s">
        <v>495</v>
      </c>
      <c r="B446" s="101" t="s">
        <v>496</v>
      </c>
      <c r="C446" s="13" t="str">
        <f t="shared" si="1"/>
        <v>TB1500-204 - Gobaa</v>
      </c>
      <c r="D446" s="102">
        <v>6.0</v>
      </c>
      <c r="E446" s="26" t="s">
        <v>612</v>
      </c>
      <c r="F446" s="26" t="s">
        <v>649</v>
      </c>
      <c r="G446" s="104">
        <v>35.0</v>
      </c>
      <c r="H446" s="102">
        <v>100000.0</v>
      </c>
      <c r="I446" s="102">
        <v>10000.0</v>
      </c>
      <c r="J446" s="102" t="s">
        <v>645</v>
      </c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85" t="s">
        <v>495</v>
      </c>
      <c r="B447" s="101" t="s">
        <v>496</v>
      </c>
      <c r="C447" s="13" t="str">
        <f t="shared" si="1"/>
        <v>TB1500-204 - Bidding</v>
      </c>
      <c r="D447" s="102">
        <v>7.0</v>
      </c>
      <c r="E447" s="26" t="s">
        <v>618</v>
      </c>
      <c r="F447" s="13"/>
      <c r="G447" s="105"/>
      <c r="H447" s="102">
        <v>100000.0</v>
      </c>
      <c r="I447" s="102">
        <v>10000.0</v>
      </c>
      <c r="J447" s="102" t="s">
        <v>645</v>
      </c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85" t="s">
        <v>495</v>
      </c>
      <c r="B448" s="101" t="s">
        <v>496</v>
      </c>
      <c r="C448" s="13" t="str">
        <f t="shared" si="1"/>
        <v>TB1500-204 - Cross Fatka</v>
      </c>
      <c r="D448" s="102">
        <v>8.0</v>
      </c>
      <c r="E448" s="26" t="s">
        <v>614</v>
      </c>
      <c r="F448" s="26" t="s">
        <v>652</v>
      </c>
      <c r="G448" s="104">
        <v>17.0</v>
      </c>
      <c r="H448" s="102">
        <v>100000.0</v>
      </c>
      <c r="I448" s="102">
        <v>10000.0</v>
      </c>
      <c r="J448" s="102" t="s">
        <v>645</v>
      </c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85" t="s">
        <v>495</v>
      </c>
      <c r="B449" s="101" t="s">
        <v>496</v>
      </c>
      <c r="C449" s="13" t="str">
        <f t="shared" si="1"/>
        <v>TB1500-204 - Polishing</v>
      </c>
      <c r="D449" s="102">
        <v>9.0</v>
      </c>
      <c r="E449" s="26" t="s">
        <v>619</v>
      </c>
      <c r="F449" s="26" t="s">
        <v>650</v>
      </c>
      <c r="G449" s="105"/>
      <c r="H449" s="102">
        <v>100000.0</v>
      </c>
      <c r="I449" s="102">
        <v>10000.0</v>
      </c>
      <c r="J449" s="102" t="s">
        <v>645</v>
      </c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85" t="s">
        <v>495</v>
      </c>
      <c r="B450" s="101" t="s">
        <v>496</v>
      </c>
      <c r="C450" s="13" t="str">
        <f t="shared" si="1"/>
        <v>TB1500-204 - Rework</v>
      </c>
      <c r="D450" s="102">
        <v>10.0</v>
      </c>
      <c r="E450" s="26" t="s">
        <v>621</v>
      </c>
      <c r="F450" s="26" t="s">
        <v>650</v>
      </c>
      <c r="G450" s="105"/>
      <c r="H450" s="102"/>
      <c r="I450" s="102"/>
      <c r="J450" s="102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85" t="s">
        <v>495</v>
      </c>
      <c r="B451" s="101" t="s">
        <v>496</v>
      </c>
      <c r="C451" s="13" t="str">
        <f t="shared" si="1"/>
        <v>TB1500-204 - Cleaning</v>
      </c>
      <c r="D451" s="102">
        <v>11.0</v>
      </c>
      <c r="E451" s="26" t="s">
        <v>622</v>
      </c>
      <c r="F451" s="13"/>
      <c r="G451" s="105"/>
      <c r="H451" s="102">
        <v>100000.0</v>
      </c>
      <c r="I451" s="102">
        <v>10000.0</v>
      </c>
      <c r="J451" s="102" t="s">
        <v>645</v>
      </c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85" t="s">
        <v>495</v>
      </c>
      <c r="B452" s="101" t="s">
        <v>496</v>
      </c>
      <c r="C452" s="13" t="str">
        <f t="shared" si="1"/>
        <v>TB1500-204 - Handle Hole</v>
      </c>
      <c r="D452" s="102">
        <v>12.0</v>
      </c>
      <c r="E452" s="26" t="s">
        <v>624</v>
      </c>
      <c r="F452" s="26" t="s">
        <v>649</v>
      </c>
      <c r="G452" s="104">
        <v>100.0</v>
      </c>
      <c r="H452" s="102">
        <v>100000.0</v>
      </c>
      <c r="I452" s="102">
        <v>10000.0</v>
      </c>
      <c r="J452" s="102" t="s">
        <v>645</v>
      </c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85" t="s">
        <v>495</v>
      </c>
      <c r="B453" s="101" t="s">
        <v>496</v>
      </c>
      <c r="C453" s="13" t="str">
        <f t="shared" si="1"/>
        <v>TB1500-204 - Bottom Hole</v>
      </c>
      <c r="D453" s="102">
        <v>13.0</v>
      </c>
      <c r="E453" s="26" t="s">
        <v>626</v>
      </c>
      <c r="F453" s="26" t="s">
        <v>649</v>
      </c>
      <c r="G453" s="104">
        <v>50.0</v>
      </c>
      <c r="H453" s="102">
        <v>100000.0</v>
      </c>
      <c r="I453" s="102">
        <v>10000.0</v>
      </c>
      <c r="J453" s="102" t="s">
        <v>645</v>
      </c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85" t="s">
        <v>495</v>
      </c>
      <c r="B454" s="101" t="s">
        <v>496</v>
      </c>
      <c r="C454" s="13" t="str">
        <f t="shared" si="1"/>
        <v>TB1500-204 - Flow Breaker</v>
      </c>
      <c r="D454" s="102">
        <v>14.0</v>
      </c>
      <c r="E454" s="26" t="s">
        <v>628</v>
      </c>
      <c r="F454" s="26" t="s">
        <v>649</v>
      </c>
      <c r="G454" s="104">
        <v>87.0</v>
      </c>
      <c r="H454" s="102">
        <v>100000.0</v>
      </c>
      <c r="I454" s="102">
        <v>10000.0</v>
      </c>
      <c r="J454" s="102" t="s">
        <v>645</v>
      </c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85" t="s">
        <v>495</v>
      </c>
      <c r="B455" s="101" t="s">
        <v>496</v>
      </c>
      <c r="C455" s="13" t="str">
        <f t="shared" si="1"/>
        <v>TB1500-204 - Final Cleaning</v>
      </c>
      <c r="D455" s="102">
        <v>15.0</v>
      </c>
      <c r="E455" s="26" t="s">
        <v>627</v>
      </c>
      <c r="F455" s="13"/>
      <c r="G455" s="105"/>
      <c r="H455" s="102">
        <v>100000.0</v>
      </c>
      <c r="I455" s="102">
        <v>10000.0</v>
      </c>
      <c r="J455" s="102" t="s">
        <v>645</v>
      </c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85" t="s">
        <v>495</v>
      </c>
      <c r="B456" s="101" t="s">
        <v>496</v>
      </c>
      <c r="C456" s="13" t="str">
        <f t="shared" si="1"/>
        <v>TB1500-204 - QC</v>
      </c>
      <c r="D456" s="102">
        <v>16.0</v>
      </c>
      <c r="E456" s="26" t="s">
        <v>629</v>
      </c>
      <c r="F456" s="13"/>
      <c r="G456" s="105"/>
      <c r="H456" s="102">
        <v>100000.0</v>
      </c>
      <c r="I456" s="102">
        <v>10000.0</v>
      </c>
      <c r="J456" s="102" t="s">
        <v>645</v>
      </c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85" t="s">
        <v>495</v>
      </c>
      <c r="B457" s="101" t="s">
        <v>496</v>
      </c>
      <c r="C457" s="13" t="str">
        <f t="shared" si="1"/>
        <v>TB1500-204 - Packaging</v>
      </c>
      <c r="D457" s="102">
        <v>17.0</v>
      </c>
      <c r="E457" s="26" t="s">
        <v>631</v>
      </c>
      <c r="F457" s="13"/>
      <c r="G457" s="105"/>
      <c r="H457" s="102">
        <v>100000.0</v>
      </c>
      <c r="I457" s="102">
        <v>10000.0</v>
      </c>
      <c r="J457" s="102" t="s">
        <v>645</v>
      </c>
      <c r="K457" s="26" t="s">
        <v>651</v>
      </c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85" t="s">
        <v>497</v>
      </c>
      <c r="B458" s="101" t="s">
        <v>498</v>
      </c>
      <c r="C458" s="13" t="str">
        <f t="shared" si="1"/>
        <v>TB1000-204 - Circle Cutting</v>
      </c>
      <c r="D458" s="102">
        <v>1.0</v>
      </c>
      <c r="E458" s="26" t="s">
        <v>604</v>
      </c>
      <c r="F458" s="26" t="s">
        <v>644</v>
      </c>
      <c r="G458" s="105"/>
      <c r="H458" s="102">
        <v>100000.0</v>
      </c>
      <c r="I458" s="102">
        <v>10000.0</v>
      </c>
      <c r="J458" s="102" t="s">
        <v>645</v>
      </c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85" t="s">
        <v>497</v>
      </c>
      <c r="B459" s="101" t="s">
        <v>498</v>
      </c>
      <c r="C459" s="13" t="str">
        <f t="shared" si="1"/>
        <v>TB1000-204 - Pressing 1</v>
      </c>
      <c r="D459" s="102">
        <v>2.0</v>
      </c>
      <c r="E459" s="26" t="s">
        <v>605</v>
      </c>
      <c r="F459" s="26" t="s">
        <v>646</v>
      </c>
      <c r="G459" s="104">
        <v>10.0</v>
      </c>
      <c r="H459" s="102">
        <v>100000.0</v>
      </c>
      <c r="I459" s="102">
        <v>10000.0</v>
      </c>
      <c r="J459" s="102" t="s">
        <v>645</v>
      </c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85" t="s">
        <v>497</v>
      </c>
      <c r="B460" s="101" t="s">
        <v>498</v>
      </c>
      <c r="C460" s="13" t="str">
        <f t="shared" si="1"/>
        <v>TB1000-204 - Spinning - Direct</v>
      </c>
      <c r="D460" s="102">
        <v>3.0</v>
      </c>
      <c r="E460" s="26" t="s">
        <v>607</v>
      </c>
      <c r="F460" s="26" t="s">
        <v>647</v>
      </c>
      <c r="G460" s="104">
        <v>3.0</v>
      </c>
      <c r="H460" s="102">
        <v>100000.0</v>
      </c>
      <c r="I460" s="102">
        <v>10000.0</v>
      </c>
      <c r="J460" s="102" t="s">
        <v>645</v>
      </c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85" t="s">
        <v>497</v>
      </c>
      <c r="B461" s="101" t="s">
        <v>498</v>
      </c>
      <c r="C461" s="13" t="str">
        <f t="shared" si="1"/>
        <v>TB1000-204 - Cutting</v>
      </c>
      <c r="D461" s="102">
        <v>4.0</v>
      </c>
      <c r="E461" s="26" t="s">
        <v>609</v>
      </c>
      <c r="F461" s="26" t="s">
        <v>648</v>
      </c>
      <c r="G461" s="104">
        <v>6.0</v>
      </c>
      <c r="H461" s="102">
        <v>100000.0</v>
      </c>
      <c r="I461" s="102">
        <v>10000.0</v>
      </c>
      <c r="J461" s="102" t="s">
        <v>645</v>
      </c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85" t="s">
        <v>497</v>
      </c>
      <c r="B462" s="101" t="s">
        <v>498</v>
      </c>
      <c r="C462" s="13" t="str">
        <f t="shared" si="1"/>
        <v>TB1000-204 - Gobaa</v>
      </c>
      <c r="D462" s="102">
        <v>5.0</v>
      </c>
      <c r="E462" s="26" t="s">
        <v>612</v>
      </c>
      <c r="F462" s="26" t="s">
        <v>649</v>
      </c>
      <c r="G462" s="104">
        <v>35.0</v>
      </c>
      <c r="H462" s="102">
        <v>100000.0</v>
      </c>
      <c r="I462" s="102">
        <v>10000.0</v>
      </c>
      <c r="J462" s="102" t="s">
        <v>645</v>
      </c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85" t="s">
        <v>497</v>
      </c>
      <c r="B463" s="101" t="s">
        <v>498</v>
      </c>
      <c r="C463" s="13" t="str">
        <f t="shared" si="1"/>
        <v>TB1000-204 - Bidding</v>
      </c>
      <c r="D463" s="102">
        <v>6.0</v>
      </c>
      <c r="E463" s="26" t="s">
        <v>618</v>
      </c>
      <c r="F463" s="13"/>
      <c r="G463" s="105"/>
      <c r="H463" s="102">
        <v>100000.0</v>
      </c>
      <c r="I463" s="102">
        <v>10000.0</v>
      </c>
      <c r="J463" s="102" t="s">
        <v>645</v>
      </c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85" t="s">
        <v>497</v>
      </c>
      <c r="B464" s="101" t="s">
        <v>498</v>
      </c>
      <c r="C464" s="13" t="str">
        <f t="shared" si="1"/>
        <v>TB1000-204 - Cross Fatka</v>
      </c>
      <c r="D464" s="102">
        <v>7.0</v>
      </c>
      <c r="E464" s="26" t="s">
        <v>614</v>
      </c>
      <c r="F464" s="26" t="s">
        <v>652</v>
      </c>
      <c r="G464" s="104">
        <v>17.0</v>
      </c>
      <c r="H464" s="102">
        <v>100000.0</v>
      </c>
      <c r="I464" s="102">
        <v>10000.0</v>
      </c>
      <c r="J464" s="102" t="s">
        <v>645</v>
      </c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85" t="s">
        <v>497</v>
      </c>
      <c r="B465" s="101" t="s">
        <v>498</v>
      </c>
      <c r="C465" s="13" t="str">
        <f t="shared" si="1"/>
        <v>TB1000-204 - Pre Buffing</v>
      </c>
      <c r="D465" s="102">
        <v>8.0</v>
      </c>
      <c r="E465" s="26" t="s">
        <v>617</v>
      </c>
      <c r="F465" s="26" t="s">
        <v>650</v>
      </c>
      <c r="G465" s="105"/>
      <c r="H465" s="102">
        <v>100000.0</v>
      </c>
      <c r="I465" s="102">
        <v>10000.0</v>
      </c>
      <c r="J465" s="102" t="s">
        <v>645</v>
      </c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85" t="s">
        <v>497</v>
      </c>
      <c r="B466" s="101" t="s">
        <v>498</v>
      </c>
      <c r="C466" s="13" t="str">
        <f t="shared" si="1"/>
        <v>TB1000-204 - Polishing</v>
      </c>
      <c r="D466" s="102">
        <v>9.0</v>
      </c>
      <c r="E466" s="26" t="s">
        <v>619</v>
      </c>
      <c r="F466" s="26" t="s">
        <v>650</v>
      </c>
      <c r="G466" s="105"/>
      <c r="H466" s="102">
        <v>100000.0</v>
      </c>
      <c r="I466" s="102">
        <v>10000.0</v>
      </c>
      <c r="J466" s="102" t="s">
        <v>645</v>
      </c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85" t="s">
        <v>497</v>
      </c>
      <c r="B467" s="101" t="s">
        <v>498</v>
      </c>
      <c r="C467" s="13" t="str">
        <f t="shared" si="1"/>
        <v>TB1000-204 - Rework</v>
      </c>
      <c r="D467" s="102">
        <v>10.0</v>
      </c>
      <c r="E467" s="26" t="s">
        <v>621</v>
      </c>
      <c r="F467" s="26" t="s">
        <v>650</v>
      </c>
      <c r="G467" s="105"/>
      <c r="H467" s="102">
        <v>100000.0</v>
      </c>
      <c r="I467" s="102">
        <v>10000.0</v>
      </c>
      <c r="J467" s="102" t="s">
        <v>645</v>
      </c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85" t="s">
        <v>497</v>
      </c>
      <c r="B468" s="101" t="s">
        <v>498</v>
      </c>
      <c r="C468" s="13" t="str">
        <f t="shared" si="1"/>
        <v>TB1000-204 - Cleaning</v>
      </c>
      <c r="D468" s="102">
        <v>11.0</v>
      </c>
      <c r="E468" s="26" t="s">
        <v>622</v>
      </c>
      <c r="F468" s="13"/>
      <c r="G468" s="105"/>
      <c r="H468" s="102">
        <v>100000.0</v>
      </c>
      <c r="I468" s="102">
        <v>10000.0</v>
      </c>
      <c r="J468" s="102" t="s">
        <v>645</v>
      </c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85" t="s">
        <v>497</v>
      </c>
      <c r="B469" s="101" t="s">
        <v>498</v>
      </c>
      <c r="C469" s="13" t="str">
        <f t="shared" si="1"/>
        <v>TB1000-204 - Handle Hole</v>
      </c>
      <c r="D469" s="102">
        <v>12.0</v>
      </c>
      <c r="E469" s="26" t="s">
        <v>624</v>
      </c>
      <c r="F469" s="26" t="s">
        <v>649</v>
      </c>
      <c r="G469" s="104">
        <v>100.0</v>
      </c>
      <c r="H469" s="102">
        <v>100000.0</v>
      </c>
      <c r="I469" s="102">
        <v>10000.0</v>
      </c>
      <c r="J469" s="102" t="s">
        <v>645</v>
      </c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85" t="s">
        <v>497</v>
      </c>
      <c r="B470" s="101" t="s">
        <v>498</v>
      </c>
      <c r="C470" s="13" t="str">
        <f t="shared" si="1"/>
        <v>TB1000-204 - Bottom Hole</v>
      </c>
      <c r="D470" s="102">
        <v>13.0</v>
      </c>
      <c r="E470" s="26" t="s">
        <v>626</v>
      </c>
      <c r="F470" s="26" t="s">
        <v>649</v>
      </c>
      <c r="G470" s="104">
        <v>50.0</v>
      </c>
      <c r="H470" s="102">
        <v>100000.0</v>
      </c>
      <c r="I470" s="102">
        <v>10000.0</v>
      </c>
      <c r="J470" s="102" t="s">
        <v>645</v>
      </c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85" t="s">
        <v>497</v>
      </c>
      <c r="B471" s="101" t="s">
        <v>498</v>
      </c>
      <c r="C471" s="13" t="str">
        <f t="shared" si="1"/>
        <v>TB1000-204 - Flow Breaker</v>
      </c>
      <c r="D471" s="102">
        <v>14.0</v>
      </c>
      <c r="E471" s="26" t="s">
        <v>628</v>
      </c>
      <c r="F471" s="26" t="s">
        <v>649</v>
      </c>
      <c r="G471" s="104">
        <v>87.0</v>
      </c>
      <c r="H471" s="102">
        <v>100000.0</v>
      </c>
      <c r="I471" s="102">
        <v>10000.0</v>
      </c>
      <c r="J471" s="102" t="s">
        <v>645</v>
      </c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85" t="s">
        <v>497</v>
      </c>
      <c r="B472" s="101" t="s">
        <v>498</v>
      </c>
      <c r="C472" s="13" t="str">
        <f t="shared" si="1"/>
        <v>TB1000-204 - Final Cleaning</v>
      </c>
      <c r="D472" s="102">
        <v>15.0</v>
      </c>
      <c r="E472" s="26" t="s">
        <v>627</v>
      </c>
      <c r="F472" s="13"/>
      <c r="G472" s="105"/>
      <c r="H472" s="102">
        <v>100000.0</v>
      </c>
      <c r="I472" s="102">
        <v>10000.0</v>
      </c>
      <c r="J472" s="102" t="s">
        <v>645</v>
      </c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85" t="s">
        <v>497</v>
      </c>
      <c r="B473" s="101" t="s">
        <v>498</v>
      </c>
      <c r="C473" s="13" t="str">
        <f t="shared" si="1"/>
        <v>TB1000-204 - QC</v>
      </c>
      <c r="D473" s="102">
        <v>16.0</v>
      </c>
      <c r="E473" s="26" t="s">
        <v>629</v>
      </c>
      <c r="F473" s="13"/>
      <c r="G473" s="105"/>
      <c r="H473" s="102">
        <v>100000.0</v>
      </c>
      <c r="I473" s="102">
        <v>10000.0</v>
      </c>
      <c r="J473" s="102" t="s">
        <v>645</v>
      </c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85" t="s">
        <v>497</v>
      </c>
      <c r="B474" s="101" t="s">
        <v>498</v>
      </c>
      <c r="C474" s="13" t="str">
        <f t="shared" si="1"/>
        <v>TB1000-204 - Packaging</v>
      </c>
      <c r="D474" s="102">
        <v>17.0</v>
      </c>
      <c r="E474" s="26" t="s">
        <v>631</v>
      </c>
      <c r="F474" s="13"/>
      <c r="G474" s="105"/>
      <c r="H474" s="102">
        <v>100000.0</v>
      </c>
      <c r="I474" s="102">
        <v>10000.0</v>
      </c>
      <c r="J474" s="102" t="s">
        <v>645</v>
      </c>
      <c r="K474" s="26" t="s">
        <v>651</v>
      </c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85" t="s">
        <v>499</v>
      </c>
      <c r="B475" s="101" t="s">
        <v>500</v>
      </c>
      <c r="C475" s="13" t="str">
        <f t="shared" si="1"/>
        <v>TP1500-202 - Circle Cutting</v>
      </c>
      <c r="D475" s="102">
        <v>1.0</v>
      </c>
      <c r="E475" s="26" t="s">
        <v>604</v>
      </c>
      <c r="F475" s="26" t="s">
        <v>644</v>
      </c>
      <c r="G475" s="105"/>
      <c r="H475" s="102">
        <v>100000.0</v>
      </c>
      <c r="I475" s="102">
        <v>10000.0</v>
      </c>
      <c r="J475" s="102" t="s">
        <v>645</v>
      </c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85" t="s">
        <v>499</v>
      </c>
      <c r="B476" s="101" t="s">
        <v>500</v>
      </c>
      <c r="C476" s="13" t="str">
        <f t="shared" si="1"/>
        <v>TP1500-202 - Pressing 1</v>
      </c>
      <c r="D476" s="102">
        <v>2.0</v>
      </c>
      <c r="E476" s="26" t="s">
        <v>605</v>
      </c>
      <c r="F476" s="26" t="s">
        <v>646</v>
      </c>
      <c r="G476" s="104">
        <v>10.0</v>
      </c>
      <c r="H476" s="102">
        <v>100000.0</v>
      </c>
      <c r="I476" s="102">
        <v>10000.0</v>
      </c>
      <c r="J476" s="102" t="s">
        <v>645</v>
      </c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85" t="s">
        <v>499</v>
      </c>
      <c r="B477" s="101" t="s">
        <v>500</v>
      </c>
      <c r="C477" s="13" t="str">
        <f t="shared" si="1"/>
        <v>TP1500-202 - Spinning - Dab</v>
      </c>
      <c r="D477" s="102">
        <v>3.0</v>
      </c>
      <c r="E477" s="26" t="s">
        <v>608</v>
      </c>
      <c r="F477" s="26" t="s">
        <v>647</v>
      </c>
      <c r="G477" s="104">
        <v>3.0</v>
      </c>
      <c r="H477" s="102">
        <v>100000.0</v>
      </c>
      <c r="I477" s="102">
        <v>10000.0</v>
      </c>
      <c r="J477" s="102" t="s">
        <v>645</v>
      </c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85" t="s">
        <v>499</v>
      </c>
      <c r="B478" s="101" t="s">
        <v>500</v>
      </c>
      <c r="C478" s="13" t="str">
        <f t="shared" si="1"/>
        <v>TP1500-202 - Spinning - Final</v>
      </c>
      <c r="D478" s="102">
        <v>4.0</v>
      </c>
      <c r="E478" s="26" t="s">
        <v>610</v>
      </c>
      <c r="F478" s="26" t="s">
        <v>647</v>
      </c>
      <c r="G478" s="104">
        <v>3.0</v>
      </c>
      <c r="H478" s="102">
        <v>100000.0</v>
      </c>
      <c r="I478" s="102">
        <v>10000.0</v>
      </c>
      <c r="J478" s="102" t="s">
        <v>645</v>
      </c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85" t="s">
        <v>499</v>
      </c>
      <c r="B479" s="101" t="s">
        <v>500</v>
      </c>
      <c r="C479" s="13" t="str">
        <f t="shared" si="1"/>
        <v>TP1500-202 - Cutting</v>
      </c>
      <c r="D479" s="102">
        <v>5.0</v>
      </c>
      <c r="E479" s="26" t="s">
        <v>609</v>
      </c>
      <c r="F479" s="26" t="s">
        <v>648</v>
      </c>
      <c r="G479" s="104">
        <v>6.0</v>
      </c>
      <c r="H479" s="102">
        <v>100000.0</v>
      </c>
      <c r="I479" s="102">
        <v>10000.0</v>
      </c>
      <c r="J479" s="102" t="s">
        <v>645</v>
      </c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85" t="s">
        <v>499</v>
      </c>
      <c r="B480" s="101" t="s">
        <v>500</v>
      </c>
      <c r="C480" s="13" t="str">
        <f t="shared" si="1"/>
        <v>TP1500-202 - Radius Fatka</v>
      </c>
      <c r="D480" s="102">
        <v>6.0</v>
      </c>
      <c r="E480" s="26" t="s">
        <v>611</v>
      </c>
      <c r="F480" s="26" t="s">
        <v>649</v>
      </c>
      <c r="G480" s="105"/>
      <c r="H480" s="102">
        <v>100000.0</v>
      </c>
      <c r="I480" s="102">
        <v>10000.0</v>
      </c>
      <c r="J480" s="102" t="s">
        <v>645</v>
      </c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85" t="s">
        <v>499</v>
      </c>
      <c r="B481" s="101" t="s">
        <v>500</v>
      </c>
      <c r="C481" s="13" t="str">
        <f t="shared" si="1"/>
        <v>TP1500-202 - Gobaa</v>
      </c>
      <c r="D481" s="102">
        <v>7.0</v>
      </c>
      <c r="E481" s="26" t="s">
        <v>612</v>
      </c>
      <c r="F481" s="26" t="s">
        <v>649</v>
      </c>
      <c r="G481" s="104">
        <v>35.0</v>
      </c>
      <c r="H481" s="102">
        <v>100000.0</v>
      </c>
      <c r="I481" s="102">
        <v>10000.0</v>
      </c>
      <c r="J481" s="102" t="s">
        <v>645</v>
      </c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85" t="s">
        <v>499</v>
      </c>
      <c r="B482" s="101" t="s">
        <v>500</v>
      </c>
      <c r="C482" s="13" t="str">
        <f t="shared" si="1"/>
        <v>TP1500-202 - Pre Buffing</v>
      </c>
      <c r="D482" s="102">
        <v>8.0</v>
      </c>
      <c r="E482" s="26" t="s">
        <v>617</v>
      </c>
      <c r="F482" s="26" t="s">
        <v>650</v>
      </c>
      <c r="G482" s="105"/>
      <c r="H482" s="102">
        <v>100000.0</v>
      </c>
      <c r="I482" s="102">
        <v>10000.0</v>
      </c>
      <c r="J482" s="102" t="s">
        <v>645</v>
      </c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85" t="s">
        <v>499</v>
      </c>
      <c r="B483" s="101" t="s">
        <v>500</v>
      </c>
      <c r="C483" s="13" t="str">
        <f t="shared" si="1"/>
        <v>TP1500-202 - Polishing</v>
      </c>
      <c r="D483" s="102">
        <v>9.0</v>
      </c>
      <c r="E483" s="26" t="s">
        <v>619</v>
      </c>
      <c r="F483" s="26" t="s">
        <v>650</v>
      </c>
      <c r="G483" s="105"/>
      <c r="H483" s="102">
        <v>100000.0</v>
      </c>
      <c r="I483" s="102">
        <v>10000.0</v>
      </c>
      <c r="J483" s="102" t="s">
        <v>645</v>
      </c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85" t="s">
        <v>499</v>
      </c>
      <c r="B484" s="101" t="s">
        <v>500</v>
      </c>
      <c r="C484" s="13" t="str">
        <f t="shared" si="1"/>
        <v>TP1500-202 - Rework</v>
      </c>
      <c r="D484" s="102">
        <v>10.0</v>
      </c>
      <c r="E484" s="26" t="s">
        <v>621</v>
      </c>
      <c r="F484" s="26" t="s">
        <v>650</v>
      </c>
      <c r="G484" s="105"/>
      <c r="H484" s="102">
        <v>100000.0</v>
      </c>
      <c r="I484" s="102">
        <v>10000.0</v>
      </c>
      <c r="J484" s="102" t="s">
        <v>645</v>
      </c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85" t="s">
        <v>499</v>
      </c>
      <c r="B485" s="101" t="s">
        <v>500</v>
      </c>
      <c r="C485" s="13" t="str">
        <f t="shared" si="1"/>
        <v>TP1500-202 - Cleaning</v>
      </c>
      <c r="D485" s="102">
        <v>11.0</v>
      </c>
      <c r="E485" s="26" t="s">
        <v>622</v>
      </c>
      <c r="F485" s="13"/>
      <c r="G485" s="105"/>
      <c r="H485" s="102">
        <v>100000.0</v>
      </c>
      <c r="I485" s="102">
        <v>10000.0</v>
      </c>
      <c r="J485" s="102" t="s">
        <v>645</v>
      </c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85" t="s">
        <v>499</v>
      </c>
      <c r="B486" s="101" t="s">
        <v>500</v>
      </c>
      <c r="C486" s="13" t="str">
        <f t="shared" si="1"/>
        <v>TP1500-202 - Handle Hole</v>
      </c>
      <c r="D486" s="102">
        <v>12.0</v>
      </c>
      <c r="E486" s="26" t="s">
        <v>624</v>
      </c>
      <c r="F486" s="26" t="s">
        <v>649</v>
      </c>
      <c r="G486" s="104">
        <v>100.0</v>
      </c>
      <c r="H486" s="102">
        <v>100000.0</v>
      </c>
      <c r="I486" s="102">
        <v>10000.0</v>
      </c>
      <c r="J486" s="102" t="s">
        <v>645</v>
      </c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85" t="s">
        <v>499</v>
      </c>
      <c r="B487" s="101" t="s">
        <v>500</v>
      </c>
      <c r="C487" s="13" t="str">
        <f t="shared" si="1"/>
        <v>TP1500-202 - Bottom Hole</v>
      </c>
      <c r="D487" s="102">
        <v>13.0</v>
      </c>
      <c r="E487" s="26" t="s">
        <v>626</v>
      </c>
      <c r="F487" s="26" t="s">
        <v>649</v>
      </c>
      <c r="G487" s="104">
        <v>50.0</v>
      </c>
      <c r="H487" s="102">
        <v>100000.0</v>
      </c>
      <c r="I487" s="102">
        <v>10000.0</v>
      </c>
      <c r="J487" s="102" t="s">
        <v>645</v>
      </c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85" t="s">
        <v>499</v>
      </c>
      <c r="B488" s="101" t="s">
        <v>500</v>
      </c>
      <c r="C488" s="13" t="str">
        <f t="shared" si="1"/>
        <v>TP1500-202 - Flow Breaker</v>
      </c>
      <c r="D488" s="102">
        <v>14.0</v>
      </c>
      <c r="E488" s="26" t="s">
        <v>628</v>
      </c>
      <c r="F488" s="26" t="s">
        <v>649</v>
      </c>
      <c r="G488" s="104">
        <v>87.0</v>
      </c>
      <c r="H488" s="102">
        <v>100000.0</v>
      </c>
      <c r="I488" s="102">
        <v>10000.0</v>
      </c>
      <c r="J488" s="102" t="s">
        <v>645</v>
      </c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85" t="s">
        <v>499</v>
      </c>
      <c r="B489" s="101" t="s">
        <v>500</v>
      </c>
      <c r="C489" s="13" t="str">
        <f t="shared" si="1"/>
        <v>TP1500-202 - Final Cleaning</v>
      </c>
      <c r="D489" s="102">
        <v>15.0</v>
      </c>
      <c r="E489" s="26" t="s">
        <v>627</v>
      </c>
      <c r="F489" s="13"/>
      <c r="G489" s="105"/>
      <c r="H489" s="102">
        <v>100000.0</v>
      </c>
      <c r="I489" s="102">
        <v>10000.0</v>
      </c>
      <c r="J489" s="102" t="s">
        <v>645</v>
      </c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85" t="s">
        <v>499</v>
      </c>
      <c r="B490" s="101" t="s">
        <v>500</v>
      </c>
      <c r="C490" s="13" t="str">
        <f t="shared" si="1"/>
        <v>TP1500-202 - QC</v>
      </c>
      <c r="D490" s="102">
        <v>16.0</v>
      </c>
      <c r="E490" s="26" t="s">
        <v>629</v>
      </c>
      <c r="F490" s="13"/>
      <c r="G490" s="105"/>
      <c r="H490" s="102">
        <v>100000.0</v>
      </c>
      <c r="I490" s="102">
        <v>10000.0</v>
      </c>
      <c r="J490" s="102" t="s">
        <v>645</v>
      </c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85" t="s">
        <v>499</v>
      </c>
      <c r="B491" s="101" t="s">
        <v>500</v>
      </c>
      <c r="C491" s="13" t="str">
        <f t="shared" si="1"/>
        <v>TP1500-202 - Packaging</v>
      </c>
      <c r="D491" s="102">
        <v>17.0</v>
      </c>
      <c r="E491" s="26" t="s">
        <v>631</v>
      </c>
      <c r="F491" s="13"/>
      <c r="G491" s="105"/>
      <c r="H491" s="102">
        <v>100000.0</v>
      </c>
      <c r="I491" s="102">
        <v>10000.0</v>
      </c>
      <c r="J491" s="102" t="s">
        <v>645</v>
      </c>
      <c r="K491" s="26" t="s">
        <v>651</v>
      </c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85" t="s">
        <v>501</v>
      </c>
      <c r="B492" s="101" t="s">
        <v>502</v>
      </c>
      <c r="C492" s="13" t="str">
        <f t="shared" si="1"/>
        <v>TP1000-202 - Circle Cutting</v>
      </c>
      <c r="D492" s="102">
        <v>1.0</v>
      </c>
      <c r="E492" s="26" t="s">
        <v>604</v>
      </c>
      <c r="F492" s="26" t="s">
        <v>644</v>
      </c>
      <c r="G492" s="105"/>
      <c r="H492" s="102">
        <v>100000.0</v>
      </c>
      <c r="I492" s="102">
        <v>10000.0</v>
      </c>
      <c r="J492" s="102" t="s">
        <v>645</v>
      </c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85" t="s">
        <v>501</v>
      </c>
      <c r="B493" s="101" t="s">
        <v>502</v>
      </c>
      <c r="C493" s="13" t="str">
        <f t="shared" si="1"/>
        <v>TP1000-202 - Pressing 1</v>
      </c>
      <c r="D493" s="102">
        <v>2.0</v>
      </c>
      <c r="E493" s="26" t="s">
        <v>605</v>
      </c>
      <c r="F493" s="26" t="s">
        <v>646</v>
      </c>
      <c r="G493" s="104">
        <v>10.0</v>
      </c>
      <c r="H493" s="102">
        <v>100000.0</v>
      </c>
      <c r="I493" s="102">
        <v>10000.0</v>
      </c>
      <c r="J493" s="102" t="s">
        <v>645</v>
      </c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85" t="s">
        <v>501</v>
      </c>
      <c r="B494" s="101" t="s">
        <v>502</v>
      </c>
      <c r="C494" s="13" t="str">
        <f t="shared" si="1"/>
        <v>TP1000-202 - Spinning - Direct</v>
      </c>
      <c r="D494" s="102">
        <v>3.0</v>
      </c>
      <c r="E494" s="26" t="s">
        <v>607</v>
      </c>
      <c r="F494" s="26" t="s">
        <v>647</v>
      </c>
      <c r="G494" s="104">
        <v>3.0</v>
      </c>
      <c r="H494" s="102">
        <v>100000.0</v>
      </c>
      <c r="I494" s="102">
        <v>10000.0</v>
      </c>
      <c r="J494" s="102" t="s">
        <v>645</v>
      </c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85" t="s">
        <v>501</v>
      </c>
      <c r="B495" s="101" t="s">
        <v>502</v>
      </c>
      <c r="C495" s="13" t="str">
        <f t="shared" si="1"/>
        <v>TP1000-202 - Cutting</v>
      </c>
      <c r="D495" s="102">
        <v>4.0</v>
      </c>
      <c r="E495" s="26" t="s">
        <v>609</v>
      </c>
      <c r="F495" s="26" t="s">
        <v>648</v>
      </c>
      <c r="G495" s="104">
        <v>6.0</v>
      </c>
      <c r="H495" s="102">
        <v>100000.0</v>
      </c>
      <c r="I495" s="102">
        <v>10000.0</v>
      </c>
      <c r="J495" s="102" t="s">
        <v>645</v>
      </c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85" t="s">
        <v>501</v>
      </c>
      <c r="B496" s="101" t="s">
        <v>502</v>
      </c>
      <c r="C496" s="13" t="str">
        <f t="shared" si="1"/>
        <v>TP1000-202 - Radius Fatka</v>
      </c>
      <c r="D496" s="102">
        <v>5.0</v>
      </c>
      <c r="E496" s="26" t="s">
        <v>611</v>
      </c>
      <c r="F496" s="26" t="s">
        <v>649</v>
      </c>
      <c r="G496" s="105"/>
      <c r="H496" s="102">
        <v>100000.0</v>
      </c>
      <c r="I496" s="102">
        <v>10000.0</v>
      </c>
      <c r="J496" s="102" t="s">
        <v>645</v>
      </c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85" t="s">
        <v>501</v>
      </c>
      <c r="B497" s="101" t="s">
        <v>502</v>
      </c>
      <c r="C497" s="13" t="str">
        <f t="shared" si="1"/>
        <v>TP1000-202 - Gobaa</v>
      </c>
      <c r="D497" s="102">
        <v>6.0</v>
      </c>
      <c r="E497" s="26" t="s">
        <v>612</v>
      </c>
      <c r="F497" s="26" t="s">
        <v>649</v>
      </c>
      <c r="G497" s="104">
        <v>35.0</v>
      </c>
      <c r="H497" s="102">
        <v>100000.0</v>
      </c>
      <c r="I497" s="102">
        <v>10000.0</v>
      </c>
      <c r="J497" s="102" t="s">
        <v>645</v>
      </c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85" t="s">
        <v>501</v>
      </c>
      <c r="B498" s="101" t="s">
        <v>502</v>
      </c>
      <c r="C498" s="13" t="str">
        <f t="shared" si="1"/>
        <v>TP1000-202 - Polishing</v>
      </c>
      <c r="D498" s="102">
        <v>7.0</v>
      </c>
      <c r="E498" s="26" t="s">
        <v>619</v>
      </c>
      <c r="F498" s="26" t="s">
        <v>650</v>
      </c>
      <c r="G498" s="105"/>
      <c r="H498" s="102">
        <v>100000.0</v>
      </c>
      <c r="I498" s="102">
        <v>10000.0</v>
      </c>
      <c r="J498" s="102" t="s">
        <v>645</v>
      </c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85" t="s">
        <v>501</v>
      </c>
      <c r="B499" s="101" t="s">
        <v>502</v>
      </c>
      <c r="C499" s="13" t="str">
        <f t="shared" si="1"/>
        <v>TP1000-202 - Rework</v>
      </c>
      <c r="D499" s="102">
        <v>8.0</v>
      </c>
      <c r="E499" s="26" t="s">
        <v>621</v>
      </c>
      <c r="F499" s="26" t="s">
        <v>650</v>
      </c>
      <c r="G499" s="105"/>
      <c r="H499" s="102">
        <v>100000.0</v>
      </c>
      <c r="I499" s="102">
        <v>10000.0</v>
      </c>
      <c r="J499" s="102" t="s">
        <v>645</v>
      </c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85" t="s">
        <v>501</v>
      </c>
      <c r="B500" s="101" t="s">
        <v>502</v>
      </c>
      <c r="C500" s="13" t="str">
        <f t="shared" si="1"/>
        <v>TP1000-202 - Cleaning</v>
      </c>
      <c r="D500" s="102">
        <v>9.0</v>
      </c>
      <c r="E500" s="26" t="s">
        <v>622</v>
      </c>
      <c r="F500" s="13"/>
      <c r="G500" s="105"/>
      <c r="H500" s="102">
        <v>100000.0</v>
      </c>
      <c r="I500" s="102">
        <v>10000.0</v>
      </c>
      <c r="J500" s="102" t="s">
        <v>645</v>
      </c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85" t="s">
        <v>501</v>
      </c>
      <c r="B501" s="101" t="s">
        <v>502</v>
      </c>
      <c r="C501" s="13" t="str">
        <f t="shared" si="1"/>
        <v>TP1000-202 - Handle Hole</v>
      </c>
      <c r="D501" s="102">
        <v>10.0</v>
      </c>
      <c r="E501" s="26" t="s">
        <v>624</v>
      </c>
      <c r="F501" s="26" t="s">
        <v>649</v>
      </c>
      <c r="G501" s="104">
        <v>100.0</v>
      </c>
      <c r="H501" s="102">
        <v>100000.0</v>
      </c>
      <c r="I501" s="102">
        <v>10000.0</v>
      </c>
      <c r="J501" s="102" t="s">
        <v>645</v>
      </c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85" t="s">
        <v>501</v>
      </c>
      <c r="B502" s="101" t="s">
        <v>502</v>
      </c>
      <c r="C502" s="13" t="str">
        <f t="shared" si="1"/>
        <v>TP1000-202 - Bottom Hole</v>
      </c>
      <c r="D502" s="102">
        <v>11.0</v>
      </c>
      <c r="E502" s="26" t="s">
        <v>626</v>
      </c>
      <c r="F502" s="26" t="s">
        <v>649</v>
      </c>
      <c r="G502" s="104">
        <v>50.0</v>
      </c>
      <c r="H502" s="102">
        <v>100000.0</v>
      </c>
      <c r="I502" s="102">
        <v>10000.0</v>
      </c>
      <c r="J502" s="102" t="s">
        <v>645</v>
      </c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85" t="s">
        <v>501</v>
      </c>
      <c r="B503" s="101" t="s">
        <v>502</v>
      </c>
      <c r="C503" s="13" t="str">
        <f t="shared" si="1"/>
        <v>TP1000-202 - Flow Breaker</v>
      </c>
      <c r="D503" s="102">
        <v>12.0</v>
      </c>
      <c r="E503" s="26" t="s">
        <v>628</v>
      </c>
      <c r="F503" s="26" t="s">
        <v>649</v>
      </c>
      <c r="G503" s="104">
        <v>87.0</v>
      </c>
      <c r="H503" s="102">
        <v>100000.0</v>
      </c>
      <c r="I503" s="102">
        <v>10000.0</v>
      </c>
      <c r="J503" s="102" t="s">
        <v>645</v>
      </c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85" t="s">
        <v>501</v>
      </c>
      <c r="B504" s="101" t="s">
        <v>502</v>
      </c>
      <c r="C504" s="13" t="str">
        <f t="shared" si="1"/>
        <v>TP1000-202 - Final Cleaning</v>
      </c>
      <c r="D504" s="102">
        <v>13.0</v>
      </c>
      <c r="E504" s="26" t="s">
        <v>627</v>
      </c>
      <c r="F504" s="13"/>
      <c r="G504" s="105"/>
      <c r="H504" s="102">
        <v>100000.0</v>
      </c>
      <c r="I504" s="102">
        <v>10000.0</v>
      </c>
      <c r="J504" s="102" t="s">
        <v>645</v>
      </c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85" t="s">
        <v>501</v>
      </c>
      <c r="B505" s="101" t="s">
        <v>502</v>
      </c>
      <c r="C505" s="13" t="str">
        <f t="shared" si="1"/>
        <v>TP1000-202 - QC</v>
      </c>
      <c r="D505" s="102">
        <v>14.0</v>
      </c>
      <c r="E505" s="26" t="s">
        <v>629</v>
      </c>
      <c r="F505" s="13"/>
      <c r="G505" s="105"/>
      <c r="H505" s="102">
        <v>100000.0</v>
      </c>
      <c r="I505" s="102">
        <v>10000.0</v>
      </c>
      <c r="J505" s="102" t="s">
        <v>645</v>
      </c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85" t="s">
        <v>501</v>
      </c>
      <c r="B506" s="101" t="s">
        <v>502</v>
      </c>
      <c r="C506" s="13" t="str">
        <f t="shared" si="1"/>
        <v>TP1000-202 - Packaging</v>
      </c>
      <c r="D506" s="102">
        <v>15.0</v>
      </c>
      <c r="E506" s="26" t="s">
        <v>631</v>
      </c>
      <c r="F506" s="13"/>
      <c r="G506" s="105"/>
      <c r="H506" s="102">
        <v>100000.0</v>
      </c>
      <c r="I506" s="102">
        <v>10000.0</v>
      </c>
      <c r="J506" s="102" t="s">
        <v>645</v>
      </c>
      <c r="K506" s="26" t="s">
        <v>651</v>
      </c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85" t="s">
        <v>503</v>
      </c>
      <c r="B507" s="101" t="s">
        <v>504</v>
      </c>
      <c r="C507" s="13" t="str">
        <f t="shared" si="1"/>
        <v>TP0750-202 - Circle Cutting</v>
      </c>
      <c r="D507" s="102">
        <v>1.0</v>
      </c>
      <c r="E507" s="26" t="s">
        <v>604</v>
      </c>
      <c r="F507" s="26" t="s">
        <v>644</v>
      </c>
      <c r="G507" s="105"/>
      <c r="H507" s="102">
        <v>100000.0</v>
      </c>
      <c r="I507" s="102">
        <v>10000.0</v>
      </c>
      <c r="J507" s="102" t="s">
        <v>645</v>
      </c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85" t="s">
        <v>503</v>
      </c>
      <c r="B508" s="101" t="s">
        <v>504</v>
      </c>
      <c r="C508" s="13" t="str">
        <f t="shared" si="1"/>
        <v>TP0750-202 - Pressing 1</v>
      </c>
      <c r="D508" s="102">
        <v>2.0</v>
      </c>
      <c r="E508" s="26" t="s">
        <v>605</v>
      </c>
      <c r="F508" s="26" t="s">
        <v>646</v>
      </c>
      <c r="G508" s="104">
        <v>10.0</v>
      </c>
      <c r="H508" s="102">
        <v>100000.0</v>
      </c>
      <c r="I508" s="102">
        <v>10000.0</v>
      </c>
      <c r="J508" s="102" t="s">
        <v>645</v>
      </c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85" t="s">
        <v>503</v>
      </c>
      <c r="B509" s="101" t="s">
        <v>504</v>
      </c>
      <c r="C509" s="13" t="str">
        <f t="shared" si="1"/>
        <v>TP0750-202 - Spinning - Direct</v>
      </c>
      <c r="D509" s="102">
        <v>3.0</v>
      </c>
      <c r="E509" s="26" t="s">
        <v>607</v>
      </c>
      <c r="F509" s="26" t="s">
        <v>647</v>
      </c>
      <c r="G509" s="104">
        <v>3.0</v>
      </c>
      <c r="H509" s="102">
        <v>100000.0</v>
      </c>
      <c r="I509" s="102">
        <v>10000.0</v>
      </c>
      <c r="J509" s="102" t="s">
        <v>645</v>
      </c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85" t="s">
        <v>503</v>
      </c>
      <c r="B510" s="101" t="s">
        <v>504</v>
      </c>
      <c r="C510" s="13" t="str">
        <f t="shared" si="1"/>
        <v>TP0750-202 - Cutting</v>
      </c>
      <c r="D510" s="102">
        <v>4.0</v>
      </c>
      <c r="E510" s="26" t="s">
        <v>609</v>
      </c>
      <c r="F510" s="26" t="s">
        <v>648</v>
      </c>
      <c r="G510" s="104">
        <v>6.0</v>
      </c>
      <c r="H510" s="102">
        <v>100000.0</v>
      </c>
      <c r="I510" s="102">
        <v>10000.0</v>
      </c>
      <c r="J510" s="102" t="s">
        <v>645</v>
      </c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85" t="s">
        <v>503</v>
      </c>
      <c r="B511" s="101" t="s">
        <v>504</v>
      </c>
      <c r="C511" s="13" t="str">
        <f t="shared" si="1"/>
        <v>TP0750-202 - Radius Fatka</v>
      </c>
      <c r="D511" s="102">
        <v>5.0</v>
      </c>
      <c r="E511" s="26" t="s">
        <v>611</v>
      </c>
      <c r="F511" s="26" t="s">
        <v>649</v>
      </c>
      <c r="G511" s="105"/>
      <c r="H511" s="102">
        <v>100000.0</v>
      </c>
      <c r="I511" s="102">
        <v>10000.0</v>
      </c>
      <c r="J511" s="102" t="s">
        <v>645</v>
      </c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85" t="s">
        <v>503</v>
      </c>
      <c r="B512" s="101" t="s">
        <v>504</v>
      </c>
      <c r="C512" s="13" t="str">
        <f t="shared" si="1"/>
        <v>TP0750-202 - Gobaa</v>
      </c>
      <c r="D512" s="102">
        <v>6.0</v>
      </c>
      <c r="E512" s="26" t="s">
        <v>612</v>
      </c>
      <c r="F512" s="26" t="s">
        <v>649</v>
      </c>
      <c r="G512" s="104">
        <v>35.0</v>
      </c>
      <c r="H512" s="102">
        <v>100000.0</v>
      </c>
      <c r="I512" s="102">
        <v>10000.0</v>
      </c>
      <c r="J512" s="102" t="s">
        <v>645</v>
      </c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85" t="s">
        <v>503</v>
      </c>
      <c r="B513" s="101" t="s">
        <v>504</v>
      </c>
      <c r="C513" s="13" t="str">
        <f t="shared" si="1"/>
        <v>TP0750-202 - Polishing</v>
      </c>
      <c r="D513" s="102">
        <v>7.0</v>
      </c>
      <c r="E513" s="26" t="s">
        <v>619</v>
      </c>
      <c r="F513" s="26" t="s">
        <v>650</v>
      </c>
      <c r="G513" s="105"/>
      <c r="H513" s="102">
        <v>100000.0</v>
      </c>
      <c r="I513" s="102">
        <v>10000.0</v>
      </c>
      <c r="J513" s="102" t="s">
        <v>645</v>
      </c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85" t="s">
        <v>503</v>
      </c>
      <c r="B514" s="101" t="s">
        <v>504</v>
      </c>
      <c r="C514" s="13" t="str">
        <f t="shared" si="1"/>
        <v>TP0750-202 - Rework</v>
      </c>
      <c r="D514" s="102">
        <v>8.0</v>
      </c>
      <c r="E514" s="26" t="s">
        <v>621</v>
      </c>
      <c r="F514" s="26" t="s">
        <v>650</v>
      </c>
      <c r="G514" s="105"/>
      <c r="H514" s="102">
        <v>100000.0</v>
      </c>
      <c r="I514" s="102">
        <v>10000.0</v>
      </c>
      <c r="J514" s="102" t="s">
        <v>645</v>
      </c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85" t="s">
        <v>503</v>
      </c>
      <c r="B515" s="101" t="s">
        <v>504</v>
      </c>
      <c r="C515" s="13" t="str">
        <f t="shared" si="1"/>
        <v>TP0750-202 - Cleaning</v>
      </c>
      <c r="D515" s="102">
        <v>9.0</v>
      </c>
      <c r="E515" s="26" t="s">
        <v>622</v>
      </c>
      <c r="F515" s="13"/>
      <c r="G515" s="105"/>
      <c r="H515" s="102">
        <v>100000.0</v>
      </c>
      <c r="I515" s="102">
        <v>10000.0</v>
      </c>
      <c r="J515" s="102" t="s">
        <v>645</v>
      </c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85" t="s">
        <v>503</v>
      </c>
      <c r="B516" s="101" t="s">
        <v>504</v>
      </c>
      <c r="C516" s="13" t="str">
        <f t="shared" si="1"/>
        <v>TP0750-202 - Handle Hole</v>
      </c>
      <c r="D516" s="102">
        <v>10.0</v>
      </c>
      <c r="E516" s="26" t="s">
        <v>624</v>
      </c>
      <c r="F516" s="26" t="s">
        <v>649</v>
      </c>
      <c r="G516" s="104">
        <v>100.0</v>
      </c>
      <c r="H516" s="102">
        <v>100000.0</v>
      </c>
      <c r="I516" s="102">
        <v>10000.0</v>
      </c>
      <c r="J516" s="102" t="s">
        <v>645</v>
      </c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85" t="s">
        <v>503</v>
      </c>
      <c r="B517" s="101" t="s">
        <v>504</v>
      </c>
      <c r="C517" s="13" t="str">
        <f t="shared" si="1"/>
        <v>TP0750-202 - Bottom Hole</v>
      </c>
      <c r="D517" s="102">
        <v>11.0</v>
      </c>
      <c r="E517" s="26" t="s">
        <v>626</v>
      </c>
      <c r="F517" s="26" t="s">
        <v>649</v>
      </c>
      <c r="G517" s="104">
        <v>50.0</v>
      </c>
      <c r="H517" s="102">
        <v>100000.0</v>
      </c>
      <c r="I517" s="102">
        <v>10000.0</v>
      </c>
      <c r="J517" s="102" t="s">
        <v>645</v>
      </c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85" t="s">
        <v>503</v>
      </c>
      <c r="B518" s="101" t="s">
        <v>504</v>
      </c>
      <c r="C518" s="13" t="str">
        <f t="shared" si="1"/>
        <v>TP0750-202 - Flow Breaker</v>
      </c>
      <c r="D518" s="102">
        <v>12.0</v>
      </c>
      <c r="E518" s="26" t="s">
        <v>628</v>
      </c>
      <c r="F518" s="26" t="s">
        <v>649</v>
      </c>
      <c r="G518" s="104">
        <v>87.0</v>
      </c>
      <c r="H518" s="102">
        <v>100000.0</v>
      </c>
      <c r="I518" s="102">
        <v>10000.0</v>
      </c>
      <c r="J518" s="102" t="s">
        <v>645</v>
      </c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85" t="s">
        <v>503</v>
      </c>
      <c r="B519" s="101" t="s">
        <v>504</v>
      </c>
      <c r="C519" s="13" t="str">
        <f t="shared" si="1"/>
        <v>TP0750-202 - Final Cleaning</v>
      </c>
      <c r="D519" s="102">
        <v>13.0</v>
      </c>
      <c r="E519" s="26" t="s">
        <v>627</v>
      </c>
      <c r="F519" s="13"/>
      <c r="G519" s="105"/>
      <c r="H519" s="102">
        <v>100000.0</v>
      </c>
      <c r="I519" s="102">
        <v>10000.0</v>
      </c>
      <c r="J519" s="102" t="s">
        <v>645</v>
      </c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85" t="s">
        <v>503</v>
      </c>
      <c r="B520" s="101" t="s">
        <v>504</v>
      </c>
      <c r="C520" s="13" t="str">
        <f t="shared" si="1"/>
        <v>TP0750-202 - QC</v>
      </c>
      <c r="D520" s="102">
        <v>14.0</v>
      </c>
      <c r="E520" s="26" t="s">
        <v>629</v>
      </c>
      <c r="F520" s="13"/>
      <c r="G520" s="105"/>
      <c r="H520" s="102">
        <v>100000.0</v>
      </c>
      <c r="I520" s="102">
        <v>10000.0</v>
      </c>
      <c r="J520" s="102" t="s">
        <v>645</v>
      </c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85" t="s">
        <v>503</v>
      </c>
      <c r="B521" s="101" t="s">
        <v>504</v>
      </c>
      <c r="C521" s="13" t="str">
        <f t="shared" si="1"/>
        <v>TP0750-202 - Packaging</v>
      </c>
      <c r="D521" s="102">
        <v>15.0</v>
      </c>
      <c r="E521" s="26" t="s">
        <v>631</v>
      </c>
      <c r="F521" s="13"/>
      <c r="G521" s="105"/>
      <c r="H521" s="102">
        <v>100000.0</v>
      </c>
      <c r="I521" s="102">
        <v>10000.0</v>
      </c>
      <c r="J521" s="102" t="s">
        <v>645</v>
      </c>
      <c r="K521" s="26" t="s">
        <v>651</v>
      </c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85" t="s">
        <v>485</v>
      </c>
      <c r="B522" s="101" t="s">
        <v>486</v>
      </c>
      <c r="C522" s="13" t="str">
        <f t="shared" si="1"/>
        <v>MG1650-204 - Circle Cutting</v>
      </c>
      <c r="D522" s="102">
        <v>1.0</v>
      </c>
      <c r="E522" s="13" t="s">
        <v>604</v>
      </c>
      <c r="F522" s="26" t="s">
        <v>644</v>
      </c>
      <c r="G522" s="105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85" t="s">
        <v>485</v>
      </c>
      <c r="B523" s="101" t="s">
        <v>486</v>
      </c>
      <c r="C523" s="13" t="str">
        <f t="shared" si="1"/>
        <v>MG1650-204 - Pressing 1</v>
      </c>
      <c r="D523" s="102">
        <v>2.0</v>
      </c>
      <c r="E523" s="13" t="s">
        <v>605</v>
      </c>
      <c r="F523" s="26" t="s">
        <v>646</v>
      </c>
      <c r="G523" s="105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85" t="s">
        <v>485</v>
      </c>
      <c r="B524" s="101" t="s">
        <v>486</v>
      </c>
      <c r="C524" s="13" t="str">
        <f t="shared" si="1"/>
        <v>MG1650-204 - Spinning - Dab</v>
      </c>
      <c r="D524" s="102">
        <v>3.0</v>
      </c>
      <c r="E524" s="13" t="s">
        <v>608</v>
      </c>
      <c r="F524" s="26" t="s">
        <v>647</v>
      </c>
      <c r="G524" s="105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85" t="s">
        <v>485</v>
      </c>
      <c r="B525" s="101" t="s">
        <v>486</v>
      </c>
      <c r="C525" s="13" t="str">
        <f t="shared" si="1"/>
        <v>MG1650-204 - Spinning - Final</v>
      </c>
      <c r="D525" s="102">
        <v>4.0</v>
      </c>
      <c r="E525" s="13" t="s">
        <v>610</v>
      </c>
      <c r="F525" s="26" t="s">
        <v>647</v>
      </c>
      <c r="G525" s="105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85" t="s">
        <v>485</v>
      </c>
      <c r="B526" s="101" t="s">
        <v>486</v>
      </c>
      <c r="C526" s="13" t="str">
        <f t="shared" si="1"/>
        <v>MG1650-204 - Cutting</v>
      </c>
      <c r="D526" s="102">
        <v>5.0</v>
      </c>
      <c r="E526" s="13" t="s">
        <v>609</v>
      </c>
      <c r="F526" s="26" t="s">
        <v>648</v>
      </c>
      <c r="G526" s="105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85" t="s">
        <v>485</v>
      </c>
      <c r="B527" s="101" t="s">
        <v>486</v>
      </c>
      <c r="C527" s="13" t="str">
        <f t="shared" si="1"/>
        <v>MG1650-204 - Gobaa</v>
      </c>
      <c r="D527" s="102">
        <v>6.0</v>
      </c>
      <c r="E527" s="13" t="s">
        <v>612</v>
      </c>
      <c r="F527" s="26" t="s">
        <v>649</v>
      </c>
      <c r="G527" s="105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85" t="s">
        <v>485</v>
      </c>
      <c r="B528" s="101" t="s">
        <v>486</v>
      </c>
      <c r="C528" s="13" t="str">
        <f t="shared" si="1"/>
        <v>MG1650-204 - Pre Buffing</v>
      </c>
      <c r="D528" s="102">
        <v>7.0</v>
      </c>
      <c r="E528" s="13" t="s">
        <v>617</v>
      </c>
      <c r="F528" s="26" t="s">
        <v>650</v>
      </c>
      <c r="G528" s="105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85" t="s">
        <v>485</v>
      </c>
      <c r="B529" s="101" t="s">
        <v>486</v>
      </c>
      <c r="C529" s="13" t="str">
        <f t="shared" si="1"/>
        <v>MG1650-204 - Patti Polishing</v>
      </c>
      <c r="D529" s="102">
        <v>8.0</v>
      </c>
      <c r="E529" s="13" t="s">
        <v>613</v>
      </c>
      <c r="F529" s="26" t="s">
        <v>650</v>
      </c>
      <c r="G529" s="105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85" t="s">
        <v>485</v>
      </c>
      <c r="B530" s="101" t="s">
        <v>486</v>
      </c>
      <c r="C530" s="13" t="str">
        <f t="shared" si="1"/>
        <v>MG1650-204 - Patti Fatka</v>
      </c>
      <c r="D530" s="102">
        <v>9.0</v>
      </c>
      <c r="E530" s="13" t="s">
        <v>616</v>
      </c>
      <c r="F530" s="26" t="s">
        <v>649</v>
      </c>
      <c r="G530" s="105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85" t="s">
        <v>485</v>
      </c>
      <c r="B531" s="101" t="s">
        <v>486</v>
      </c>
      <c r="C531" s="13" t="str">
        <f t="shared" si="1"/>
        <v>MG1650-204 - Handle Hole</v>
      </c>
      <c r="D531" s="102">
        <v>10.0</v>
      </c>
      <c r="E531" s="26" t="s">
        <v>624</v>
      </c>
      <c r="F531" s="26" t="s">
        <v>649</v>
      </c>
      <c r="G531" s="105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85" t="s">
        <v>485</v>
      </c>
      <c r="B532" s="101" t="s">
        <v>486</v>
      </c>
      <c r="C532" s="13" t="str">
        <f t="shared" si="1"/>
        <v>MG1650-204 - Bottom Hole</v>
      </c>
      <c r="D532" s="102">
        <v>11.0</v>
      </c>
      <c r="E532" s="26" t="s">
        <v>626</v>
      </c>
      <c r="F532" s="26" t="s">
        <v>649</v>
      </c>
      <c r="G532" s="105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85" t="s">
        <v>485</v>
      </c>
      <c r="B533" s="101" t="s">
        <v>486</v>
      </c>
      <c r="C533" s="13" t="str">
        <f t="shared" si="1"/>
        <v>MG1650-204 - Flow Breaker</v>
      </c>
      <c r="D533" s="102">
        <v>12.0</v>
      </c>
      <c r="E533" s="13" t="s">
        <v>628</v>
      </c>
      <c r="F533" s="26" t="s">
        <v>649</v>
      </c>
      <c r="G533" s="105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85" t="s">
        <v>485</v>
      </c>
      <c r="B534" s="101" t="s">
        <v>486</v>
      </c>
      <c r="C534" s="13" t="str">
        <f t="shared" si="1"/>
        <v>MG1650-204 - Polishing</v>
      </c>
      <c r="D534" s="102">
        <v>13.0</v>
      </c>
      <c r="E534" s="13" t="s">
        <v>619</v>
      </c>
      <c r="F534" s="26" t="s">
        <v>650</v>
      </c>
      <c r="G534" s="105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85" t="s">
        <v>485</v>
      </c>
      <c r="B535" s="101" t="s">
        <v>486</v>
      </c>
      <c r="C535" s="13" t="str">
        <f t="shared" si="1"/>
        <v>MG1650-204 - Rework</v>
      </c>
      <c r="D535" s="102">
        <v>14.0</v>
      </c>
      <c r="E535" s="26" t="s">
        <v>621</v>
      </c>
      <c r="F535" s="26" t="s">
        <v>650</v>
      </c>
      <c r="G535" s="105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85" t="s">
        <v>485</v>
      </c>
      <c r="B536" s="101" t="s">
        <v>486</v>
      </c>
      <c r="C536" s="13" t="str">
        <f t="shared" si="1"/>
        <v>MG1650-204 - Cleaning</v>
      </c>
      <c r="D536" s="102">
        <v>15.0</v>
      </c>
      <c r="E536" s="26" t="s">
        <v>622</v>
      </c>
      <c r="F536" s="26"/>
      <c r="G536" s="105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85" t="s">
        <v>485</v>
      </c>
      <c r="B537" s="101" t="s">
        <v>486</v>
      </c>
      <c r="C537" s="13" t="str">
        <f t="shared" si="1"/>
        <v>MG1650-204 - Hole Bur</v>
      </c>
      <c r="D537" s="102">
        <v>16.0</v>
      </c>
      <c r="E537" s="26" t="s">
        <v>632</v>
      </c>
      <c r="F537" s="13"/>
      <c r="G537" s="105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85" t="s">
        <v>485</v>
      </c>
      <c r="B538" s="101" t="s">
        <v>486</v>
      </c>
      <c r="C538" s="13" t="str">
        <f t="shared" si="1"/>
        <v>MG1650-204 - Flatness Fatka</v>
      </c>
      <c r="D538" s="102">
        <v>17.0</v>
      </c>
      <c r="E538" s="26" t="s">
        <v>634</v>
      </c>
      <c r="F538" s="13"/>
      <c r="G538" s="105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85" t="s">
        <v>485</v>
      </c>
      <c r="B539" s="101" t="s">
        <v>486</v>
      </c>
      <c r="C539" s="13" t="str">
        <f t="shared" si="1"/>
        <v>MG1650-204 - Final Cleaning</v>
      </c>
      <c r="D539" s="102">
        <v>18.0</v>
      </c>
      <c r="E539" s="13" t="s">
        <v>627</v>
      </c>
      <c r="F539" s="13"/>
      <c r="G539" s="105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85" t="s">
        <v>485</v>
      </c>
      <c r="B540" s="101" t="s">
        <v>486</v>
      </c>
      <c r="C540" s="13" t="str">
        <f t="shared" si="1"/>
        <v>MG1650-204 - QC</v>
      </c>
      <c r="D540" s="102">
        <v>19.0</v>
      </c>
      <c r="E540" s="13" t="s">
        <v>629</v>
      </c>
      <c r="F540" s="13"/>
      <c r="G540" s="105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85" t="s">
        <v>485</v>
      </c>
      <c r="B541" s="101" t="s">
        <v>486</v>
      </c>
      <c r="C541" s="13" t="str">
        <f t="shared" si="1"/>
        <v>MG1650-204 - Packaging</v>
      </c>
      <c r="D541" s="102">
        <v>20.0</v>
      </c>
      <c r="E541" s="13" t="s">
        <v>631</v>
      </c>
      <c r="F541" s="13"/>
      <c r="G541" s="105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85" t="s">
        <v>489</v>
      </c>
      <c r="B542" s="101" t="s">
        <v>490</v>
      </c>
      <c r="C542" s="13" t="str">
        <f t="shared" si="1"/>
        <v>MG1100-204 - Circle Cutting</v>
      </c>
      <c r="D542" s="102">
        <v>1.0</v>
      </c>
      <c r="E542" s="13" t="s">
        <v>604</v>
      </c>
      <c r="F542" s="26" t="s">
        <v>644</v>
      </c>
      <c r="G542" s="105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85" t="s">
        <v>489</v>
      </c>
      <c r="B543" s="101" t="s">
        <v>490</v>
      </c>
      <c r="C543" s="13" t="str">
        <f t="shared" si="1"/>
        <v>MG1100-204 - Pressing 1</v>
      </c>
      <c r="D543" s="102">
        <v>2.0</v>
      </c>
      <c r="E543" s="13" t="s">
        <v>605</v>
      </c>
      <c r="F543" s="26" t="s">
        <v>646</v>
      </c>
      <c r="G543" s="105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85" t="s">
        <v>489</v>
      </c>
      <c r="B544" s="101" t="s">
        <v>490</v>
      </c>
      <c r="C544" s="13" t="str">
        <f t="shared" si="1"/>
        <v>MG1100-204 - Spinning - Direct</v>
      </c>
      <c r="D544" s="102">
        <v>3.0</v>
      </c>
      <c r="E544" s="13" t="s">
        <v>607</v>
      </c>
      <c r="F544" s="26" t="s">
        <v>647</v>
      </c>
      <c r="G544" s="105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85" t="s">
        <v>489</v>
      </c>
      <c r="B545" s="101" t="s">
        <v>490</v>
      </c>
      <c r="C545" s="13" t="str">
        <f t="shared" si="1"/>
        <v>MG1100-204 - Cutting</v>
      </c>
      <c r="D545" s="102">
        <v>4.0</v>
      </c>
      <c r="E545" s="13" t="s">
        <v>609</v>
      </c>
      <c r="F545" s="26" t="s">
        <v>648</v>
      </c>
      <c r="G545" s="105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85" t="s">
        <v>489</v>
      </c>
      <c r="B546" s="101" t="s">
        <v>490</v>
      </c>
      <c r="C546" s="13" t="str">
        <f t="shared" si="1"/>
        <v>MG1100-204 - Gobaa</v>
      </c>
      <c r="D546" s="102">
        <v>5.0</v>
      </c>
      <c r="E546" s="13" t="s">
        <v>612</v>
      </c>
      <c r="F546" s="26" t="s">
        <v>649</v>
      </c>
      <c r="G546" s="105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85" t="s">
        <v>489</v>
      </c>
      <c r="B547" s="101" t="s">
        <v>490</v>
      </c>
      <c r="C547" s="13" t="str">
        <f t="shared" si="1"/>
        <v>MG1100-204 - Pre Buffing</v>
      </c>
      <c r="D547" s="102">
        <v>6.0</v>
      </c>
      <c r="E547" s="13" t="s">
        <v>617</v>
      </c>
      <c r="F547" s="26" t="s">
        <v>650</v>
      </c>
      <c r="G547" s="105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85" t="s">
        <v>489</v>
      </c>
      <c r="B548" s="101" t="s">
        <v>490</v>
      </c>
      <c r="C548" s="13" t="str">
        <f t="shared" si="1"/>
        <v>MG1100-204 - Patti Polishing</v>
      </c>
      <c r="D548" s="102">
        <v>7.0</v>
      </c>
      <c r="E548" s="13" t="s">
        <v>613</v>
      </c>
      <c r="F548" s="26" t="s">
        <v>650</v>
      </c>
      <c r="G548" s="105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85" t="s">
        <v>489</v>
      </c>
      <c r="B549" s="101" t="s">
        <v>490</v>
      </c>
      <c r="C549" s="13" t="str">
        <f t="shared" si="1"/>
        <v>MG1100-204 - Patti Fatka</v>
      </c>
      <c r="D549" s="102">
        <v>8.0</v>
      </c>
      <c r="E549" s="13" t="s">
        <v>616</v>
      </c>
      <c r="F549" s="26" t="s">
        <v>649</v>
      </c>
      <c r="G549" s="105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85" t="s">
        <v>489</v>
      </c>
      <c r="B550" s="101" t="s">
        <v>490</v>
      </c>
      <c r="C550" s="13" t="str">
        <f t="shared" si="1"/>
        <v>MG1100-204 - Handle Hole</v>
      </c>
      <c r="D550" s="102">
        <v>9.0</v>
      </c>
      <c r="E550" s="26" t="s">
        <v>624</v>
      </c>
      <c r="F550" s="26" t="s">
        <v>649</v>
      </c>
      <c r="G550" s="105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85" t="s">
        <v>489</v>
      </c>
      <c r="B551" s="101" t="s">
        <v>490</v>
      </c>
      <c r="C551" s="13" t="str">
        <f t="shared" si="1"/>
        <v>MG1100-204 - Bottom Hole</v>
      </c>
      <c r="D551" s="102">
        <v>10.0</v>
      </c>
      <c r="E551" s="26" t="s">
        <v>626</v>
      </c>
      <c r="F551" s="26" t="s">
        <v>649</v>
      </c>
      <c r="G551" s="105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85" t="s">
        <v>489</v>
      </c>
      <c r="B552" s="101" t="s">
        <v>490</v>
      </c>
      <c r="C552" s="13" t="str">
        <f t="shared" si="1"/>
        <v>MG1100-204 - Flow Breaker</v>
      </c>
      <c r="D552" s="102">
        <v>11.0</v>
      </c>
      <c r="E552" s="13" t="s">
        <v>628</v>
      </c>
      <c r="F552" s="26" t="s">
        <v>649</v>
      </c>
      <c r="G552" s="105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85" t="s">
        <v>489</v>
      </c>
      <c r="B553" s="101" t="s">
        <v>490</v>
      </c>
      <c r="C553" s="13" t="str">
        <f t="shared" si="1"/>
        <v>MG1100-204 - Polishing</v>
      </c>
      <c r="D553" s="102">
        <v>12.0</v>
      </c>
      <c r="E553" s="13" t="s">
        <v>619</v>
      </c>
      <c r="F553" s="26" t="s">
        <v>650</v>
      </c>
      <c r="G553" s="105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85" t="s">
        <v>489</v>
      </c>
      <c r="B554" s="101" t="s">
        <v>490</v>
      </c>
      <c r="C554" s="13" t="str">
        <f t="shared" si="1"/>
        <v>MG1100-204 - Rework</v>
      </c>
      <c r="D554" s="102">
        <v>13.0</v>
      </c>
      <c r="E554" s="26" t="s">
        <v>621</v>
      </c>
      <c r="F554" s="26" t="s">
        <v>650</v>
      </c>
      <c r="G554" s="105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85" t="s">
        <v>489</v>
      </c>
      <c r="B555" s="101" t="s">
        <v>490</v>
      </c>
      <c r="C555" s="13" t="str">
        <f t="shared" si="1"/>
        <v>MG1100-204 - Cleaning</v>
      </c>
      <c r="D555" s="102">
        <v>14.0</v>
      </c>
      <c r="E555" s="26" t="s">
        <v>622</v>
      </c>
      <c r="F555" s="13"/>
      <c r="G555" s="105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85" t="s">
        <v>489</v>
      </c>
      <c r="B556" s="101" t="s">
        <v>490</v>
      </c>
      <c r="C556" s="13" t="str">
        <f t="shared" si="1"/>
        <v>MG1100-204 - Hole Bur</v>
      </c>
      <c r="D556" s="102">
        <v>15.0</v>
      </c>
      <c r="E556" s="26" t="s">
        <v>632</v>
      </c>
      <c r="F556" s="13"/>
      <c r="G556" s="105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85" t="s">
        <v>489</v>
      </c>
      <c r="B557" s="101" t="s">
        <v>490</v>
      </c>
      <c r="C557" s="13" t="str">
        <f t="shared" si="1"/>
        <v>MG1100-204 - Flatness Fatka</v>
      </c>
      <c r="D557" s="102">
        <v>16.0</v>
      </c>
      <c r="E557" s="26" t="s">
        <v>634</v>
      </c>
      <c r="F557" s="13"/>
      <c r="G557" s="105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85" t="s">
        <v>489</v>
      </c>
      <c r="B558" s="101" t="s">
        <v>490</v>
      </c>
      <c r="C558" s="13" t="str">
        <f t="shared" si="1"/>
        <v>MG1100-204 - Final Cleaning</v>
      </c>
      <c r="D558" s="102">
        <v>17.0</v>
      </c>
      <c r="E558" s="13" t="s">
        <v>627</v>
      </c>
      <c r="F558" s="13"/>
      <c r="G558" s="105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85" t="s">
        <v>489</v>
      </c>
      <c r="B559" s="101" t="s">
        <v>490</v>
      </c>
      <c r="C559" s="13" t="str">
        <f t="shared" si="1"/>
        <v>MG1100-204 - QC</v>
      </c>
      <c r="D559" s="102">
        <v>18.0</v>
      </c>
      <c r="E559" s="13" t="s">
        <v>629</v>
      </c>
      <c r="F559" s="13"/>
      <c r="G559" s="105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85" t="s">
        <v>489</v>
      </c>
      <c r="B560" s="101" t="s">
        <v>490</v>
      </c>
      <c r="C560" s="13" t="str">
        <f t="shared" si="1"/>
        <v>MG1100-204 - Packaging</v>
      </c>
      <c r="D560" s="102">
        <v>19.0</v>
      </c>
      <c r="E560" s="13" t="s">
        <v>631</v>
      </c>
      <c r="F560" s="13"/>
      <c r="G560" s="105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85" t="s">
        <v>491</v>
      </c>
      <c r="B561" s="101" t="s">
        <v>492</v>
      </c>
      <c r="C561" s="13" t="str">
        <f t="shared" si="1"/>
        <v>MG0500-204 - Circle Cutting</v>
      </c>
      <c r="D561" s="102">
        <v>1.0</v>
      </c>
      <c r="E561" s="13" t="s">
        <v>604</v>
      </c>
      <c r="F561" s="26" t="s">
        <v>644</v>
      </c>
      <c r="G561" s="105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85" t="s">
        <v>491</v>
      </c>
      <c r="B562" s="101" t="s">
        <v>492</v>
      </c>
      <c r="C562" s="13" t="str">
        <f t="shared" si="1"/>
        <v>MG0500-204 - Pressing 1</v>
      </c>
      <c r="D562" s="102">
        <v>2.0</v>
      </c>
      <c r="E562" s="13" t="s">
        <v>605</v>
      </c>
      <c r="F562" s="26" t="s">
        <v>646</v>
      </c>
      <c r="G562" s="105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85" t="s">
        <v>491</v>
      </c>
      <c r="B563" s="101" t="s">
        <v>492</v>
      </c>
      <c r="C563" s="13" t="str">
        <f t="shared" si="1"/>
        <v>MG0500-204 - Spinning - Direct</v>
      </c>
      <c r="D563" s="102">
        <v>3.0</v>
      </c>
      <c r="E563" s="13" t="s">
        <v>607</v>
      </c>
      <c r="F563" s="26" t="s">
        <v>647</v>
      </c>
      <c r="G563" s="105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85" t="s">
        <v>491</v>
      </c>
      <c r="B564" s="101" t="s">
        <v>492</v>
      </c>
      <c r="C564" s="13" t="str">
        <f t="shared" si="1"/>
        <v>MG0500-204 - Cutting</v>
      </c>
      <c r="D564" s="102">
        <v>4.0</v>
      </c>
      <c r="E564" s="13" t="s">
        <v>609</v>
      </c>
      <c r="F564" s="26" t="s">
        <v>648</v>
      </c>
      <c r="G564" s="105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85" t="s">
        <v>491</v>
      </c>
      <c r="B565" s="101" t="s">
        <v>492</v>
      </c>
      <c r="C565" s="13" t="str">
        <f t="shared" si="1"/>
        <v>MG0500-204 - Gobaa</v>
      </c>
      <c r="D565" s="102">
        <v>5.0</v>
      </c>
      <c r="E565" s="13" t="s">
        <v>612</v>
      </c>
      <c r="F565" s="26" t="s">
        <v>649</v>
      </c>
      <c r="G565" s="105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85" t="s">
        <v>491</v>
      </c>
      <c r="B566" s="101" t="s">
        <v>492</v>
      </c>
      <c r="C566" s="13" t="str">
        <f t="shared" si="1"/>
        <v>MG0500-204 - Pre Buffing</v>
      </c>
      <c r="D566" s="102">
        <v>6.0</v>
      </c>
      <c r="E566" s="13" t="s">
        <v>617</v>
      </c>
      <c r="F566" s="26" t="s">
        <v>650</v>
      </c>
      <c r="G566" s="105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85" t="s">
        <v>491</v>
      </c>
      <c r="B567" s="101" t="s">
        <v>492</v>
      </c>
      <c r="C567" s="13" t="str">
        <f t="shared" si="1"/>
        <v>MG0500-204 - Patti Polishing</v>
      </c>
      <c r="D567" s="102">
        <v>7.0</v>
      </c>
      <c r="E567" s="13" t="s">
        <v>613</v>
      </c>
      <c r="F567" s="26" t="s">
        <v>650</v>
      </c>
      <c r="G567" s="105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85" t="s">
        <v>491</v>
      </c>
      <c r="B568" s="101" t="s">
        <v>492</v>
      </c>
      <c r="C568" s="13" t="str">
        <f t="shared" si="1"/>
        <v>MG0500-204 - Patti Fatka</v>
      </c>
      <c r="D568" s="102">
        <v>8.0</v>
      </c>
      <c r="E568" s="13" t="s">
        <v>616</v>
      </c>
      <c r="F568" s="26" t="s">
        <v>649</v>
      </c>
      <c r="G568" s="105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85" t="s">
        <v>491</v>
      </c>
      <c r="B569" s="101" t="s">
        <v>492</v>
      </c>
      <c r="C569" s="13" t="str">
        <f t="shared" si="1"/>
        <v>MG0500-204 - Handle Hole</v>
      </c>
      <c r="D569" s="102">
        <v>9.0</v>
      </c>
      <c r="E569" s="26" t="s">
        <v>624</v>
      </c>
      <c r="F569" s="26" t="s">
        <v>649</v>
      </c>
      <c r="G569" s="105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85" t="s">
        <v>491</v>
      </c>
      <c r="B570" s="101" t="s">
        <v>492</v>
      </c>
      <c r="C570" s="13" t="str">
        <f t="shared" si="1"/>
        <v>MG0500-204 - Bottom Hole</v>
      </c>
      <c r="D570" s="102">
        <v>10.0</v>
      </c>
      <c r="E570" s="26" t="s">
        <v>626</v>
      </c>
      <c r="F570" s="26" t="s">
        <v>649</v>
      </c>
      <c r="G570" s="105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85" t="s">
        <v>491</v>
      </c>
      <c r="B571" s="101" t="s">
        <v>492</v>
      </c>
      <c r="C571" s="13" t="str">
        <f t="shared" si="1"/>
        <v>MG0500-204 - Polishing</v>
      </c>
      <c r="D571" s="102">
        <v>11.0</v>
      </c>
      <c r="E571" s="13" t="s">
        <v>619</v>
      </c>
      <c r="F571" s="26" t="s">
        <v>650</v>
      </c>
      <c r="G571" s="105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85" t="s">
        <v>491</v>
      </c>
      <c r="B572" s="101" t="s">
        <v>492</v>
      </c>
      <c r="C572" s="13" t="str">
        <f t="shared" si="1"/>
        <v>MG0500-204 - Rework</v>
      </c>
      <c r="D572" s="102">
        <v>12.0</v>
      </c>
      <c r="E572" s="26" t="s">
        <v>621</v>
      </c>
      <c r="F572" s="26" t="s">
        <v>650</v>
      </c>
      <c r="G572" s="105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85" t="s">
        <v>491</v>
      </c>
      <c r="B573" s="101" t="s">
        <v>492</v>
      </c>
      <c r="C573" s="13" t="str">
        <f t="shared" si="1"/>
        <v>MG0500-204 - Cleaning</v>
      </c>
      <c r="D573" s="102">
        <v>13.0</v>
      </c>
      <c r="E573" s="26" t="s">
        <v>622</v>
      </c>
      <c r="F573" s="13"/>
      <c r="G573" s="105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85" t="s">
        <v>491</v>
      </c>
      <c r="B574" s="101" t="s">
        <v>492</v>
      </c>
      <c r="C574" s="13" t="str">
        <f t="shared" si="1"/>
        <v>MG0500-204 - Hole Bur</v>
      </c>
      <c r="D574" s="102">
        <v>14.0</v>
      </c>
      <c r="E574" s="26" t="s">
        <v>632</v>
      </c>
      <c r="F574" s="13"/>
      <c r="G574" s="105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85" t="s">
        <v>491</v>
      </c>
      <c r="B575" s="101" t="s">
        <v>492</v>
      </c>
      <c r="C575" s="13" t="str">
        <f t="shared" si="1"/>
        <v>MG0500-204 - Flatness Fatka</v>
      </c>
      <c r="D575" s="102">
        <v>15.0</v>
      </c>
      <c r="E575" s="26" t="s">
        <v>634</v>
      </c>
      <c r="F575" s="13"/>
      <c r="G575" s="105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85" t="s">
        <v>491</v>
      </c>
      <c r="B576" s="101" t="s">
        <v>492</v>
      </c>
      <c r="C576" s="13" t="str">
        <f t="shared" si="1"/>
        <v>MG0500-204 - Final Cleaning</v>
      </c>
      <c r="D576" s="102">
        <v>16.0</v>
      </c>
      <c r="E576" s="13" t="s">
        <v>627</v>
      </c>
      <c r="F576" s="13"/>
      <c r="G576" s="105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85" t="s">
        <v>491</v>
      </c>
      <c r="B577" s="101" t="s">
        <v>492</v>
      </c>
      <c r="C577" s="13" t="str">
        <f t="shared" si="1"/>
        <v>MG0500-204 - QC</v>
      </c>
      <c r="D577" s="102">
        <v>17.0</v>
      </c>
      <c r="E577" s="13" t="s">
        <v>629</v>
      </c>
      <c r="F577" s="13"/>
      <c r="G577" s="105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85" t="s">
        <v>491</v>
      </c>
      <c r="B578" s="101" t="s">
        <v>492</v>
      </c>
      <c r="C578" s="13" t="str">
        <f t="shared" si="1"/>
        <v>MG0500-204 - Packaging</v>
      </c>
      <c r="D578" s="102">
        <v>18.0</v>
      </c>
      <c r="E578" s="13" t="s">
        <v>631</v>
      </c>
      <c r="F578" s="13"/>
      <c r="G578" s="105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85"/>
      <c r="B579" s="101" t="s">
        <v>654</v>
      </c>
      <c r="C579" s="13" t="str">
        <f t="shared" si="1"/>
        <v> - </v>
      </c>
      <c r="D579" s="102"/>
      <c r="E579" s="13"/>
      <c r="F579" s="13"/>
      <c r="G579" s="105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85"/>
      <c r="B580" s="101" t="s">
        <v>654</v>
      </c>
      <c r="C580" s="13" t="str">
        <f t="shared" si="1"/>
        <v> - </v>
      </c>
      <c r="D580" s="106"/>
      <c r="E580" s="13"/>
      <c r="F580" s="13"/>
      <c r="G580" s="105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85"/>
      <c r="B581" s="101" t="s">
        <v>654</v>
      </c>
      <c r="C581" s="13" t="str">
        <f t="shared" si="1"/>
        <v> - </v>
      </c>
      <c r="D581" s="106"/>
      <c r="E581" s="13"/>
      <c r="F581" s="13"/>
      <c r="G581" s="105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85"/>
      <c r="B582" s="101" t="s">
        <v>654</v>
      </c>
      <c r="C582" s="13" t="str">
        <f t="shared" si="1"/>
        <v> - </v>
      </c>
      <c r="D582" s="106"/>
      <c r="E582" s="13"/>
      <c r="F582" s="13"/>
      <c r="G582" s="105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85"/>
      <c r="B583" s="101" t="s">
        <v>654</v>
      </c>
      <c r="C583" s="13" t="str">
        <f t="shared" si="1"/>
        <v> - </v>
      </c>
      <c r="D583" s="106"/>
      <c r="E583" s="13"/>
      <c r="F583" s="13"/>
      <c r="G583" s="105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85"/>
      <c r="B584" s="101" t="s">
        <v>654</v>
      </c>
      <c r="C584" s="13" t="str">
        <f t="shared" si="1"/>
        <v> - </v>
      </c>
      <c r="D584" s="106"/>
      <c r="E584" s="13"/>
      <c r="F584" s="13"/>
      <c r="G584" s="105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85"/>
      <c r="B585" s="101" t="s">
        <v>654</v>
      </c>
      <c r="C585" s="13" t="str">
        <f t="shared" si="1"/>
        <v> - </v>
      </c>
      <c r="D585" s="106"/>
      <c r="E585" s="13"/>
      <c r="F585" s="13"/>
      <c r="G585" s="105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85"/>
      <c r="B586" s="101" t="s">
        <v>654</v>
      </c>
      <c r="C586" s="13" t="str">
        <f t="shared" si="1"/>
        <v> - </v>
      </c>
      <c r="D586" s="106"/>
      <c r="E586" s="13"/>
      <c r="F586" s="13"/>
      <c r="G586" s="105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85"/>
      <c r="B587" s="101" t="s">
        <v>654</v>
      </c>
      <c r="C587" s="13" t="str">
        <f t="shared" si="1"/>
        <v> - </v>
      </c>
      <c r="D587" s="106"/>
      <c r="E587" s="13"/>
      <c r="F587" s="13"/>
      <c r="G587" s="105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85"/>
      <c r="B588" s="101" t="s">
        <v>654</v>
      </c>
      <c r="C588" s="13" t="str">
        <f t="shared" si="1"/>
        <v> - </v>
      </c>
      <c r="D588" s="106"/>
      <c r="E588" s="13"/>
      <c r="F588" s="13"/>
      <c r="G588" s="105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85"/>
      <c r="B589" s="101" t="s">
        <v>654</v>
      </c>
      <c r="C589" s="13" t="str">
        <f t="shared" si="1"/>
        <v> - </v>
      </c>
      <c r="D589" s="106"/>
      <c r="E589" s="13"/>
      <c r="F589" s="13"/>
      <c r="G589" s="105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85"/>
      <c r="B590" s="101" t="s">
        <v>654</v>
      </c>
      <c r="C590" s="13" t="str">
        <f t="shared" si="1"/>
        <v> - </v>
      </c>
      <c r="D590" s="106"/>
      <c r="E590" s="13"/>
      <c r="F590" s="13"/>
      <c r="G590" s="105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85"/>
      <c r="B591" s="101" t="s">
        <v>654</v>
      </c>
      <c r="C591" s="13" t="str">
        <f t="shared" si="1"/>
        <v> - </v>
      </c>
      <c r="D591" s="106"/>
      <c r="E591" s="13"/>
      <c r="F591" s="13"/>
      <c r="G591" s="105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85"/>
      <c r="B592" s="101" t="s">
        <v>654</v>
      </c>
      <c r="C592" s="13" t="str">
        <f t="shared" si="1"/>
        <v> - </v>
      </c>
      <c r="D592" s="106"/>
      <c r="E592" s="13"/>
      <c r="F592" s="13"/>
      <c r="G592" s="105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85"/>
      <c r="B593" s="101" t="s">
        <v>654</v>
      </c>
      <c r="C593" s="13" t="str">
        <f t="shared" si="1"/>
        <v> - </v>
      </c>
      <c r="D593" s="106"/>
      <c r="E593" s="13"/>
      <c r="F593" s="13"/>
      <c r="G593" s="105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85"/>
      <c r="B594" s="101" t="s">
        <v>654</v>
      </c>
      <c r="C594" s="13" t="str">
        <f t="shared" si="1"/>
        <v> - </v>
      </c>
      <c r="D594" s="106"/>
      <c r="E594" s="13"/>
      <c r="F594" s="13"/>
      <c r="G594" s="105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85"/>
      <c r="B595" s="101" t="s">
        <v>654</v>
      </c>
      <c r="C595" s="13" t="str">
        <f t="shared" si="1"/>
        <v> - </v>
      </c>
      <c r="D595" s="106"/>
      <c r="E595" s="13"/>
      <c r="F595" s="13"/>
      <c r="G595" s="105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85"/>
      <c r="B596" s="101" t="s">
        <v>654</v>
      </c>
      <c r="C596" s="13" t="str">
        <f t="shared" si="1"/>
        <v> - </v>
      </c>
      <c r="D596" s="106"/>
      <c r="E596" s="13"/>
      <c r="F596" s="13"/>
      <c r="G596" s="105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85"/>
      <c r="B597" s="101" t="s">
        <v>654</v>
      </c>
      <c r="C597" s="13" t="str">
        <f t="shared" si="1"/>
        <v> - </v>
      </c>
      <c r="D597" s="106"/>
      <c r="E597" s="13"/>
      <c r="F597" s="13"/>
      <c r="G597" s="105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85"/>
      <c r="B598" s="101" t="s">
        <v>654</v>
      </c>
      <c r="C598" s="13" t="str">
        <f t="shared" si="1"/>
        <v> - </v>
      </c>
      <c r="D598" s="106"/>
      <c r="E598" s="13"/>
      <c r="F598" s="13"/>
      <c r="G598" s="105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85"/>
      <c r="B599" s="101" t="s">
        <v>654</v>
      </c>
      <c r="C599" s="13" t="str">
        <f t="shared" si="1"/>
        <v> - </v>
      </c>
      <c r="D599" s="106"/>
      <c r="E599" s="13"/>
      <c r="F599" s="13"/>
      <c r="G599" s="105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85"/>
      <c r="B600" s="101" t="s">
        <v>654</v>
      </c>
      <c r="C600" s="13" t="str">
        <f t="shared" si="1"/>
        <v> - </v>
      </c>
      <c r="D600" s="106"/>
      <c r="E600" s="13"/>
      <c r="F600" s="13"/>
      <c r="G600" s="105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85"/>
      <c r="B601" s="101" t="s">
        <v>654</v>
      </c>
      <c r="C601" s="13" t="str">
        <f t="shared" si="1"/>
        <v> - </v>
      </c>
      <c r="D601" s="106"/>
      <c r="E601" s="13"/>
      <c r="F601" s="13"/>
      <c r="G601" s="105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85"/>
      <c r="B602" s="101" t="s">
        <v>654</v>
      </c>
      <c r="C602" s="13" t="str">
        <f t="shared" si="1"/>
        <v> - </v>
      </c>
      <c r="D602" s="106"/>
      <c r="E602" s="13"/>
      <c r="F602" s="13"/>
      <c r="G602" s="105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85"/>
      <c r="B603" s="101" t="s">
        <v>654</v>
      </c>
      <c r="C603" s="13" t="str">
        <f t="shared" si="1"/>
        <v> - </v>
      </c>
      <c r="D603" s="106"/>
      <c r="E603" s="13"/>
      <c r="F603" s="13"/>
      <c r="G603" s="105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85"/>
      <c r="B604" s="101" t="s">
        <v>654</v>
      </c>
      <c r="C604" s="13" t="str">
        <f t="shared" si="1"/>
        <v> - </v>
      </c>
      <c r="D604" s="106"/>
      <c r="E604" s="13"/>
      <c r="F604" s="13"/>
      <c r="G604" s="105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85"/>
      <c r="B605" s="101" t="s">
        <v>654</v>
      </c>
      <c r="C605" s="13" t="str">
        <f t="shared" si="1"/>
        <v> - </v>
      </c>
      <c r="D605" s="106"/>
      <c r="E605" s="13"/>
      <c r="F605" s="13"/>
      <c r="G605" s="105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85"/>
      <c r="B606" s="101" t="s">
        <v>654</v>
      </c>
      <c r="C606" s="13" t="str">
        <f t="shared" si="1"/>
        <v> - </v>
      </c>
      <c r="D606" s="106"/>
      <c r="E606" s="13"/>
      <c r="F606" s="13"/>
      <c r="G606" s="105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85"/>
      <c r="B607" s="101" t="s">
        <v>654</v>
      </c>
      <c r="C607" s="13" t="str">
        <f t="shared" si="1"/>
        <v> - </v>
      </c>
      <c r="D607" s="106"/>
      <c r="E607" s="13"/>
      <c r="F607" s="13"/>
      <c r="G607" s="105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85"/>
      <c r="B608" s="101" t="s">
        <v>654</v>
      </c>
      <c r="C608" s="13" t="str">
        <f t="shared" si="1"/>
        <v> - </v>
      </c>
      <c r="D608" s="106"/>
      <c r="E608" s="13"/>
      <c r="F608" s="13"/>
      <c r="G608" s="105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85"/>
      <c r="B609" s="101" t="s">
        <v>654</v>
      </c>
      <c r="C609" s="13" t="str">
        <f t="shared" si="1"/>
        <v> - </v>
      </c>
      <c r="D609" s="106"/>
      <c r="E609" s="13"/>
      <c r="F609" s="13"/>
      <c r="G609" s="105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85"/>
      <c r="B610" s="101" t="s">
        <v>654</v>
      </c>
      <c r="C610" s="13" t="str">
        <f t="shared" si="1"/>
        <v> - </v>
      </c>
      <c r="D610" s="106"/>
      <c r="E610" s="13"/>
      <c r="F610" s="13"/>
      <c r="G610" s="105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85"/>
      <c r="B611" s="101" t="s">
        <v>654</v>
      </c>
      <c r="C611" s="13" t="str">
        <f t="shared" si="1"/>
        <v> - </v>
      </c>
      <c r="D611" s="106"/>
      <c r="E611" s="13"/>
      <c r="F611" s="13"/>
      <c r="G611" s="105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85"/>
      <c r="B612" s="101" t="s">
        <v>654</v>
      </c>
      <c r="C612" s="13" t="str">
        <f t="shared" si="1"/>
        <v> - </v>
      </c>
      <c r="D612" s="106"/>
      <c r="E612" s="13"/>
      <c r="F612" s="13"/>
      <c r="G612" s="105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85"/>
      <c r="B613" s="101" t="s">
        <v>654</v>
      </c>
      <c r="C613" s="13" t="str">
        <f t="shared" si="1"/>
        <v> - </v>
      </c>
      <c r="D613" s="106"/>
      <c r="E613" s="13"/>
      <c r="F613" s="13"/>
      <c r="G613" s="105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85"/>
      <c r="B614" s="101" t="s">
        <v>654</v>
      </c>
      <c r="C614" s="13" t="str">
        <f t="shared" si="1"/>
        <v> - </v>
      </c>
      <c r="D614" s="106"/>
      <c r="E614" s="13"/>
      <c r="F614" s="13"/>
      <c r="G614" s="105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85"/>
      <c r="B615" s="101" t="s">
        <v>654</v>
      </c>
      <c r="C615" s="13" t="str">
        <f t="shared" si="1"/>
        <v> - </v>
      </c>
      <c r="D615" s="106"/>
      <c r="E615" s="13"/>
      <c r="F615" s="13"/>
      <c r="G615" s="105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85"/>
      <c r="B616" s="101" t="s">
        <v>654</v>
      </c>
      <c r="C616" s="13" t="str">
        <f t="shared" si="1"/>
        <v> - </v>
      </c>
      <c r="D616" s="106"/>
      <c r="E616" s="13"/>
      <c r="F616" s="13"/>
      <c r="G616" s="105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85"/>
      <c r="B617" s="101" t="s">
        <v>654</v>
      </c>
      <c r="C617" s="13" t="str">
        <f t="shared" si="1"/>
        <v> - </v>
      </c>
      <c r="D617" s="106"/>
      <c r="E617" s="13"/>
      <c r="F617" s="13"/>
      <c r="G617" s="105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85"/>
      <c r="B618" s="101" t="s">
        <v>654</v>
      </c>
      <c r="C618" s="13" t="str">
        <f t="shared" si="1"/>
        <v> - </v>
      </c>
      <c r="D618" s="106"/>
      <c r="E618" s="13"/>
      <c r="F618" s="13"/>
      <c r="G618" s="105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85"/>
      <c r="B619" s="101" t="s">
        <v>654</v>
      </c>
      <c r="C619" s="13" t="str">
        <f t="shared" si="1"/>
        <v> - </v>
      </c>
      <c r="D619" s="106"/>
      <c r="E619" s="13"/>
      <c r="F619" s="13"/>
      <c r="G619" s="105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85"/>
      <c r="B620" s="101" t="s">
        <v>654</v>
      </c>
      <c r="C620" s="13" t="str">
        <f t="shared" si="1"/>
        <v> - </v>
      </c>
      <c r="D620" s="106"/>
      <c r="E620" s="13"/>
      <c r="F620" s="13"/>
      <c r="G620" s="105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85"/>
      <c r="B621" s="101" t="s">
        <v>654</v>
      </c>
      <c r="C621" s="13" t="str">
        <f t="shared" si="1"/>
        <v> - </v>
      </c>
      <c r="D621" s="106"/>
      <c r="E621" s="13"/>
      <c r="F621" s="13"/>
      <c r="G621" s="105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85"/>
      <c r="B622" s="101" t="s">
        <v>654</v>
      </c>
      <c r="C622" s="13" t="str">
        <f t="shared" si="1"/>
        <v> - </v>
      </c>
      <c r="D622" s="106"/>
      <c r="E622" s="13"/>
      <c r="F622" s="13"/>
      <c r="G622" s="105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85"/>
      <c r="B623" s="101" t="s">
        <v>654</v>
      </c>
      <c r="C623" s="13" t="str">
        <f t="shared" si="1"/>
        <v> - </v>
      </c>
      <c r="D623" s="106"/>
      <c r="E623" s="13"/>
      <c r="F623" s="13"/>
      <c r="G623" s="105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85"/>
      <c r="B624" s="101" t="s">
        <v>654</v>
      </c>
      <c r="C624" s="13" t="str">
        <f t="shared" si="1"/>
        <v> - </v>
      </c>
      <c r="D624" s="106"/>
      <c r="E624" s="13"/>
      <c r="F624" s="13"/>
      <c r="G624" s="105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85"/>
      <c r="B625" s="101" t="s">
        <v>654</v>
      </c>
      <c r="C625" s="13" t="str">
        <f t="shared" si="1"/>
        <v> - </v>
      </c>
      <c r="D625" s="106"/>
      <c r="E625" s="13"/>
      <c r="F625" s="13"/>
      <c r="G625" s="105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85"/>
      <c r="B626" s="101" t="s">
        <v>654</v>
      </c>
      <c r="C626" s="13" t="str">
        <f t="shared" si="1"/>
        <v> - </v>
      </c>
      <c r="D626" s="106"/>
      <c r="E626" s="13"/>
      <c r="F626" s="13"/>
      <c r="G626" s="105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85"/>
      <c r="B627" s="101" t="s">
        <v>654</v>
      </c>
      <c r="C627" s="13" t="str">
        <f t="shared" si="1"/>
        <v> - </v>
      </c>
      <c r="D627" s="106"/>
      <c r="E627" s="13"/>
      <c r="F627" s="13"/>
      <c r="G627" s="105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85"/>
      <c r="B628" s="101" t="s">
        <v>654</v>
      </c>
      <c r="C628" s="13" t="str">
        <f t="shared" si="1"/>
        <v> - </v>
      </c>
      <c r="D628" s="106"/>
      <c r="E628" s="13"/>
      <c r="F628" s="13"/>
      <c r="G628" s="105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85"/>
      <c r="B629" s="101" t="s">
        <v>654</v>
      </c>
      <c r="C629" s="13" t="str">
        <f t="shared" si="1"/>
        <v> - </v>
      </c>
      <c r="D629" s="106"/>
      <c r="E629" s="13"/>
      <c r="F629" s="13"/>
      <c r="G629" s="105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85"/>
      <c r="B630" s="101" t="s">
        <v>654</v>
      </c>
      <c r="C630" s="13" t="str">
        <f t="shared" si="1"/>
        <v> - </v>
      </c>
      <c r="D630" s="106"/>
      <c r="E630" s="13"/>
      <c r="F630" s="13"/>
      <c r="G630" s="105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85"/>
      <c r="B631" s="101" t="s">
        <v>654</v>
      </c>
      <c r="C631" s="13" t="str">
        <f t="shared" si="1"/>
        <v> - </v>
      </c>
      <c r="D631" s="106"/>
      <c r="E631" s="13"/>
      <c r="F631" s="13"/>
      <c r="G631" s="105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85"/>
      <c r="B632" s="101" t="s">
        <v>654</v>
      </c>
      <c r="C632" s="13" t="str">
        <f t="shared" si="1"/>
        <v> - </v>
      </c>
      <c r="D632" s="106"/>
      <c r="E632" s="13"/>
      <c r="F632" s="13"/>
      <c r="G632" s="105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85"/>
      <c r="B633" s="101" t="s">
        <v>654</v>
      </c>
      <c r="C633" s="13" t="str">
        <f t="shared" si="1"/>
        <v> - </v>
      </c>
      <c r="D633" s="106"/>
      <c r="E633" s="13"/>
      <c r="F633" s="13"/>
      <c r="G633" s="105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85"/>
      <c r="B634" s="101" t="s">
        <v>654</v>
      </c>
      <c r="C634" s="13" t="str">
        <f t="shared" si="1"/>
        <v> - </v>
      </c>
      <c r="D634" s="106"/>
      <c r="E634" s="13"/>
      <c r="F634" s="13"/>
      <c r="G634" s="105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85"/>
      <c r="B635" s="101" t="s">
        <v>654</v>
      </c>
      <c r="C635" s="13" t="str">
        <f t="shared" si="1"/>
        <v> - </v>
      </c>
      <c r="D635" s="106"/>
      <c r="E635" s="13"/>
      <c r="F635" s="13"/>
      <c r="G635" s="105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85"/>
      <c r="B636" s="101" t="s">
        <v>654</v>
      </c>
      <c r="C636" s="13" t="str">
        <f t="shared" si="1"/>
        <v> - </v>
      </c>
      <c r="D636" s="106"/>
      <c r="E636" s="13"/>
      <c r="F636" s="13"/>
      <c r="G636" s="105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85"/>
      <c r="B637" s="101" t="s">
        <v>654</v>
      </c>
      <c r="C637" s="13" t="str">
        <f t="shared" si="1"/>
        <v> - </v>
      </c>
      <c r="D637" s="106"/>
      <c r="E637" s="13"/>
      <c r="F637" s="13"/>
      <c r="G637" s="105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85"/>
      <c r="B638" s="101" t="s">
        <v>654</v>
      </c>
      <c r="C638" s="13" t="str">
        <f t="shared" si="1"/>
        <v> - </v>
      </c>
      <c r="D638" s="106"/>
      <c r="E638" s="13"/>
      <c r="F638" s="13"/>
      <c r="G638" s="105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85"/>
      <c r="B639" s="101" t="s">
        <v>654</v>
      </c>
      <c r="C639" s="13" t="str">
        <f t="shared" si="1"/>
        <v> - </v>
      </c>
      <c r="D639" s="106"/>
      <c r="E639" s="13"/>
      <c r="F639" s="13"/>
      <c r="G639" s="105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85"/>
      <c r="B640" s="101" t="s">
        <v>654</v>
      </c>
      <c r="C640" s="13" t="str">
        <f t="shared" si="1"/>
        <v> - </v>
      </c>
      <c r="D640" s="106"/>
      <c r="E640" s="13"/>
      <c r="F640" s="13"/>
      <c r="G640" s="105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85"/>
      <c r="B641" s="101" t="s">
        <v>654</v>
      </c>
      <c r="C641" s="13" t="str">
        <f t="shared" si="1"/>
        <v> - </v>
      </c>
      <c r="D641" s="106"/>
      <c r="E641" s="13"/>
      <c r="F641" s="13"/>
      <c r="G641" s="105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85"/>
      <c r="B642" s="101" t="s">
        <v>654</v>
      </c>
      <c r="C642" s="13" t="str">
        <f t="shared" si="1"/>
        <v> - </v>
      </c>
      <c r="D642" s="106"/>
      <c r="E642" s="13"/>
      <c r="F642" s="13"/>
      <c r="G642" s="105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85"/>
      <c r="B643" s="101" t="s">
        <v>654</v>
      </c>
      <c r="C643" s="13" t="str">
        <f t="shared" si="1"/>
        <v> - </v>
      </c>
      <c r="D643" s="106"/>
      <c r="E643" s="13"/>
      <c r="F643" s="13"/>
      <c r="G643" s="105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85"/>
      <c r="B644" s="101" t="s">
        <v>654</v>
      </c>
      <c r="C644" s="13" t="str">
        <f t="shared" si="1"/>
        <v> - </v>
      </c>
      <c r="D644" s="106"/>
      <c r="E644" s="13"/>
      <c r="F644" s="13"/>
      <c r="G644" s="105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85"/>
      <c r="B645" s="101" t="s">
        <v>654</v>
      </c>
      <c r="C645" s="13" t="str">
        <f t="shared" si="1"/>
        <v> - </v>
      </c>
      <c r="D645" s="106"/>
      <c r="E645" s="13"/>
      <c r="F645" s="13"/>
      <c r="G645" s="105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85"/>
      <c r="B646" s="101" t="s">
        <v>654</v>
      </c>
      <c r="C646" s="13" t="str">
        <f t="shared" si="1"/>
        <v> - </v>
      </c>
      <c r="D646" s="106"/>
      <c r="E646" s="13"/>
      <c r="F646" s="13"/>
      <c r="G646" s="105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85"/>
      <c r="B647" s="101" t="s">
        <v>654</v>
      </c>
      <c r="C647" s="13" t="str">
        <f t="shared" si="1"/>
        <v> - </v>
      </c>
      <c r="D647" s="106"/>
      <c r="E647" s="13"/>
      <c r="F647" s="13"/>
      <c r="G647" s="105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85"/>
      <c r="B648" s="101" t="s">
        <v>654</v>
      </c>
      <c r="C648" s="13" t="str">
        <f t="shared" si="1"/>
        <v> - </v>
      </c>
      <c r="D648" s="106"/>
      <c r="E648" s="13"/>
      <c r="F648" s="13"/>
      <c r="G648" s="105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85"/>
      <c r="B649" s="101" t="s">
        <v>654</v>
      </c>
      <c r="C649" s="13" t="str">
        <f t="shared" si="1"/>
        <v> - </v>
      </c>
      <c r="D649" s="106"/>
      <c r="E649" s="13"/>
      <c r="F649" s="13"/>
      <c r="G649" s="105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85"/>
      <c r="B650" s="101" t="s">
        <v>654</v>
      </c>
      <c r="C650" s="13" t="str">
        <f t="shared" si="1"/>
        <v> - </v>
      </c>
      <c r="D650" s="106"/>
      <c r="E650" s="13"/>
      <c r="F650" s="13"/>
      <c r="G650" s="105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85"/>
      <c r="B651" s="101" t="s">
        <v>654</v>
      </c>
      <c r="C651" s="13" t="str">
        <f t="shared" si="1"/>
        <v> - </v>
      </c>
      <c r="D651" s="106"/>
      <c r="E651" s="13"/>
      <c r="F651" s="13"/>
      <c r="G651" s="105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85"/>
      <c r="B652" s="101" t="s">
        <v>654</v>
      </c>
      <c r="C652" s="13" t="str">
        <f t="shared" si="1"/>
        <v> - </v>
      </c>
      <c r="D652" s="106"/>
      <c r="E652" s="13"/>
      <c r="F652" s="13"/>
      <c r="G652" s="105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85"/>
      <c r="B653" s="101" t="s">
        <v>654</v>
      </c>
      <c r="C653" s="13" t="str">
        <f t="shared" si="1"/>
        <v> - </v>
      </c>
      <c r="D653" s="106"/>
      <c r="E653" s="13"/>
      <c r="F653" s="13"/>
      <c r="G653" s="105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85"/>
      <c r="B654" s="101" t="s">
        <v>654</v>
      </c>
      <c r="C654" s="13" t="str">
        <f t="shared" si="1"/>
        <v> - </v>
      </c>
      <c r="D654" s="106"/>
      <c r="E654" s="13"/>
      <c r="F654" s="13"/>
      <c r="G654" s="105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85"/>
      <c r="B655" s="101" t="s">
        <v>654</v>
      </c>
      <c r="C655" s="13" t="str">
        <f t="shared" si="1"/>
        <v> - </v>
      </c>
      <c r="D655" s="106"/>
      <c r="E655" s="13"/>
      <c r="F655" s="13"/>
      <c r="G655" s="105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85"/>
      <c r="B656" s="101" t="s">
        <v>654</v>
      </c>
      <c r="C656" s="13" t="str">
        <f t="shared" si="1"/>
        <v> - </v>
      </c>
      <c r="D656" s="106"/>
      <c r="E656" s="13"/>
      <c r="F656" s="13"/>
      <c r="G656" s="105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85"/>
      <c r="B657" s="101" t="s">
        <v>654</v>
      </c>
      <c r="C657" s="13" t="str">
        <f t="shared" si="1"/>
        <v> - </v>
      </c>
      <c r="D657" s="106"/>
      <c r="E657" s="13"/>
      <c r="F657" s="13"/>
      <c r="G657" s="105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85"/>
      <c r="B658" s="101" t="s">
        <v>654</v>
      </c>
      <c r="C658" s="13" t="str">
        <f t="shared" si="1"/>
        <v> - </v>
      </c>
      <c r="D658" s="106"/>
      <c r="E658" s="13"/>
      <c r="F658" s="13"/>
      <c r="G658" s="105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85"/>
      <c r="B659" s="101" t="s">
        <v>654</v>
      </c>
      <c r="C659" s="13" t="str">
        <f t="shared" si="1"/>
        <v> - </v>
      </c>
      <c r="D659" s="106"/>
      <c r="E659" s="13"/>
      <c r="F659" s="13"/>
      <c r="G659" s="105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85"/>
      <c r="B660" s="101" t="s">
        <v>654</v>
      </c>
      <c r="C660" s="13" t="str">
        <f t="shared" si="1"/>
        <v> - </v>
      </c>
      <c r="D660" s="106"/>
      <c r="E660" s="13"/>
      <c r="F660" s="13"/>
      <c r="G660" s="105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85"/>
      <c r="B661" s="101" t="s">
        <v>654</v>
      </c>
      <c r="C661" s="13" t="str">
        <f t="shared" si="1"/>
        <v> - </v>
      </c>
      <c r="D661" s="106"/>
      <c r="E661" s="13"/>
      <c r="F661" s="13"/>
      <c r="G661" s="105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85"/>
      <c r="B662" s="101" t="s">
        <v>654</v>
      </c>
      <c r="C662" s="13" t="str">
        <f t="shared" si="1"/>
        <v> - </v>
      </c>
      <c r="D662" s="106"/>
      <c r="E662" s="13"/>
      <c r="F662" s="13"/>
      <c r="G662" s="105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85"/>
      <c r="B663" s="101" t="s">
        <v>654</v>
      </c>
      <c r="C663" s="13" t="str">
        <f t="shared" si="1"/>
        <v> - </v>
      </c>
      <c r="D663" s="106"/>
      <c r="E663" s="13"/>
      <c r="F663" s="13"/>
      <c r="G663" s="105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85"/>
      <c r="B664" s="101" t="s">
        <v>654</v>
      </c>
      <c r="C664" s="13" t="str">
        <f t="shared" si="1"/>
        <v> - </v>
      </c>
      <c r="D664" s="106"/>
      <c r="E664" s="13"/>
      <c r="F664" s="13"/>
      <c r="G664" s="105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85"/>
      <c r="B665" s="101" t="s">
        <v>654</v>
      </c>
      <c r="C665" s="13" t="str">
        <f t="shared" si="1"/>
        <v> - </v>
      </c>
      <c r="D665" s="106"/>
      <c r="E665" s="13"/>
      <c r="F665" s="13"/>
      <c r="G665" s="105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85"/>
      <c r="B666" s="101" t="s">
        <v>654</v>
      </c>
      <c r="C666" s="13" t="str">
        <f t="shared" si="1"/>
        <v> - </v>
      </c>
      <c r="D666" s="106"/>
      <c r="E666" s="13"/>
      <c r="F666" s="13"/>
      <c r="G666" s="105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85"/>
      <c r="B667" s="101" t="s">
        <v>654</v>
      </c>
      <c r="C667" s="13" t="str">
        <f t="shared" si="1"/>
        <v> - </v>
      </c>
      <c r="D667" s="106"/>
      <c r="E667" s="13"/>
      <c r="F667" s="13"/>
      <c r="G667" s="105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85"/>
      <c r="B668" s="101" t="s">
        <v>654</v>
      </c>
      <c r="C668" s="13" t="str">
        <f t="shared" si="1"/>
        <v> - </v>
      </c>
      <c r="D668" s="106"/>
      <c r="E668" s="13"/>
      <c r="F668" s="13"/>
      <c r="G668" s="105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85"/>
      <c r="B669" s="101" t="s">
        <v>654</v>
      </c>
      <c r="C669" s="13" t="str">
        <f t="shared" si="1"/>
        <v> - </v>
      </c>
      <c r="D669" s="106"/>
      <c r="E669" s="13"/>
      <c r="F669" s="13"/>
      <c r="G669" s="105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85"/>
      <c r="B670" s="101" t="s">
        <v>654</v>
      </c>
      <c r="C670" s="13" t="str">
        <f t="shared" si="1"/>
        <v> - </v>
      </c>
      <c r="D670" s="106"/>
      <c r="E670" s="13"/>
      <c r="F670" s="13"/>
      <c r="G670" s="105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85"/>
      <c r="B671" s="101" t="s">
        <v>654</v>
      </c>
      <c r="C671" s="13" t="str">
        <f t="shared" si="1"/>
        <v> - </v>
      </c>
      <c r="D671" s="106"/>
      <c r="E671" s="13"/>
      <c r="F671" s="13"/>
      <c r="G671" s="105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85"/>
      <c r="B672" s="101" t="s">
        <v>654</v>
      </c>
      <c r="C672" s="13" t="str">
        <f t="shared" si="1"/>
        <v> - </v>
      </c>
      <c r="D672" s="106"/>
      <c r="E672" s="13"/>
      <c r="F672" s="13"/>
      <c r="G672" s="105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85"/>
      <c r="B673" s="101" t="s">
        <v>654</v>
      </c>
      <c r="C673" s="13" t="str">
        <f t="shared" si="1"/>
        <v> - </v>
      </c>
      <c r="D673" s="106"/>
      <c r="E673" s="13"/>
      <c r="F673" s="13"/>
      <c r="G673" s="105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85"/>
      <c r="B674" s="101" t="s">
        <v>654</v>
      </c>
      <c r="C674" s="13" t="str">
        <f t="shared" si="1"/>
        <v> - </v>
      </c>
      <c r="D674" s="106"/>
      <c r="E674" s="13"/>
      <c r="F674" s="13"/>
      <c r="G674" s="105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85"/>
      <c r="B675" s="101" t="s">
        <v>654</v>
      </c>
      <c r="C675" s="13" t="str">
        <f t="shared" si="1"/>
        <v> - </v>
      </c>
      <c r="D675" s="106"/>
      <c r="E675" s="13"/>
      <c r="F675" s="13"/>
      <c r="G675" s="105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85"/>
      <c r="B676" s="101" t="s">
        <v>654</v>
      </c>
      <c r="C676" s="13" t="str">
        <f t="shared" si="1"/>
        <v> - </v>
      </c>
      <c r="D676" s="106"/>
      <c r="E676" s="13"/>
      <c r="F676" s="13"/>
      <c r="G676" s="105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85"/>
      <c r="B677" s="101" t="s">
        <v>654</v>
      </c>
      <c r="C677" s="13" t="str">
        <f t="shared" si="1"/>
        <v> - </v>
      </c>
      <c r="D677" s="106"/>
      <c r="E677" s="13"/>
      <c r="F677" s="13"/>
      <c r="G677" s="105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85"/>
      <c r="B678" s="101" t="s">
        <v>654</v>
      </c>
      <c r="C678" s="13" t="str">
        <f t="shared" si="1"/>
        <v> - </v>
      </c>
      <c r="D678" s="106"/>
      <c r="E678" s="13"/>
      <c r="F678" s="13"/>
      <c r="G678" s="105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85"/>
      <c r="B679" s="101" t="s">
        <v>654</v>
      </c>
      <c r="C679" s="13" t="str">
        <f t="shared" si="1"/>
        <v> - </v>
      </c>
      <c r="D679" s="106"/>
      <c r="E679" s="13"/>
      <c r="F679" s="13"/>
      <c r="G679" s="105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85"/>
      <c r="B680" s="101" t="s">
        <v>654</v>
      </c>
      <c r="C680" s="13" t="str">
        <f t="shared" si="1"/>
        <v> - </v>
      </c>
      <c r="D680" s="106"/>
      <c r="E680" s="13"/>
      <c r="F680" s="13"/>
      <c r="G680" s="105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85"/>
      <c r="B681" s="101" t="s">
        <v>654</v>
      </c>
      <c r="C681" s="13" t="str">
        <f t="shared" si="1"/>
        <v> - </v>
      </c>
      <c r="D681" s="106"/>
      <c r="E681" s="13"/>
      <c r="F681" s="13"/>
      <c r="G681" s="105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85"/>
      <c r="B682" s="101" t="s">
        <v>654</v>
      </c>
      <c r="C682" s="13" t="str">
        <f t="shared" si="1"/>
        <v> - </v>
      </c>
      <c r="D682" s="106"/>
      <c r="E682" s="13"/>
      <c r="F682" s="13"/>
      <c r="G682" s="105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85"/>
      <c r="B683" s="101" t="s">
        <v>654</v>
      </c>
      <c r="C683" s="13" t="str">
        <f t="shared" si="1"/>
        <v> - </v>
      </c>
      <c r="D683" s="106"/>
      <c r="E683" s="13"/>
      <c r="F683" s="13"/>
      <c r="G683" s="105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85"/>
      <c r="B684" s="101" t="s">
        <v>654</v>
      </c>
      <c r="C684" s="13" t="str">
        <f t="shared" si="1"/>
        <v> - </v>
      </c>
      <c r="D684" s="106"/>
      <c r="E684" s="13"/>
      <c r="F684" s="13"/>
      <c r="G684" s="105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85"/>
      <c r="B685" s="101" t="s">
        <v>654</v>
      </c>
      <c r="C685" s="13" t="str">
        <f t="shared" si="1"/>
        <v> - </v>
      </c>
      <c r="D685" s="106"/>
      <c r="E685" s="13"/>
      <c r="F685" s="13"/>
      <c r="G685" s="105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85"/>
      <c r="B686" s="101" t="s">
        <v>654</v>
      </c>
      <c r="C686" s="13" t="str">
        <f t="shared" si="1"/>
        <v> - </v>
      </c>
      <c r="D686" s="106"/>
      <c r="E686" s="13"/>
      <c r="F686" s="13"/>
      <c r="G686" s="105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85"/>
      <c r="B687" s="101" t="s">
        <v>654</v>
      </c>
      <c r="C687" s="13" t="str">
        <f t="shared" si="1"/>
        <v> - </v>
      </c>
      <c r="D687" s="106"/>
      <c r="E687" s="13"/>
      <c r="F687" s="13"/>
      <c r="G687" s="105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85"/>
      <c r="B688" s="101" t="s">
        <v>654</v>
      </c>
      <c r="C688" s="13" t="str">
        <f t="shared" si="1"/>
        <v> - </v>
      </c>
      <c r="D688" s="106"/>
      <c r="E688" s="13"/>
      <c r="F688" s="13"/>
      <c r="G688" s="105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85"/>
      <c r="B689" s="101" t="s">
        <v>654</v>
      </c>
      <c r="C689" s="13" t="str">
        <f t="shared" si="1"/>
        <v> - </v>
      </c>
      <c r="D689" s="106"/>
      <c r="E689" s="13"/>
      <c r="F689" s="13"/>
      <c r="G689" s="105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85"/>
      <c r="B690" s="101" t="s">
        <v>654</v>
      </c>
      <c r="C690" s="13" t="str">
        <f t="shared" si="1"/>
        <v> - </v>
      </c>
      <c r="D690" s="106"/>
      <c r="E690" s="13"/>
      <c r="F690" s="13"/>
      <c r="G690" s="105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85"/>
      <c r="B691" s="101" t="s">
        <v>654</v>
      </c>
      <c r="C691" s="13" t="str">
        <f t="shared" si="1"/>
        <v> - </v>
      </c>
      <c r="D691" s="106"/>
      <c r="E691" s="13"/>
      <c r="F691" s="13"/>
      <c r="G691" s="105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85"/>
      <c r="B692" s="101" t="s">
        <v>654</v>
      </c>
      <c r="C692" s="13" t="str">
        <f t="shared" si="1"/>
        <v> - </v>
      </c>
      <c r="D692" s="106"/>
      <c r="E692" s="13"/>
      <c r="F692" s="13"/>
      <c r="G692" s="105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85"/>
      <c r="B693" s="101" t="s">
        <v>654</v>
      </c>
      <c r="C693" s="13" t="str">
        <f t="shared" si="1"/>
        <v> - </v>
      </c>
      <c r="D693" s="106"/>
      <c r="E693" s="13"/>
      <c r="F693" s="13"/>
      <c r="G693" s="105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85"/>
      <c r="B694" s="101" t="s">
        <v>654</v>
      </c>
      <c r="C694" s="13" t="str">
        <f t="shared" si="1"/>
        <v> - </v>
      </c>
      <c r="D694" s="106"/>
      <c r="E694" s="13"/>
      <c r="F694" s="13"/>
      <c r="G694" s="105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85"/>
      <c r="B695" s="101" t="s">
        <v>654</v>
      </c>
      <c r="C695" s="13" t="str">
        <f t="shared" si="1"/>
        <v> - </v>
      </c>
      <c r="D695" s="106"/>
      <c r="E695" s="13"/>
      <c r="F695" s="13"/>
      <c r="G695" s="105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85"/>
      <c r="B696" s="101" t="s">
        <v>654</v>
      </c>
      <c r="C696" s="13" t="str">
        <f t="shared" si="1"/>
        <v> - </v>
      </c>
      <c r="D696" s="106"/>
      <c r="E696" s="13"/>
      <c r="F696" s="13"/>
      <c r="G696" s="105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85"/>
      <c r="B697" s="101" t="s">
        <v>654</v>
      </c>
      <c r="C697" s="13" t="str">
        <f t="shared" si="1"/>
        <v> - </v>
      </c>
      <c r="D697" s="106"/>
      <c r="E697" s="13"/>
      <c r="F697" s="13"/>
      <c r="G697" s="105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85"/>
      <c r="B698" s="101" t="s">
        <v>654</v>
      </c>
      <c r="C698" s="13" t="str">
        <f t="shared" si="1"/>
        <v> - </v>
      </c>
      <c r="D698" s="106"/>
      <c r="E698" s="13"/>
      <c r="F698" s="13"/>
      <c r="G698" s="105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85"/>
      <c r="B699" s="101" t="s">
        <v>654</v>
      </c>
      <c r="C699" s="13" t="str">
        <f t="shared" si="1"/>
        <v> - </v>
      </c>
      <c r="D699" s="106"/>
      <c r="E699" s="13"/>
      <c r="F699" s="13"/>
      <c r="G699" s="105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85"/>
      <c r="B700" s="101" t="s">
        <v>654</v>
      </c>
      <c r="C700" s="13" t="str">
        <f t="shared" si="1"/>
        <v> - </v>
      </c>
      <c r="D700" s="106"/>
      <c r="E700" s="13"/>
      <c r="F700" s="13"/>
      <c r="G700" s="105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85"/>
      <c r="B701" s="101" t="s">
        <v>654</v>
      </c>
      <c r="C701" s="13" t="str">
        <f t="shared" si="1"/>
        <v> - </v>
      </c>
      <c r="D701" s="106"/>
      <c r="E701" s="13"/>
      <c r="F701" s="13"/>
      <c r="G701" s="105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85"/>
      <c r="B702" s="101" t="s">
        <v>654</v>
      </c>
      <c r="C702" s="13" t="str">
        <f t="shared" si="1"/>
        <v> - </v>
      </c>
      <c r="D702" s="106"/>
      <c r="E702" s="13"/>
      <c r="F702" s="13"/>
      <c r="G702" s="105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85"/>
      <c r="B703" s="101" t="s">
        <v>654</v>
      </c>
      <c r="C703" s="13" t="str">
        <f t="shared" si="1"/>
        <v> - </v>
      </c>
      <c r="D703" s="106"/>
      <c r="E703" s="13"/>
      <c r="F703" s="13"/>
      <c r="G703" s="105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85"/>
      <c r="B704" s="101" t="s">
        <v>654</v>
      </c>
      <c r="C704" s="13" t="str">
        <f t="shared" si="1"/>
        <v> - </v>
      </c>
      <c r="D704" s="106"/>
      <c r="E704" s="13"/>
      <c r="F704" s="13"/>
      <c r="G704" s="105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85"/>
      <c r="B705" s="101" t="s">
        <v>654</v>
      </c>
      <c r="C705" s="13" t="str">
        <f t="shared" si="1"/>
        <v> - </v>
      </c>
      <c r="D705" s="106"/>
      <c r="E705" s="13"/>
      <c r="F705" s="13"/>
      <c r="G705" s="105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85"/>
      <c r="B706" s="101" t="s">
        <v>654</v>
      </c>
      <c r="C706" s="13" t="str">
        <f t="shared" si="1"/>
        <v> - </v>
      </c>
      <c r="D706" s="106"/>
      <c r="E706" s="13"/>
      <c r="F706" s="13"/>
      <c r="G706" s="105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85"/>
      <c r="B707" s="101" t="s">
        <v>654</v>
      </c>
      <c r="C707" s="13" t="str">
        <f t="shared" si="1"/>
        <v> - </v>
      </c>
      <c r="D707" s="106"/>
      <c r="E707" s="13"/>
      <c r="F707" s="13"/>
      <c r="G707" s="105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85"/>
      <c r="B708" s="101" t="s">
        <v>654</v>
      </c>
      <c r="C708" s="13" t="str">
        <f t="shared" si="1"/>
        <v> - </v>
      </c>
      <c r="D708" s="106"/>
      <c r="E708" s="13"/>
      <c r="F708" s="13"/>
      <c r="G708" s="105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85"/>
      <c r="B709" s="101" t="s">
        <v>654</v>
      </c>
      <c r="C709" s="13" t="str">
        <f t="shared" si="1"/>
        <v> - </v>
      </c>
      <c r="D709" s="106"/>
      <c r="E709" s="13"/>
      <c r="F709" s="13"/>
      <c r="G709" s="105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85"/>
      <c r="B710" s="101" t="s">
        <v>654</v>
      </c>
      <c r="C710" s="13" t="str">
        <f t="shared" si="1"/>
        <v> - </v>
      </c>
      <c r="D710" s="106"/>
      <c r="E710" s="13"/>
      <c r="F710" s="13"/>
      <c r="G710" s="105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85"/>
      <c r="B711" s="101" t="s">
        <v>654</v>
      </c>
      <c r="C711" s="13" t="str">
        <f t="shared" si="1"/>
        <v> - </v>
      </c>
      <c r="D711" s="106"/>
      <c r="E711" s="13"/>
      <c r="F711" s="13"/>
      <c r="G711" s="105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85"/>
      <c r="B712" s="101" t="s">
        <v>654</v>
      </c>
      <c r="C712" s="13" t="str">
        <f t="shared" si="1"/>
        <v> - </v>
      </c>
      <c r="D712" s="106"/>
      <c r="E712" s="13"/>
      <c r="F712" s="13"/>
      <c r="G712" s="105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85"/>
      <c r="B713" s="101" t="s">
        <v>654</v>
      </c>
      <c r="C713" s="13" t="str">
        <f t="shared" si="1"/>
        <v> - </v>
      </c>
      <c r="D713" s="106"/>
      <c r="E713" s="13"/>
      <c r="F713" s="13"/>
      <c r="G713" s="105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85"/>
      <c r="B714" s="101" t="s">
        <v>654</v>
      </c>
      <c r="C714" s="13" t="str">
        <f t="shared" si="1"/>
        <v> - </v>
      </c>
      <c r="D714" s="106"/>
      <c r="E714" s="13"/>
      <c r="F714" s="13"/>
      <c r="G714" s="105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85"/>
      <c r="B715" s="101" t="s">
        <v>654</v>
      </c>
      <c r="C715" s="13" t="str">
        <f t="shared" si="1"/>
        <v> - </v>
      </c>
      <c r="D715" s="106"/>
      <c r="E715" s="13"/>
      <c r="F715" s="13"/>
      <c r="G715" s="105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85"/>
      <c r="B716" s="101" t="s">
        <v>654</v>
      </c>
      <c r="C716" s="13" t="str">
        <f t="shared" si="1"/>
        <v> - </v>
      </c>
      <c r="D716" s="106"/>
      <c r="E716" s="13"/>
      <c r="F716" s="13"/>
      <c r="G716" s="105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85"/>
      <c r="B717" s="101" t="s">
        <v>654</v>
      </c>
      <c r="C717" s="13" t="str">
        <f t="shared" si="1"/>
        <v> - </v>
      </c>
      <c r="D717" s="106"/>
      <c r="E717" s="13"/>
      <c r="F717" s="13"/>
      <c r="G717" s="105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85"/>
      <c r="B718" s="101" t="s">
        <v>654</v>
      </c>
      <c r="C718" s="13" t="str">
        <f t="shared" si="1"/>
        <v> - </v>
      </c>
      <c r="D718" s="106"/>
      <c r="E718" s="13"/>
      <c r="F718" s="13"/>
      <c r="G718" s="105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85"/>
      <c r="B719" s="101" t="s">
        <v>654</v>
      </c>
      <c r="C719" s="13" t="str">
        <f t="shared" si="1"/>
        <v> - </v>
      </c>
      <c r="D719" s="106"/>
      <c r="E719" s="13"/>
      <c r="F719" s="13"/>
      <c r="G719" s="105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85"/>
      <c r="B720" s="101" t="s">
        <v>654</v>
      </c>
      <c r="C720" s="13" t="str">
        <f t="shared" si="1"/>
        <v> - </v>
      </c>
      <c r="D720" s="106"/>
      <c r="E720" s="13"/>
      <c r="F720" s="13"/>
      <c r="G720" s="105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85"/>
      <c r="B721" s="101" t="s">
        <v>654</v>
      </c>
      <c r="C721" s="13" t="str">
        <f t="shared" si="1"/>
        <v> - </v>
      </c>
      <c r="D721" s="106"/>
      <c r="E721" s="13"/>
      <c r="F721" s="13"/>
      <c r="G721" s="105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85"/>
      <c r="B722" s="101" t="s">
        <v>654</v>
      </c>
      <c r="C722" s="13" t="str">
        <f t="shared" si="1"/>
        <v> - </v>
      </c>
      <c r="D722" s="106"/>
      <c r="E722" s="13"/>
      <c r="F722" s="13"/>
      <c r="G722" s="105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85"/>
      <c r="B723" s="101" t="s">
        <v>654</v>
      </c>
      <c r="C723" s="13" t="str">
        <f t="shared" si="1"/>
        <v> - </v>
      </c>
      <c r="D723" s="106"/>
      <c r="E723" s="13"/>
      <c r="F723" s="13"/>
      <c r="G723" s="105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85"/>
      <c r="B724" s="101" t="s">
        <v>654</v>
      </c>
      <c r="C724" s="13" t="str">
        <f t="shared" si="1"/>
        <v> - </v>
      </c>
      <c r="D724" s="106"/>
      <c r="E724" s="13"/>
      <c r="F724" s="13"/>
      <c r="G724" s="105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85"/>
      <c r="B725" s="101" t="s">
        <v>654</v>
      </c>
      <c r="C725" s="13" t="str">
        <f t="shared" si="1"/>
        <v> - </v>
      </c>
      <c r="D725" s="106"/>
      <c r="E725" s="13"/>
      <c r="F725" s="13"/>
      <c r="G725" s="105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85"/>
      <c r="B726" s="101" t="s">
        <v>654</v>
      </c>
      <c r="C726" s="13" t="str">
        <f t="shared" si="1"/>
        <v> - </v>
      </c>
      <c r="D726" s="106"/>
      <c r="E726" s="13"/>
      <c r="F726" s="13"/>
      <c r="G726" s="105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85"/>
      <c r="B727" s="101" t="s">
        <v>654</v>
      </c>
      <c r="C727" s="13" t="str">
        <f t="shared" si="1"/>
        <v> - </v>
      </c>
      <c r="D727" s="106"/>
      <c r="E727" s="13"/>
      <c r="F727" s="13"/>
      <c r="G727" s="105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85"/>
      <c r="B728" s="101" t="s">
        <v>654</v>
      </c>
      <c r="C728" s="13" t="str">
        <f t="shared" si="1"/>
        <v> - </v>
      </c>
      <c r="D728" s="106"/>
      <c r="E728" s="13"/>
      <c r="F728" s="13"/>
      <c r="G728" s="105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85"/>
      <c r="B729" s="101" t="s">
        <v>654</v>
      </c>
      <c r="C729" s="13" t="str">
        <f t="shared" si="1"/>
        <v> - </v>
      </c>
      <c r="D729" s="106"/>
      <c r="E729" s="13"/>
      <c r="F729" s="13"/>
      <c r="G729" s="105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85"/>
      <c r="B730" s="101" t="s">
        <v>654</v>
      </c>
      <c r="C730" s="13" t="str">
        <f t="shared" si="1"/>
        <v> - </v>
      </c>
      <c r="D730" s="106"/>
      <c r="E730" s="13"/>
      <c r="F730" s="13"/>
      <c r="G730" s="105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85"/>
      <c r="B731" s="101" t="s">
        <v>654</v>
      </c>
      <c r="C731" s="13" t="str">
        <f t="shared" si="1"/>
        <v> - </v>
      </c>
      <c r="D731" s="106"/>
      <c r="E731" s="13"/>
      <c r="F731" s="13"/>
      <c r="G731" s="105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85"/>
      <c r="B732" s="101" t="s">
        <v>654</v>
      </c>
      <c r="C732" s="13" t="str">
        <f t="shared" si="1"/>
        <v> - </v>
      </c>
      <c r="D732" s="106"/>
      <c r="E732" s="13"/>
      <c r="F732" s="13"/>
      <c r="G732" s="105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85"/>
      <c r="B733" s="101" t="s">
        <v>654</v>
      </c>
      <c r="C733" s="13" t="str">
        <f t="shared" si="1"/>
        <v> - </v>
      </c>
      <c r="D733" s="106"/>
      <c r="E733" s="13"/>
      <c r="F733" s="13"/>
      <c r="G733" s="105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85"/>
      <c r="B734" s="101" t="s">
        <v>654</v>
      </c>
      <c r="C734" s="13" t="str">
        <f t="shared" si="1"/>
        <v> - </v>
      </c>
      <c r="D734" s="106"/>
      <c r="E734" s="13"/>
      <c r="F734" s="13"/>
      <c r="G734" s="105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85"/>
      <c r="B735" s="101" t="s">
        <v>654</v>
      </c>
      <c r="C735" s="13" t="str">
        <f t="shared" si="1"/>
        <v> - </v>
      </c>
      <c r="D735" s="106"/>
      <c r="E735" s="13"/>
      <c r="F735" s="13"/>
      <c r="G735" s="105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85"/>
      <c r="B736" s="101" t="s">
        <v>654</v>
      </c>
      <c r="C736" s="13" t="str">
        <f t="shared" si="1"/>
        <v> - </v>
      </c>
      <c r="D736" s="106"/>
      <c r="E736" s="13"/>
      <c r="F736" s="13"/>
      <c r="G736" s="105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85"/>
      <c r="B737" s="101" t="s">
        <v>654</v>
      </c>
      <c r="C737" s="13" t="str">
        <f t="shared" si="1"/>
        <v> - </v>
      </c>
      <c r="D737" s="106"/>
      <c r="E737" s="13"/>
      <c r="F737" s="13"/>
      <c r="G737" s="105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85"/>
      <c r="B738" s="101" t="s">
        <v>654</v>
      </c>
      <c r="C738" s="13" t="str">
        <f t="shared" si="1"/>
        <v> - </v>
      </c>
      <c r="D738" s="106"/>
      <c r="E738" s="13"/>
      <c r="F738" s="13"/>
      <c r="G738" s="105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85"/>
      <c r="B739" s="101" t="s">
        <v>654</v>
      </c>
      <c r="C739" s="13" t="str">
        <f t="shared" si="1"/>
        <v> - </v>
      </c>
      <c r="D739" s="106"/>
      <c r="E739" s="13"/>
      <c r="F739" s="13"/>
      <c r="G739" s="105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85"/>
      <c r="B740" s="101" t="s">
        <v>654</v>
      </c>
      <c r="C740" s="13" t="str">
        <f t="shared" si="1"/>
        <v> - </v>
      </c>
      <c r="D740" s="106"/>
      <c r="E740" s="13"/>
      <c r="F740" s="13"/>
      <c r="G740" s="105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85"/>
      <c r="B741" s="101" t="s">
        <v>654</v>
      </c>
      <c r="C741" s="13" t="str">
        <f t="shared" si="1"/>
        <v> - </v>
      </c>
      <c r="D741" s="106"/>
      <c r="E741" s="13"/>
      <c r="F741" s="13"/>
      <c r="G741" s="105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85"/>
      <c r="B742" s="101" t="s">
        <v>654</v>
      </c>
      <c r="C742" s="13" t="str">
        <f t="shared" si="1"/>
        <v> - </v>
      </c>
      <c r="D742" s="106"/>
      <c r="E742" s="13"/>
      <c r="F742" s="13"/>
      <c r="G742" s="105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85"/>
      <c r="B743" s="101" t="s">
        <v>654</v>
      </c>
      <c r="C743" s="13" t="str">
        <f t="shared" si="1"/>
        <v> - </v>
      </c>
      <c r="D743" s="106"/>
      <c r="E743" s="13"/>
      <c r="F743" s="13"/>
      <c r="G743" s="105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85"/>
      <c r="B744" s="101" t="s">
        <v>654</v>
      </c>
      <c r="C744" s="13" t="str">
        <f t="shared" si="1"/>
        <v> - </v>
      </c>
      <c r="D744" s="106"/>
      <c r="E744" s="13"/>
      <c r="F744" s="13"/>
      <c r="G744" s="105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85"/>
      <c r="B745" s="101" t="s">
        <v>654</v>
      </c>
      <c r="C745" s="13" t="str">
        <f t="shared" si="1"/>
        <v> - </v>
      </c>
      <c r="D745" s="106"/>
      <c r="E745" s="13"/>
      <c r="F745" s="13"/>
      <c r="G745" s="105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85"/>
      <c r="B746" s="101" t="s">
        <v>654</v>
      </c>
      <c r="C746" s="13" t="str">
        <f t="shared" si="1"/>
        <v> - </v>
      </c>
      <c r="D746" s="106"/>
      <c r="E746" s="13"/>
      <c r="F746" s="13"/>
      <c r="G746" s="105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85"/>
      <c r="B747" s="101" t="s">
        <v>654</v>
      </c>
      <c r="C747" s="13" t="str">
        <f t="shared" si="1"/>
        <v> - </v>
      </c>
      <c r="D747" s="106"/>
      <c r="E747" s="13"/>
      <c r="F747" s="13"/>
      <c r="G747" s="105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85"/>
      <c r="B748" s="101" t="s">
        <v>654</v>
      </c>
      <c r="C748" s="13" t="str">
        <f t="shared" si="1"/>
        <v> - </v>
      </c>
      <c r="D748" s="106"/>
      <c r="E748" s="13"/>
      <c r="F748" s="13"/>
      <c r="G748" s="105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85"/>
      <c r="B749" s="101" t="s">
        <v>654</v>
      </c>
      <c r="C749" s="13" t="str">
        <f t="shared" si="1"/>
        <v> - </v>
      </c>
      <c r="D749" s="106"/>
      <c r="E749" s="13"/>
      <c r="F749" s="13"/>
      <c r="G749" s="105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85"/>
      <c r="B750" s="101" t="s">
        <v>654</v>
      </c>
      <c r="C750" s="13" t="str">
        <f t="shared" si="1"/>
        <v> - </v>
      </c>
      <c r="D750" s="106"/>
      <c r="E750" s="13"/>
      <c r="F750" s="13"/>
      <c r="G750" s="105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85"/>
      <c r="B751" s="101" t="s">
        <v>654</v>
      </c>
      <c r="C751" s="13" t="str">
        <f t="shared" si="1"/>
        <v> - </v>
      </c>
      <c r="D751" s="106"/>
      <c r="E751" s="13"/>
      <c r="F751" s="13"/>
      <c r="G751" s="105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85"/>
      <c r="B752" s="101" t="s">
        <v>654</v>
      </c>
      <c r="C752" s="13" t="str">
        <f t="shared" si="1"/>
        <v> - </v>
      </c>
      <c r="D752" s="106"/>
      <c r="E752" s="13"/>
      <c r="F752" s="13"/>
      <c r="G752" s="105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85"/>
      <c r="B753" s="101" t="s">
        <v>654</v>
      </c>
      <c r="C753" s="13" t="str">
        <f t="shared" si="1"/>
        <v> - </v>
      </c>
      <c r="D753" s="106"/>
      <c r="E753" s="13"/>
      <c r="F753" s="13"/>
      <c r="G753" s="105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85"/>
      <c r="B754" s="101" t="s">
        <v>654</v>
      </c>
      <c r="C754" s="13" t="str">
        <f t="shared" si="1"/>
        <v> - </v>
      </c>
      <c r="D754" s="106"/>
      <c r="E754" s="13"/>
      <c r="F754" s="13"/>
      <c r="G754" s="105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85"/>
      <c r="B755" s="101" t="s">
        <v>654</v>
      </c>
      <c r="C755" s="13" t="str">
        <f t="shared" si="1"/>
        <v> - </v>
      </c>
      <c r="D755" s="106"/>
      <c r="E755" s="13"/>
      <c r="F755" s="13"/>
      <c r="G755" s="105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85"/>
      <c r="B756" s="101" t="s">
        <v>654</v>
      </c>
      <c r="C756" s="13" t="str">
        <f t="shared" si="1"/>
        <v> - </v>
      </c>
      <c r="D756" s="106"/>
      <c r="E756" s="13"/>
      <c r="F756" s="13"/>
      <c r="G756" s="105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85"/>
      <c r="B757" s="101" t="s">
        <v>654</v>
      </c>
      <c r="C757" s="13" t="str">
        <f t="shared" si="1"/>
        <v> - </v>
      </c>
      <c r="D757" s="106"/>
      <c r="E757" s="13"/>
      <c r="F757" s="13"/>
      <c r="G757" s="105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85"/>
      <c r="B758" s="101" t="s">
        <v>654</v>
      </c>
      <c r="C758" s="13" t="str">
        <f t="shared" si="1"/>
        <v> - </v>
      </c>
      <c r="D758" s="106"/>
      <c r="E758" s="13"/>
      <c r="F758" s="13"/>
      <c r="G758" s="105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85"/>
      <c r="B759" s="101" t="s">
        <v>654</v>
      </c>
      <c r="C759" s="13" t="str">
        <f t="shared" si="1"/>
        <v> - </v>
      </c>
      <c r="D759" s="106"/>
      <c r="E759" s="13"/>
      <c r="F759" s="13"/>
      <c r="G759" s="105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85"/>
      <c r="B760" s="101" t="s">
        <v>654</v>
      </c>
      <c r="C760" s="13" t="str">
        <f t="shared" si="1"/>
        <v> - </v>
      </c>
      <c r="D760" s="106"/>
      <c r="E760" s="13"/>
      <c r="F760" s="13"/>
      <c r="G760" s="105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85"/>
      <c r="B761" s="101" t="s">
        <v>654</v>
      </c>
      <c r="C761" s="13" t="str">
        <f t="shared" si="1"/>
        <v> - </v>
      </c>
      <c r="D761" s="106"/>
      <c r="E761" s="13"/>
      <c r="F761" s="13"/>
      <c r="G761" s="105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85"/>
      <c r="B762" s="101" t="s">
        <v>654</v>
      </c>
      <c r="C762" s="13" t="str">
        <f t="shared" si="1"/>
        <v> - </v>
      </c>
      <c r="D762" s="106"/>
      <c r="E762" s="13"/>
      <c r="F762" s="13"/>
      <c r="G762" s="105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85"/>
      <c r="B763" s="101" t="s">
        <v>654</v>
      </c>
      <c r="C763" s="13" t="str">
        <f t="shared" si="1"/>
        <v> - </v>
      </c>
      <c r="D763" s="106"/>
      <c r="E763" s="13"/>
      <c r="F763" s="13"/>
      <c r="G763" s="105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85"/>
      <c r="B764" s="101" t="s">
        <v>654</v>
      </c>
      <c r="C764" s="13" t="str">
        <f t="shared" si="1"/>
        <v> - </v>
      </c>
      <c r="D764" s="106"/>
      <c r="E764" s="13"/>
      <c r="F764" s="13"/>
      <c r="G764" s="105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85"/>
      <c r="B765" s="101" t="s">
        <v>654</v>
      </c>
      <c r="C765" s="13" t="str">
        <f t="shared" si="1"/>
        <v> - </v>
      </c>
      <c r="D765" s="106"/>
      <c r="E765" s="13"/>
      <c r="F765" s="13"/>
      <c r="G765" s="105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85"/>
      <c r="B766" s="101" t="s">
        <v>654</v>
      </c>
      <c r="C766" s="13" t="str">
        <f t="shared" si="1"/>
        <v> - </v>
      </c>
      <c r="D766" s="106"/>
      <c r="E766" s="13"/>
      <c r="F766" s="13"/>
      <c r="G766" s="105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85"/>
      <c r="B767" s="101" t="s">
        <v>654</v>
      </c>
      <c r="C767" s="13" t="str">
        <f t="shared" si="1"/>
        <v> - </v>
      </c>
      <c r="D767" s="106"/>
      <c r="E767" s="13"/>
      <c r="F767" s="13"/>
      <c r="G767" s="105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85"/>
      <c r="B768" s="101" t="s">
        <v>654</v>
      </c>
      <c r="C768" s="13" t="str">
        <f t="shared" si="1"/>
        <v> - </v>
      </c>
      <c r="D768" s="106"/>
      <c r="E768" s="13"/>
      <c r="F768" s="13"/>
      <c r="G768" s="105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85"/>
      <c r="B769" s="101" t="s">
        <v>654</v>
      </c>
      <c r="C769" s="13" t="str">
        <f t="shared" si="1"/>
        <v> - </v>
      </c>
      <c r="D769" s="106"/>
      <c r="E769" s="13"/>
      <c r="F769" s="13"/>
      <c r="G769" s="105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85"/>
      <c r="B770" s="101" t="s">
        <v>654</v>
      </c>
      <c r="C770" s="13" t="str">
        <f t="shared" si="1"/>
        <v> - </v>
      </c>
      <c r="D770" s="106"/>
      <c r="E770" s="13"/>
      <c r="F770" s="13"/>
      <c r="G770" s="105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85"/>
      <c r="B771" s="101" t="s">
        <v>654</v>
      </c>
      <c r="C771" s="13" t="str">
        <f t="shared" si="1"/>
        <v> - </v>
      </c>
      <c r="D771" s="106"/>
      <c r="E771" s="13"/>
      <c r="F771" s="13"/>
      <c r="G771" s="105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85"/>
      <c r="B772" s="101" t="s">
        <v>654</v>
      </c>
      <c r="C772" s="13" t="str">
        <f t="shared" si="1"/>
        <v> - </v>
      </c>
      <c r="D772" s="106"/>
      <c r="E772" s="13"/>
      <c r="F772" s="13"/>
      <c r="G772" s="105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85"/>
      <c r="B773" s="101" t="s">
        <v>654</v>
      </c>
      <c r="C773" s="13" t="str">
        <f t="shared" si="1"/>
        <v> - </v>
      </c>
      <c r="D773" s="106"/>
      <c r="E773" s="13"/>
      <c r="F773" s="13"/>
      <c r="G773" s="105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85"/>
      <c r="B774" s="101" t="s">
        <v>654</v>
      </c>
      <c r="C774" s="13" t="str">
        <f t="shared" si="1"/>
        <v> - </v>
      </c>
      <c r="D774" s="106"/>
      <c r="E774" s="13"/>
      <c r="F774" s="13"/>
      <c r="G774" s="105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85"/>
      <c r="B775" s="101" t="s">
        <v>654</v>
      </c>
      <c r="C775" s="13" t="str">
        <f t="shared" si="1"/>
        <v> - </v>
      </c>
      <c r="D775" s="106"/>
      <c r="E775" s="13"/>
      <c r="F775" s="13"/>
      <c r="G775" s="105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85"/>
      <c r="B776" s="101" t="s">
        <v>654</v>
      </c>
      <c r="C776" s="13" t="str">
        <f t="shared" si="1"/>
        <v> - </v>
      </c>
      <c r="D776" s="106"/>
      <c r="E776" s="13"/>
      <c r="F776" s="13"/>
      <c r="G776" s="105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85"/>
      <c r="B777" s="101" t="s">
        <v>654</v>
      </c>
      <c r="C777" s="13" t="str">
        <f t="shared" si="1"/>
        <v> - </v>
      </c>
      <c r="D777" s="106"/>
      <c r="E777" s="13"/>
      <c r="F777" s="13"/>
      <c r="G777" s="105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85"/>
      <c r="B778" s="101" t="s">
        <v>654</v>
      </c>
      <c r="C778" s="13" t="str">
        <f t="shared" si="1"/>
        <v> - </v>
      </c>
      <c r="D778" s="106"/>
      <c r="E778" s="13"/>
      <c r="F778" s="13"/>
      <c r="G778" s="105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85"/>
      <c r="B779" s="101" t="s">
        <v>654</v>
      </c>
      <c r="C779" s="13" t="str">
        <f t="shared" si="1"/>
        <v> - </v>
      </c>
      <c r="D779" s="106"/>
      <c r="E779" s="13"/>
      <c r="F779" s="13"/>
      <c r="G779" s="105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85"/>
      <c r="B780" s="101" t="s">
        <v>654</v>
      </c>
      <c r="C780" s="13" t="str">
        <f t="shared" si="1"/>
        <v> - </v>
      </c>
      <c r="D780" s="106"/>
      <c r="E780" s="13"/>
      <c r="F780" s="13"/>
      <c r="G780" s="105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85"/>
      <c r="B781" s="101" t="s">
        <v>654</v>
      </c>
      <c r="C781" s="13" t="str">
        <f t="shared" si="1"/>
        <v> - </v>
      </c>
      <c r="D781" s="106"/>
      <c r="E781" s="13"/>
      <c r="F781" s="13"/>
      <c r="G781" s="105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85"/>
      <c r="B782" s="101" t="s">
        <v>654</v>
      </c>
      <c r="C782" s="13" t="str">
        <f t="shared" si="1"/>
        <v> - </v>
      </c>
      <c r="D782" s="106"/>
      <c r="E782" s="13"/>
      <c r="F782" s="13"/>
      <c r="G782" s="105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85"/>
      <c r="B783" s="101" t="s">
        <v>654</v>
      </c>
      <c r="C783" s="13" t="str">
        <f t="shared" si="1"/>
        <v> - </v>
      </c>
      <c r="D783" s="106"/>
      <c r="E783" s="13"/>
      <c r="F783" s="13"/>
      <c r="G783" s="105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85"/>
      <c r="B784" s="101" t="s">
        <v>654</v>
      </c>
      <c r="C784" s="13" t="str">
        <f t="shared" si="1"/>
        <v> - </v>
      </c>
      <c r="D784" s="106"/>
      <c r="E784" s="13"/>
      <c r="F784" s="13"/>
      <c r="G784" s="105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85"/>
      <c r="B785" s="101" t="s">
        <v>654</v>
      </c>
      <c r="C785" s="13" t="str">
        <f t="shared" si="1"/>
        <v> - </v>
      </c>
      <c r="D785" s="106"/>
      <c r="E785" s="13"/>
      <c r="F785" s="13"/>
      <c r="G785" s="105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85"/>
      <c r="B786" s="101" t="s">
        <v>654</v>
      </c>
      <c r="C786" s="13" t="str">
        <f t="shared" si="1"/>
        <v> - </v>
      </c>
      <c r="D786" s="106"/>
      <c r="E786" s="13"/>
      <c r="F786" s="13"/>
      <c r="G786" s="105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85"/>
      <c r="B787" s="101" t="s">
        <v>654</v>
      </c>
      <c r="C787" s="13" t="str">
        <f t="shared" si="1"/>
        <v> - </v>
      </c>
      <c r="D787" s="106"/>
      <c r="E787" s="13"/>
      <c r="F787" s="13"/>
      <c r="G787" s="105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85"/>
      <c r="B788" s="101" t="s">
        <v>654</v>
      </c>
      <c r="C788" s="13" t="str">
        <f t="shared" si="1"/>
        <v> - </v>
      </c>
      <c r="D788" s="106"/>
      <c r="E788" s="13"/>
      <c r="F788" s="13"/>
      <c r="G788" s="105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85"/>
      <c r="B789" s="101" t="s">
        <v>654</v>
      </c>
      <c r="C789" s="13" t="str">
        <f t="shared" si="1"/>
        <v> - </v>
      </c>
      <c r="D789" s="106"/>
      <c r="E789" s="13"/>
      <c r="F789" s="13"/>
      <c r="G789" s="105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85"/>
      <c r="B790" s="101" t="s">
        <v>654</v>
      </c>
      <c r="C790" s="13" t="str">
        <f t="shared" si="1"/>
        <v> - </v>
      </c>
      <c r="D790" s="106"/>
      <c r="E790" s="13"/>
      <c r="F790" s="13"/>
      <c r="G790" s="105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85"/>
      <c r="B791" s="101" t="s">
        <v>654</v>
      </c>
      <c r="C791" s="13" t="str">
        <f t="shared" si="1"/>
        <v> - </v>
      </c>
      <c r="D791" s="106"/>
      <c r="E791" s="13"/>
      <c r="F791" s="13"/>
      <c r="G791" s="105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85"/>
      <c r="B792" s="101" t="s">
        <v>654</v>
      </c>
      <c r="C792" s="13" t="str">
        <f t="shared" si="1"/>
        <v> - </v>
      </c>
      <c r="D792" s="106"/>
      <c r="E792" s="13"/>
      <c r="F792" s="13"/>
      <c r="G792" s="105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85"/>
      <c r="B793" s="101" t="s">
        <v>654</v>
      </c>
      <c r="C793" s="13" t="str">
        <f t="shared" si="1"/>
        <v> - </v>
      </c>
      <c r="D793" s="106"/>
      <c r="E793" s="13"/>
      <c r="F793" s="13"/>
      <c r="G793" s="105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85"/>
      <c r="B794" s="101" t="s">
        <v>654</v>
      </c>
      <c r="C794" s="13" t="str">
        <f t="shared" si="1"/>
        <v> - </v>
      </c>
      <c r="D794" s="106"/>
      <c r="E794" s="13"/>
      <c r="F794" s="13"/>
      <c r="G794" s="105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85"/>
      <c r="B795" s="101" t="s">
        <v>654</v>
      </c>
      <c r="C795" s="13" t="str">
        <f t="shared" si="1"/>
        <v> - </v>
      </c>
      <c r="D795" s="106"/>
      <c r="E795" s="13"/>
      <c r="F795" s="13"/>
      <c r="G795" s="105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85"/>
      <c r="B796" s="101" t="s">
        <v>654</v>
      </c>
      <c r="C796" s="13" t="str">
        <f t="shared" si="1"/>
        <v> - </v>
      </c>
      <c r="D796" s="106"/>
      <c r="E796" s="13"/>
      <c r="F796" s="13"/>
      <c r="G796" s="105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85"/>
      <c r="B797" s="101" t="s">
        <v>654</v>
      </c>
      <c r="C797" s="13" t="str">
        <f t="shared" si="1"/>
        <v> - </v>
      </c>
      <c r="D797" s="106"/>
      <c r="E797" s="13"/>
      <c r="F797" s="13"/>
      <c r="G797" s="105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85"/>
      <c r="B798" s="101" t="s">
        <v>654</v>
      </c>
      <c r="C798" s="13" t="str">
        <f t="shared" si="1"/>
        <v> - </v>
      </c>
      <c r="D798" s="106"/>
      <c r="E798" s="13"/>
      <c r="F798" s="13"/>
      <c r="G798" s="105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85"/>
      <c r="B799" s="101" t="s">
        <v>654</v>
      </c>
      <c r="C799" s="13" t="str">
        <f t="shared" si="1"/>
        <v> - </v>
      </c>
      <c r="D799" s="106"/>
      <c r="E799" s="13"/>
      <c r="F799" s="13"/>
      <c r="G799" s="105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85"/>
      <c r="B800" s="101" t="s">
        <v>654</v>
      </c>
      <c r="C800" s="13" t="str">
        <f t="shared" si="1"/>
        <v> - </v>
      </c>
      <c r="D800" s="106"/>
      <c r="E800" s="13"/>
      <c r="F800" s="13"/>
      <c r="G800" s="105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85"/>
      <c r="B801" s="101" t="s">
        <v>654</v>
      </c>
      <c r="C801" s="13" t="str">
        <f t="shared" si="1"/>
        <v> - </v>
      </c>
      <c r="D801" s="106"/>
      <c r="E801" s="13"/>
      <c r="F801" s="13"/>
      <c r="G801" s="105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85"/>
      <c r="B802" s="101" t="s">
        <v>654</v>
      </c>
      <c r="C802" s="13" t="str">
        <f t="shared" si="1"/>
        <v> - </v>
      </c>
      <c r="D802" s="106"/>
      <c r="E802" s="13"/>
      <c r="F802" s="13"/>
      <c r="G802" s="105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85"/>
      <c r="B803" s="101" t="s">
        <v>654</v>
      </c>
      <c r="C803" s="13" t="str">
        <f t="shared" si="1"/>
        <v> - </v>
      </c>
      <c r="D803" s="106"/>
      <c r="E803" s="13"/>
      <c r="F803" s="13"/>
      <c r="G803" s="105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85"/>
      <c r="B804" s="101" t="s">
        <v>654</v>
      </c>
      <c r="C804" s="13" t="str">
        <f t="shared" si="1"/>
        <v> - </v>
      </c>
      <c r="D804" s="106"/>
      <c r="E804" s="13"/>
      <c r="F804" s="13"/>
      <c r="G804" s="105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85"/>
      <c r="B805" s="101" t="s">
        <v>654</v>
      </c>
      <c r="C805" s="13" t="str">
        <f t="shared" si="1"/>
        <v> - </v>
      </c>
      <c r="D805" s="106"/>
      <c r="E805" s="13"/>
      <c r="F805" s="13"/>
      <c r="G805" s="105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85"/>
      <c r="B806" s="101" t="s">
        <v>654</v>
      </c>
      <c r="C806" s="13" t="str">
        <f t="shared" si="1"/>
        <v> - </v>
      </c>
      <c r="D806" s="106"/>
      <c r="E806" s="13"/>
      <c r="F806" s="13"/>
      <c r="G806" s="105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85"/>
      <c r="B807" s="101" t="s">
        <v>654</v>
      </c>
      <c r="C807" s="13" t="str">
        <f t="shared" si="1"/>
        <v> - </v>
      </c>
      <c r="D807" s="106"/>
      <c r="E807" s="13"/>
      <c r="F807" s="13"/>
      <c r="G807" s="105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85"/>
      <c r="B808" s="101" t="s">
        <v>654</v>
      </c>
      <c r="C808" s="13" t="str">
        <f t="shared" si="1"/>
        <v> - </v>
      </c>
      <c r="D808" s="106"/>
      <c r="E808" s="13"/>
      <c r="F808" s="13"/>
      <c r="G808" s="105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85"/>
      <c r="B809" s="101" t="s">
        <v>654</v>
      </c>
      <c r="C809" s="13" t="str">
        <f t="shared" si="1"/>
        <v> - </v>
      </c>
      <c r="D809" s="106"/>
      <c r="E809" s="13"/>
      <c r="F809" s="13"/>
      <c r="G809" s="105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85"/>
      <c r="B810" s="101" t="s">
        <v>654</v>
      </c>
      <c r="C810" s="13" t="str">
        <f t="shared" si="1"/>
        <v> - </v>
      </c>
      <c r="D810" s="106"/>
      <c r="E810" s="13"/>
      <c r="F810" s="13"/>
      <c r="G810" s="105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85"/>
      <c r="B811" s="101" t="s">
        <v>654</v>
      </c>
      <c r="C811" s="13" t="str">
        <f t="shared" si="1"/>
        <v> - </v>
      </c>
      <c r="D811" s="106"/>
      <c r="E811" s="13"/>
      <c r="F811" s="13"/>
      <c r="G811" s="105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85"/>
      <c r="B812" s="101" t="s">
        <v>654</v>
      </c>
      <c r="C812" s="13" t="str">
        <f t="shared" si="1"/>
        <v> - </v>
      </c>
      <c r="D812" s="106"/>
      <c r="E812" s="13"/>
      <c r="F812" s="13"/>
      <c r="G812" s="105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85"/>
      <c r="B813" s="101" t="s">
        <v>654</v>
      </c>
      <c r="C813" s="13" t="str">
        <f t="shared" si="1"/>
        <v> - </v>
      </c>
      <c r="D813" s="106"/>
      <c r="E813" s="13"/>
      <c r="F813" s="13"/>
      <c r="G813" s="105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85"/>
      <c r="B814" s="101" t="s">
        <v>654</v>
      </c>
      <c r="C814" s="13" t="str">
        <f t="shared" si="1"/>
        <v> - </v>
      </c>
      <c r="D814" s="106"/>
      <c r="E814" s="13"/>
      <c r="F814" s="13"/>
      <c r="G814" s="105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85"/>
      <c r="B815" s="101" t="s">
        <v>654</v>
      </c>
      <c r="C815" s="13" t="str">
        <f t="shared" si="1"/>
        <v> - </v>
      </c>
      <c r="D815" s="106"/>
      <c r="E815" s="13"/>
      <c r="F815" s="13"/>
      <c r="G815" s="105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85"/>
      <c r="B816" s="101" t="s">
        <v>654</v>
      </c>
      <c r="C816" s="13" t="str">
        <f t="shared" si="1"/>
        <v> - </v>
      </c>
      <c r="D816" s="106"/>
      <c r="E816" s="13"/>
      <c r="F816" s="13"/>
      <c r="G816" s="105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85"/>
      <c r="B817" s="101" t="s">
        <v>654</v>
      </c>
      <c r="C817" s="13" t="str">
        <f t="shared" si="1"/>
        <v> - </v>
      </c>
      <c r="D817" s="106"/>
      <c r="E817" s="13"/>
      <c r="F817" s="13"/>
      <c r="G817" s="105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85"/>
      <c r="B818" s="101" t="s">
        <v>654</v>
      </c>
      <c r="C818" s="13" t="str">
        <f t="shared" si="1"/>
        <v> - </v>
      </c>
      <c r="D818" s="106"/>
      <c r="E818" s="13"/>
      <c r="F818" s="13"/>
      <c r="G818" s="105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85"/>
      <c r="B819" s="101" t="s">
        <v>654</v>
      </c>
      <c r="C819" s="13" t="str">
        <f t="shared" si="1"/>
        <v> - </v>
      </c>
      <c r="D819" s="106"/>
      <c r="E819" s="13"/>
      <c r="F819" s="13"/>
      <c r="G819" s="105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85"/>
      <c r="B820" s="101" t="s">
        <v>654</v>
      </c>
      <c r="C820" s="13" t="str">
        <f t="shared" si="1"/>
        <v> - </v>
      </c>
      <c r="D820" s="106"/>
      <c r="E820" s="13"/>
      <c r="F820" s="13"/>
      <c r="G820" s="105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85"/>
      <c r="B821" s="101" t="s">
        <v>654</v>
      </c>
      <c r="C821" s="13" t="str">
        <f t="shared" si="1"/>
        <v> - </v>
      </c>
      <c r="D821" s="106"/>
      <c r="E821" s="13"/>
      <c r="F821" s="13"/>
      <c r="G821" s="105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85"/>
      <c r="B822" s="101" t="s">
        <v>654</v>
      </c>
      <c r="C822" s="13" t="str">
        <f t="shared" si="1"/>
        <v> - </v>
      </c>
      <c r="D822" s="106"/>
      <c r="E822" s="13"/>
      <c r="F822" s="13"/>
      <c r="G822" s="105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85"/>
      <c r="B823" s="101" t="s">
        <v>654</v>
      </c>
      <c r="C823" s="13" t="str">
        <f t="shared" si="1"/>
        <v> - </v>
      </c>
      <c r="D823" s="106"/>
      <c r="E823" s="13"/>
      <c r="F823" s="13"/>
      <c r="G823" s="105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85"/>
      <c r="B824" s="101" t="s">
        <v>654</v>
      </c>
      <c r="C824" s="13" t="str">
        <f t="shared" si="1"/>
        <v> - </v>
      </c>
      <c r="D824" s="106"/>
      <c r="E824" s="13"/>
      <c r="F824" s="13"/>
      <c r="G824" s="105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85"/>
      <c r="B825" s="101" t="s">
        <v>654</v>
      </c>
      <c r="C825" s="13" t="str">
        <f t="shared" si="1"/>
        <v> - </v>
      </c>
      <c r="D825" s="106"/>
      <c r="E825" s="13"/>
      <c r="F825" s="13"/>
      <c r="G825" s="105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85"/>
      <c r="B826" s="101" t="s">
        <v>654</v>
      </c>
      <c r="C826" s="13" t="str">
        <f t="shared" si="1"/>
        <v> - </v>
      </c>
      <c r="D826" s="106"/>
      <c r="E826" s="13"/>
      <c r="F826" s="13"/>
      <c r="G826" s="105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85"/>
      <c r="B827" s="101" t="s">
        <v>654</v>
      </c>
      <c r="C827" s="13" t="str">
        <f t="shared" si="1"/>
        <v> - </v>
      </c>
      <c r="D827" s="106"/>
      <c r="E827" s="13"/>
      <c r="F827" s="13"/>
      <c r="G827" s="105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85"/>
      <c r="B828" s="101" t="s">
        <v>654</v>
      </c>
      <c r="C828" s="13" t="str">
        <f t="shared" si="1"/>
        <v> - </v>
      </c>
      <c r="D828" s="106"/>
      <c r="E828" s="13"/>
      <c r="F828" s="13"/>
      <c r="G828" s="105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85"/>
      <c r="B829" s="101" t="s">
        <v>654</v>
      </c>
      <c r="C829" s="13" t="str">
        <f t="shared" si="1"/>
        <v> - </v>
      </c>
      <c r="D829" s="106"/>
      <c r="E829" s="13"/>
      <c r="F829" s="13"/>
      <c r="G829" s="105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85"/>
      <c r="B830" s="101" t="s">
        <v>654</v>
      </c>
      <c r="C830" s="13" t="str">
        <f t="shared" si="1"/>
        <v> - </v>
      </c>
      <c r="D830" s="106"/>
      <c r="E830" s="13"/>
      <c r="F830" s="13"/>
      <c r="G830" s="105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85"/>
      <c r="B831" s="101" t="s">
        <v>654</v>
      </c>
      <c r="C831" s="13" t="str">
        <f t="shared" si="1"/>
        <v> - </v>
      </c>
      <c r="D831" s="106"/>
      <c r="E831" s="13"/>
      <c r="F831" s="13"/>
      <c r="G831" s="105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85"/>
      <c r="B832" s="101" t="s">
        <v>654</v>
      </c>
      <c r="C832" s="13" t="str">
        <f t="shared" si="1"/>
        <v> - </v>
      </c>
      <c r="D832" s="106"/>
      <c r="E832" s="13"/>
      <c r="F832" s="13"/>
      <c r="G832" s="105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85"/>
      <c r="B833" s="101" t="s">
        <v>654</v>
      </c>
      <c r="C833" s="13" t="str">
        <f t="shared" si="1"/>
        <v> - </v>
      </c>
      <c r="D833" s="106"/>
      <c r="E833" s="13"/>
      <c r="F833" s="13"/>
      <c r="G833" s="105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85"/>
      <c r="B834" s="101" t="s">
        <v>654</v>
      </c>
      <c r="C834" s="13" t="str">
        <f t="shared" si="1"/>
        <v> - </v>
      </c>
      <c r="D834" s="106"/>
      <c r="E834" s="13"/>
      <c r="F834" s="13"/>
      <c r="G834" s="105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85"/>
      <c r="B835" s="101" t="s">
        <v>654</v>
      </c>
      <c r="C835" s="13" t="str">
        <f t="shared" si="1"/>
        <v> - </v>
      </c>
      <c r="D835" s="106"/>
      <c r="E835" s="13"/>
      <c r="F835" s="13"/>
      <c r="G835" s="105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85"/>
      <c r="B836" s="101" t="s">
        <v>654</v>
      </c>
      <c r="C836" s="13" t="str">
        <f t="shared" si="1"/>
        <v> - </v>
      </c>
      <c r="D836" s="106"/>
      <c r="E836" s="13"/>
      <c r="F836" s="13"/>
      <c r="G836" s="105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85"/>
      <c r="B837" s="101" t="s">
        <v>654</v>
      </c>
      <c r="C837" s="13" t="str">
        <f t="shared" si="1"/>
        <v> - </v>
      </c>
      <c r="D837" s="106"/>
      <c r="E837" s="13"/>
      <c r="F837" s="13"/>
      <c r="G837" s="105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85"/>
      <c r="B838" s="101" t="s">
        <v>654</v>
      </c>
      <c r="C838" s="13" t="str">
        <f t="shared" si="1"/>
        <v> - </v>
      </c>
      <c r="D838" s="106"/>
      <c r="E838" s="13"/>
      <c r="F838" s="13"/>
      <c r="G838" s="105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85"/>
      <c r="B839" s="101" t="s">
        <v>654</v>
      </c>
      <c r="C839" s="13" t="str">
        <f t="shared" si="1"/>
        <v> - </v>
      </c>
      <c r="D839" s="106"/>
      <c r="E839" s="13"/>
      <c r="F839" s="13"/>
      <c r="G839" s="105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85"/>
      <c r="B840" s="101" t="s">
        <v>654</v>
      </c>
      <c r="C840" s="13" t="str">
        <f t="shared" si="1"/>
        <v> - </v>
      </c>
      <c r="D840" s="106"/>
      <c r="E840" s="13"/>
      <c r="F840" s="13"/>
      <c r="G840" s="105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85"/>
      <c r="B841" s="101" t="s">
        <v>654</v>
      </c>
      <c r="C841" s="13" t="str">
        <f t="shared" si="1"/>
        <v> - </v>
      </c>
      <c r="D841" s="106"/>
      <c r="E841" s="13"/>
      <c r="F841" s="13"/>
      <c r="G841" s="105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85"/>
      <c r="B842" s="101" t="s">
        <v>654</v>
      </c>
      <c r="C842" s="13" t="str">
        <f t="shared" si="1"/>
        <v> - </v>
      </c>
      <c r="D842" s="106"/>
      <c r="E842" s="13"/>
      <c r="F842" s="13"/>
      <c r="G842" s="105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85"/>
      <c r="B843" s="101" t="s">
        <v>654</v>
      </c>
      <c r="C843" s="13" t="str">
        <f t="shared" si="1"/>
        <v> - </v>
      </c>
      <c r="D843" s="106"/>
      <c r="E843" s="13"/>
      <c r="F843" s="13"/>
      <c r="G843" s="105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85"/>
      <c r="B844" s="101" t="s">
        <v>654</v>
      </c>
      <c r="C844" s="13" t="str">
        <f t="shared" si="1"/>
        <v> - </v>
      </c>
      <c r="D844" s="106"/>
      <c r="E844" s="13"/>
      <c r="F844" s="13"/>
      <c r="G844" s="105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85"/>
      <c r="B845" s="101" t="s">
        <v>654</v>
      </c>
      <c r="C845" s="13" t="str">
        <f t="shared" si="1"/>
        <v> - </v>
      </c>
      <c r="D845" s="106"/>
      <c r="E845" s="13"/>
      <c r="F845" s="13"/>
      <c r="G845" s="105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85"/>
      <c r="B846" s="101" t="s">
        <v>654</v>
      </c>
      <c r="C846" s="13" t="str">
        <f t="shared" si="1"/>
        <v> - </v>
      </c>
      <c r="D846" s="106"/>
      <c r="E846" s="13"/>
      <c r="F846" s="13"/>
      <c r="G846" s="105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85"/>
      <c r="B847" s="101" t="s">
        <v>654</v>
      </c>
      <c r="C847" s="13" t="str">
        <f t="shared" si="1"/>
        <v> - </v>
      </c>
      <c r="D847" s="106"/>
      <c r="E847" s="13"/>
      <c r="F847" s="13"/>
      <c r="G847" s="105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85"/>
      <c r="B848" s="101" t="s">
        <v>654</v>
      </c>
      <c r="C848" s="13" t="str">
        <f t="shared" si="1"/>
        <v> - </v>
      </c>
      <c r="D848" s="106"/>
      <c r="E848" s="13"/>
      <c r="F848" s="13"/>
      <c r="G848" s="105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85"/>
      <c r="B849" s="101" t="s">
        <v>654</v>
      </c>
      <c r="C849" s="13" t="str">
        <f t="shared" si="1"/>
        <v> - </v>
      </c>
      <c r="D849" s="106"/>
      <c r="E849" s="13"/>
      <c r="F849" s="13"/>
      <c r="G849" s="105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85"/>
      <c r="B850" s="101" t="s">
        <v>654</v>
      </c>
      <c r="C850" s="13" t="str">
        <f t="shared" si="1"/>
        <v> - </v>
      </c>
      <c r="D850" s="106"/>
      <c r="E850" s="13"/>
      <c r="F850" s="13"/>
      <c r="G850" s="105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85"/>
      <c r="B851" s="101" t="s">
        <v>654</v>
      </c>
      <c r="C851" s="13" t="str">
        <f t="shared" si="1"/>
        <v> - </v>
      </c>
      <c r="D851" s="106"/>
      <c r="E851" s="13"/>
      <c r="F851" s="13"/>
      <c r="G851" s="105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85"/>
      <c r="B852" s="101" t="s">
        <v>654</v>
      </c>
      <c r="C852" s="13" t="str">
        <f t="shared" si="1"/>
        <v> - </v>
      </c>
      <c r="D852" s="106"/>
      <c r="E852" s="13"/>
      <c r="F852" s="13"/>
      <c r="G852" s="105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85"/>
      <c r="B853" s="101" t="s">
        <v>654</v>
      </c>
      <c r="C853" s="13" t="str">
        <f t="shared" si="1"/>
        <v> - </v>
      </c>
      <c r="D853" s="106"/>
      <c r="E853" s="13"/>
      <c r="F853" s="13"/>
      <c r="G853" s="105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85"/>
      <c r="B854" s="101" t="s">
        <v>654</v>
      </c>
      <c r="C854" s="13" t="str">
        <f t="shared" si="1"/>
        <v> - </v>
      </c>
      <c r="D854" s="106"/>
      <c r="E854" s="13"/>
      <c r="F854" s="13"/>
      <c r="G854" s="105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85"/>
      <c r="B855" s="101" t="s">
        <v>654</v>
      </c>
      <c r="C855" s="13" t="str">
        <f t="shared" si="1"/>
        <v> - </v>
      </c>
      <c r="D855" s="106"/>
      <c r="E855" s="13"/>
      <c r="F855" s="13"/>
      <c r="G855" s="105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85"/>
      <c r="B856" s="101" t="s">
        <v>654</v>
      </c>
      <c r="C856" s="13" t="str">
        <f t="shared" si="1"/>
        <v> - </v>
      </c>
      <c r="D856" s="106"/>
      <c r="E856" s="13"/>
      <c r="F856" s="13"/>
      <c r="G856" s="105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85"/>
      <c r="B857" s="101" t="s">
        <v>654</v>
      </c>
      <c r="C857" s="13" t="str">
        <f t="shared" si="1"/>
        <v> - </v>
      </c>
      <c r="D857" s="106"/>
      <c r="E857" s="13"/>
      <c r="F857" s="13"/>
      <c r="G857" s="105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85"/>
      <c r="B858" s="101" t="s">
        <v>654</v>
      </c>
      <c r="C858" s="13" t="str">
        <f t="shared" si="1"/>
        <v> - </v>
      </c>
      <c r="D858" s="106"/>
      <c r="E858" s="13"/>
      <c r="F858" s="13"/>
      <c r="G858" s="105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85"/>
      <c r="B859" s="101" t="s">
        <v>654</v>
      </c>
      <c r="C859" s="13" t="str">
        <f t="shared" si="1"/>
        <v> - </v>
      </c>
      <c r="D859" s="106"/>
      <c r="E859" s="13"/>
      <c r="F859" s="13"/>
      <c r="G859" s="105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85"/>
      <c r="B860" s="101" t="s">
        <v>654</v>
      </c>
      <c r="C860" s="13" t="str">
        <f t="shared" si="1"/>
        <v> - </v>
      </c>
      <c r="D860" s="106"/>
      <c r="E860" s="13"/>
      <c r="F860" s="13"/>
      <c r="G860" s="105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85"/>
      <c r="B861" s="101" t="s">
        <v>654</v>
      </c>
      <c r="C861" s="13" t="str">
        <f t="shared" si="1"/>
        <v> - </v>
      </c>
      <c r="D861" s="106"/>
      <c r="E861" s="13"/>
      <c r="F861" s="13"/>
      <c r="G861" s="105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85"/>
      <c r="B862" s="101" t="s">
        <v>654</v>
      </c>
      <c r="C862" s="13" t="str">
        <f t="shared" si="1"/>
        <v> - </v>
      </c>
      <c r="D862" s="106"/>
      <c r="E862" s="13"/>
      <c r="F862" s="13"/>
      <c r="G862" s="105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85"/>
      <c r="B863" s="101" t="s">
        <v>654</v>
      </c>
      <c r="C863" s="13" t="str">
        <f t="shared" si="1"/>
        <v> - </v>
      </c>
      <c r="D863" s="106"/>
      <c r="E863" s="13"/>
      <c r="F863" s="13"/>
      <c r="G863" s="105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85"/>
      <c r="B864" s="101" t="s">
        <v>654</v>
      </c>
      <c r="C864" s="13" t="str">
        <f t="shared" si="1"/>
        <v> - </v>
      </c>
      <c r="D864" s="106"/>
      <c r="E864" s="13"/>
      <c r="F864" s="13"/>
      <c r="G864" s="105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85"/>
      <c r="B865" s="101" t="s">
        <v>654</v>
      </c>
      <c r="C865" s="13" t="str">
        <f t="shared" si="1"/>
        <v> - </v>
      </c>
      <c r="D865" s="106"/>
      <c r="E865" s="13"/>
      <c r="F865" s="13"/>
      <c r="G865" s="105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85"/>
      <c r="B866" s="101" t="s">
        <v>654</v>
      </c>
      <c r="C866" s="13" t="str">
        <f t="shared" si="1"/>
        <v> - </v>
      </c>
      <c r="D866" s="106"/>
      <c r="E866" s="13"/>
      <c r="F866" s="13"/>
      <c r="G866" s="105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85"/>
      <c r="B867" s="101" t="s">
        <v>654</v>
      </c>
      <c r="C867" s="13" t="str">
        <f t="shared" si="1"/>
        <v> - </v>
      </c>
      <c r="D867" s="106"/>
      <c r="E867" s="13"/>
      <c r="F867" s="13"/>
      <c r="G867" s="105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85"/>
      <c r="B868" s="101" t="s">
        <v>654</v>
      </c>
      <c r="C868" s="13" t="str">
        <f t="shared" si="1"/>
        <v> - </v>
      </c>
      <c r="D868" s="106"/>
      <c r="E868" s="13"/>
      <c r="F868" s="13"/>
      <c r="G868" s="105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85"/>
      <c r="B869" s="101" t="s">
        <v>654</v>
      </c>
      <c r="C869" s="13" t="str">
        <f t="shared" si="1"/>
        <v> - </v>
      </c>
      <c r="D869" s="106"/>
      <c r="E869" s="13"/>
      <c r="F869" s="13"/>
      <c r="G869" s="105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85"/>
      <c r="B870" s="101" t="s">
        <v>654</v>
      </c>
      <c r="C870" s="13" t="str">
        <f t="shared" si="1"/>
        <v> - </v>
      </c>
      <c r="D870" s="106"/>
      <c r="E870" s="13"/>
      <c r="F870" s="13"/>
      <c r="G870" s="105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85"/>
      <c r="B871" s="101" t="s">
        <v>654</v>
      </c>
      <c r="C871" s="13" t="str">
        <f t="shared" si="1"/>
        <v> - </v>
      </c>
      <c r="D871" s="106"/>
      <c r="E871" s="13"/>
      <c r="F871" s="13"/>
      <c r="G871" s="105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85"/>
      <c r="B872" s="101" t="s">
        <v>654</v>
      </c>
      <c r="C872" s="13" t="str">
        <f t="shared" si="1"/>
        <v> - </v>
      </c>
      <c r="D872" s="106"/>
      <c r="E872" s="13"/>
      <c r="F872" s="13"/>
      <c r="G872" s="105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85"/>
      <c r="B873" s="101" t="s">
        <v>654</v>
      </c>
      <c r="C873" s="13" t="str">
        <f t="shared" si="1"/>
        <v> - </v>
      </c>
      <c r="D873" s="106"/>
      <c r="E873" s="13"/>
      <c r="F873" s="13"/>
      <c r="G873" s="105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85"/>
      <c r="B874" s="101" t="s">
        <v>654</v>
      </c>
      <c r="C874" s="13" t="str">
        <f t="shared" si="1"/>
        <v> - </v>
      </c>
      <c r="D874" s="106"/>
      <c r="E874" s="13"/>
      <c r="F874" s="13"/>
      <c r="G874" s="105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85"/>
      <c r="B875" s="101" t="s">
        <v>654</v>
      </c>
      <c r="C875" s="13" t="str">
        <f t="shared" si="1"/>
        <v> - </v>
      </c>
      <c r="D875" s="106"/>
      <c r="E875" s="13"/>
      <c r="F875" s="13"/>
      <c r="G875" s="105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85"/>
      <c r="B876" s="101" t="s">
        <v>654</v>
      </c>
      <c r="C876" s="13" t="str">
        <f t="shared" si="1"/>
        <v> - </v>
      </c>
      <c r="D876" s="106"/>
      <c r="E876" s="13"/>
      <c r="F876" s="13"/>
      <c r="G876" s="105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85"/>
      <c r="B877" s="101" t="s">
        <v>654</v>
      </c>
      <c r="C877" s="13" t="str">
        <f t="shared" si="1"/>
        <v> - </v>
      </c>
      <c r="D877" s="106"/>
      <c r="E877" s="13"/>
      <c r="F877" s="13"/>
      <c r="G877" s="105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85"/>
      <c r="B878" s="101" t="s">
        <v>654</v>
      </c>
      <c r="C878" s="13" t="str">
        <f t="shared" si="1"/>
        <v> - </v>
      </c>
      <c r="D878" s="106"/>
      <c r="E878" s="13"/>
      <c r="F878" s="13"/>
      <c r="G878" s="105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85"/>
      <c r="B879" s="101" t="s">
        <v>654</v>
      </c>
      <c r="C879" s="13" t="str">
        <f t="shared" si="1"/>
        <v> - </v>
      </c>
      <c r="D879" s="106"/>
      <c r="E879" s="13"/>
      <c r="F879" s="13"/>
      <c r="G879" s="105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85"/>
      <c r="B880" s="101" t="s">
        <v>654</v>
      </c>
      <c r="C880" s="13" t="str">
        <f t="shared" si="1"/>
        <v> - </v>
      </c>
      <c r="D880" s="106"/>
      <c r="E880" s="13"/>
      <c r="F880" s="13"/>
      <c r="G880" s="105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85"/>
      <c r="B881" s="101" t="s">
        <v>654</v>
      </c>
      <c r="C881" s="13" t="str">
        <f t="shared" si="1"/>
        <v> - </v>
      </c>
      <c r="D881" s="106"/>
      <c r="E881" s="13"/>
      <c r="F881" s="13"/>
      <c r="G881" s="105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85"/>
      <c r="B882" s="101" t="s">
        <v>654</v>
      </c>
      <c r="C882" s="13" t="str">
        <f t="shared" si="1"/>
        <v> - </v>
      </c>
      <c r="D882" s="106"/>
      <c r="E882" s="13"/>
      <c r="F882" s="13"/>
      <c r="G882" s="105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85"/>
      <c r="B883" s="101" t="s">
        <v>654</v>
      </c>
      <c r="C883" s="13" t="str">
        <f t="shared" si="1"/>
        <v> - </v>
      </c>
      <c r="D883" s="106"/>
      <c r="E883" s="13"/>
      <c r="F883" s="13"/>
      <c r="G883" s="105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85"/>
      <c r="B884" s="101" t="s">
        <v>654</v>
      </c>
      <c r="C884" s="13" t="str">
        <f t="shared" si="1"/>
        <v> - </v>
      </c>
      <c r="D884" s="106"/>
      <c r="E884" s="13"/>
      <c r="F884" s="13"/>
      <c r="G884" s="105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85"/>
      <c r="B885" s="101" t="s">
        <v>654</v>
      </c>
      <c r="C885" s="13" t="str">
        <f t="shared" si="1"/>
        <v> - </v>
      </c>
      <c r="D885" s="106"/>
      <c r="E885" s="13"/>
      <c r="F885" s="13"/>
      <c r="G885" s="105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85"/>
      <c r="B886" s="101" t="s">
        <v>654</v>
      </c>
      <c r="C886" s="13" t="str">
        <f t="shared" si="1"/>
        <v> - </v>
      </c>
      <c r="D886" s="106"/>
      <c r="E886" s="13"/>
      <c r="F886" s="13"/>
      <c r="G886" s="105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85"/>
      <c r="B887" s="101" t="s">
        <v>654</v>
      </c>
      <c r="C887" s="13" t="str">
        <f t="shared" si="1"/>
        <v> - </v>
      </c>
      <c r="D887" s="106"/>
      <c r="E887" s="13"/>
      <c r="F887" s="13"/>
      <c r="G887" s="105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85"/>
      <c r="B888" s="101" t="s">
        <v>654</v>
      </c>
      <c r="C888" s="13" t="str">
        <f t="shared" si="1"/>
        <v> - </v>
      </c>
      <c r="D888" s="106"/>
      <c r="E888" s="13"/>
      <c r="F888" s="13"/>
      <c r="G888" s="105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85"/>
      <c r="B889" s="101" t="s">
        <v>654</v>
      </c>
      <c r="C889" s="13" t="str">
        <f t="shared" si="1"/>
        <v> - </v>
      </c>
      <c r="D889" s="106"/>
      <c r="E889" s="13"/>
      <c r="F889" s="13"/>
      <c r="G889" s="105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85"/>
      <c r="B890" s="101" t="s">
        <v>654</v>
      </c>
      <c r="C890" s="13" t="str">
        <f t="shared" si="1"/>
        <v> - </v>
      </c>
      <c r="D890" s="106"/>
      <c r="E890" s="13"/>
      <c r="F890" s="13"/>
      <c r="G890" s="105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85"/>
      <c r="B891" s="101" t="s">
        <v>654</v>
      </c>
      <c r="C891" s="13" t="str">
        <f t="shared" si="1"/>
        <v> - </v>
      </c>
      <c r="D891" s="106"/>
      <c r="E891" s="13"/>
      <c r="F891" s="13"/>
      <c r="G891" s="105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85"/>
      <c r="B892" s="101" t="s">
        <v>654</v>
      </c>
      <c r="C892" s="13" t="str">
        <f t="shared" si="1"/>
        <v> - </v>
      </c>
      <c r="D892" s="106"/>
      <c r="E892" s="13"/>
      <c r="F892" s="13"/>
      <c r="G892" s="105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85"/>
      <c r="B893" s="101" t="s">
        <v>654</v>
      </c>
      <c r="C893" s="13" t="str">
        <f t="shared" si="1"/>
        <v> - </v>
      </c>
      <c r="D893" s="106"/>
      <c r="E893" s="13"/>
      <c r="F893" s="13"/>
      <c r="G893" s="105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85"/>
      <c r="B894" s="101" t="s">
        <v>654</v>
      </c>
      <c r="C894" s="13" t="str">
        <f t="shared" si="1"/>
        <v> - </v>
      </c>
      <c r="D894" s="106"/>
      <c r="E894" s="13"/>
      <c r="F894" s="13"/>
      <c r="G894" s="105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85"/>
      <c r="B895" s="101" t="s">
        <v>654</v>
      </c>
      <c r="C895" s="13" t="str">
        <f t="shared" si="1"/>
        <v> - </v>
      </c>
      <c r="D895" s="106"/>
      <c r="E895" s="13"/>
      <c r="F895" s="13"/>
      <c r="G895" s="105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85"/>
      <c r="B896" s="101" t="s">
        <v>654</v>
      </c>
      <c r="C896" s="13" t="str">
        <f t="shared" si="1"/>
        <v> - </v>
      </c>
      <c r="D896" s="106"/>
      <c r="E896" s="13"/>
      <c r="F896" s="13"/>
      <c r="G896" s="105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85"/>
      <c r="B897" s="101" t="s">
        <v>654</v>
      </c>
      <c r="C897" s="13" t="str">
        <f t="shared" si="1"/>
        <v> - </v>
      </c>
      <c r="D897" s="106"/>
      <c r="E897" s="13"/>
      <c r="F897" s="13"/>
      <c r="G897" s="105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85"/>
      <c r="B898" s="101" t="s">
        <v>654</v>
      </c>
      <c r="C898" s="13" t="str">
        <f t="shared" si="1"/>
        <v> - </v>
      </c>
      <c r="D898" s="106"/>
      <c r="E898" s="13"/>
      <c r="F898" s="13"/>
      <c r="G898" s="105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85"/>
      <c r="B899" s="101" t="s">
        <v>654</v>
      </c>
      <c r="C899" s="13" t="str">
        <f t="shared" si="1"/>
        <v> - </v>
      </c>
      <c r="D899" s="106"/>
      <c r="E899" s="13"/>
      <c r="F899" s="13"/>
      <c r="G899" s="105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85"/>
      <c r="B900" s="101" t="s">
        <v>654</v>
      </c>
      <c r="C900" s="13" t="str">
        <f t="shared" si="1"/>
        <v> - </v>
      </c>
      <c r="D900" s="106"/>
      <c r="E900" s="13"/>
      <c r="F900" s="13"/>
      <c r="G900" s="105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85"/>
      <c r="B901" s="101" t="s">
        <v>654</v>
      </c>
      <c r="C901" s="13" t="str">
        <f t="shared" si="1"/>
        <v> - </v>
      </c>
      <c r="D901" s="106"/>
      <c r="E901" s="13"/>
      <c r="F901" s="13"/>
      <c r="G901" s="105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85"/>
      <c r="B902" s="101" t="s">
        <v>654</v>
      </c>
      <c r="C902" s="13" t="str">
        <f t="shared" si="1"/>
        <v> - </v>
      </c>
      <c r="D902" s="106"/>
      <c r="E902" s="13"/>
      <c r="F902" s="13"/>
      <c r="G902" s="105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85"/>
      <c r="B903" s="101" t="s">
        <v>654</v>
      </c>
      <c r="C903" s="13" t="str">
        <f t="shared" si="1"/>
        <v> - </v>
      </c>
      <c r="D903" s="106"/>
      <c r="E903" s="13"/>
      <c r="F903" s="13"/>
      <c r="G903" s="105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85"/>
      <c r="B904" s="101" t="s">
        <v>654</v>
      </c>
      <c r="C904" s="13" t="str">
        <f t="shared" si="1"/>
        <v> - </v>
      </c>
      <c r="D904" s="106"/>
      <c r="E904" s="13"/>
      <c r="F904" s="13"/>
      <c r="G904" s="105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85"/>
      <c r="B905" s="101" t="s">
        <v>654</v>
      </c>
      <c r="C905" s="13" t="str">
        <f t="shared" si="1"/>
        <v> - </v>
      </c>
      <c r="D905" s="106"/>
      <c r="E905" s="13"/>
      <c r="F905" s="13"/>
      <c r="G905" s="105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85"/>
      <c r="B906" s="101" t="s">
        <v>654</v>
      </c>
      <c r="C906" s="13" t="str">
        <f t="shared" si="1"/>
        <v> - </v>
      </c>
      <c r="D906" s="106"/>
      <c r="E906" s="13"/>
      <c r="F906" s="13"/>
      <c r="G906" s="105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85"/>
      <c r="B907" s="101" t="s">
        <v>654</v>
      </c>
      <c r="C907" s="13" t="str">
        <f t="shared" si="1"/>
        <v> - </v>
      </c>
      <c r="D907" s="106"/>
      <c r="E907" s="13"/>
      <c r="F907" s="13"/>
      <c r="G907" s="105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85"/>
      <c r="B908" s="101" t="s">
        <v>654</v>
      </c>
      <c r="C908" s="13" t="str">
        <f t="shared" si="1"/>
        <v> - </v>
      </c>
      <c r="D908" s="106"/>
      <c r="E908" s="13"/>
      <c r="F908" s="13"/>
      <c r="G908" s="105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85"/>
      <c r="B909" s="101" t="s">
        <v>654</v>
      </c>
      <c r="C909" s="13" t="str">
        <f t="shared" si="1"/>
        <v> - </v>
      </c>
      <c r="D909" s="106"/>
      <c r="E909" s="13"/>
      <c r="F909" s="13"/>
      <c r="G909" s="105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85"/>
      <c r="B910" s="101" t="s">
        <v>654</v>
      </c>
      <c r="C910" s="13" t="str">
        <f t="shared" si="1"/>
        <v> - </v>
      </c>
      <c r="D910" s="106"/>
      <c r="E910" s="13"/>
      <c r="F910" s="13"/>
      <c r="G910" s="105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85"/>
      <c r="B911" s="101" t="s">
        <v>654</v>
      </c>
      <c r="C911" s="13" t="str">
        <f t="shared" si="1"/>
        <v> - </v>
      </c>
      <c r="D911" s="106"/>
      <c r="E911" s="13"/>
      <c r="F911" s="13"/>
      <c r="G911" s="105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85"/>
      <c r="B912" s="101" t="s">
        <v>654</v>
      </c>
      <c r="C912" s="13" t="str">
        <f t="shared" si="1"/>
        <v> - </v>
      </c>
      <c r="D912" s="106"/>
      <c r="E912" s="13"/>
      <c r="F912" s="13"/>
      <c r="G912" s="105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85"/>
      <c r="B913" s="101" t="s">
        <v>654</v>
      </c>
      <c r="C913" s="13" t="str">
        <f t="shared" si="1"/>
        <v> - </v>
      </c>
      <c r="D913" s="106"/>
      <c r="E913" s="13"/>
      <c r="F913" s="13"/>
      <c r="G913" s="105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85"/>
      <c r="B914" s="101" t="s">
        <v>654</v>
      </c>
      <c r="C914" s="13" t="str">
        <f t="shared" si="1"/>
        <v> - </v>
      </c>
      <c r="D914" s="106"/>
      <c r="E914" s="13"/>
      <c r="F914" s="13"/>
      <c r="G914" s="105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85"/>
      <c r="B915" s="101" t="s">
        <v>654</v>
      </c>
      <c r="C915" s="13" t="str">
        <f t="shared" si="1"/>
        <v> - </v>
      </c>
      <c r="D915" s="106"/>
      <c r="E915" s="13"/>
      <c r="F915" s="13"/>
      <c r="G915" s="105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85"/>
      <c r="B916" s="101" t="s">
        <v>654</v>
      </c>
      <c r="C916" s="13" t="str">
        <f t="shared" si="1"/>
        <v> - </v>
      </c>
      <c r="D916" s="106"/>
      <c r="E916" s="13"/>
      <c r="F916" s="13"/>
      <c r="G916" s="105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85"/>
      <c r="B917" s="101" t="s">
        <v>654</v>
      </c>
      <c r="C917" s="13" t="str">
        <f t="shared" si="1"/>
        <v> - </v>
      </c>
      <c r="D917" s="106"/>
      <c r="E917" s="13"/>
      <c r="F917" s="13"/>
      <c r="G917" s="105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85"/>
      <c r="B918" s="101" t="s">
        <v>654</v>
      </c>
      <c r="C918" s="13" t="str">
        <f t="shared" si="1"/>
        <v> - </v>
      </c>
      <c r="D918" s="106"/>
      <c r="E918" s="13"/>
      <c r="F918" s="13"/>
      <c r="G918" s="105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85"/>
      <c r="B919" s="101" t="s">
        <v>654</v>
      </c>
      <c r="C919" s="13" t="str">
        <f t="shared" si="1"/>
        <v> - </v>
      </c>
      <c r="D919" s="106"/>
      <c r="E919" s="13"/>
      <c r="F919" s="13"/>
      <c r="G919" s="105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85"/>
      <c r="B920" s="101" t="s">
        <v>654</v>
      </c>
      <c r="C920" s="13" t="str">
        <f t="shared" si="1"/>
        <v> - </v>
      </c>
      <c r="D920" s="106"/>
      <c r="E920" s="13"/>
      <c r="F920" s="13"/>
      <c r="G920" s="105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85"/>
      <c r="B921" s="101" t="s">
        <v>654</v>
      </c>
      <c r="C921" s="13" t="str">
        <f t="shared" si="1"/>
        <v> - </v>
      </c>
      <c r="D921" s="106"/>
      <c r="E921" s="13"/>
      <c r="F921" s="13"/>
      <c r="G921" s="105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85"/>
      <c r="B922" s="101" t="s">
        <v>654</v>
      </c>
      <c r="C922" s="13" t="str">
        <f t="shared" si="1"/>
        <v> - </v>
      </c>
      <c r="D922" s="106"/>
      <c r="E922" s="13"/>
      <c r="F922" s="13"/>
      <c r="G922" s="105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85"/>
      <c r="B923" s="101" t="s">
        <v>654</v>
      </c>
      <c r="C923" s="13" t="str">
        <f t="shared" si="1"/>
        <v> - </v>
      </c>
      <c r="D923" s="106"/>
      <c r="E923" s="13"/>
      <c r="F923" s="13"/>
      <c r="G923" s="105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85"/>
      <c r="B924" s="101" t="s">
        <v>654</v>
      </c>
      <c r="C924" s="13" t="str">
        <f t="shared" si="1"/>
        <v> - </v>
      </c>
      <c r="D924" s="106"/>
      <c r="E924" s="13"/>
      <c r="F924" s="13"/>
      <c r="G924" s="105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85"/>
      <c r="B925" s="101" t="s">
        <v>654</v>
      </c>
      <c r="C925" s="13" t="str">
        <f t="shared" si="1"/>
        <v> - </v>
      </c>
      <c r="D925" s="106"/>
      <c r="E925" s="13"/>
      <c r="F925" s="13"/>
      <c r="G925" s="105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85"/>
      <c r="B926" s="101" t="s">
        <v>654</v>
      </c>
      <c r="C926" s="13" t="str">
        <f t="shared" si="1"/>
        <v> - </v>
      </c>
      <c r="D926" s="106"/>
      <c r="E926" s="13"/>
      <c r="F926" s="13"/>
      <c r="G926" s="105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85"/>
      <c r="B927" s="101" t="s">
        <v>654</v>
      </c>
      <c r="C927" s="13" t="str">
        <f t="shared" si="1"/>
        <v> - </v>
      </c>
      <c r="D927" s="106"/>
      <c r="E927" s="13"/>
      <c r="F927" s="13"/>
      <c r="G927" s="105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85"/>
      <c r="B928" s="101" t="s">
        <v>654</v>
      </c>
      <c r="C928" s="13" t="str">
        <f t="shared" si="1"/>
        <v> - </v>
      </c>
      <c r="D928" s="106"/>
      <c r="E928" s="13"/>
      <c r="F928" s="13"/>
      <c r="G928" s="105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85"/>
      <c r="B929" s="101" t="s">
        <v>654</v>
      </c>
      <c r="C929" s="13" t="str">
        <f t="shared" si="1"/>
        <v> - </v>
      </c>
      <c r="D929" s="106"/>
      <c r="E929" s="13"/>
      <c r="F929" s="13"/>
      <c r="G929" s="105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85"/>
      <c r="B930" s="101" t="s">
        <v>654</v>
      </c>
      <c r="C930" s="13" t="str">
        <f t="shared" si="1"/>
        <v> - </v>
      </c>
      <c r="D930" s="106"/>
      <c r="E930" s="13"/>
      <c r="F930" s="13"/>
      <c r="G930" s="105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85"/>
      <c r="B931" s="101" t="s">
        <v>654</v>
      </c>
      <c r="C931" s="13" t="str">
        <f t="shared" si="1"/>
        <v> - </v>
      </c>
      <c r="D931" s="106"/>
      <c r="E931" s="13"/>
      <c r="F931" s="13"/>
      <c r="G931" s="105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85"/>
      <c r="B932" s="101" t="s">
        <v>654</v>
      </c>
      <c r="C932" s="13" t="str">
        <f t="shared" si="1"/>
        <v> - </v>
      </c>
      <c r="D932" s="106"/>
      <c r="E932" s="13"/>
      <c r="F932" s="13"/>
      <c r="G932" s="105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85"/>
      <c r="B933" s="101" t="s">
        <v>654</v>
      </c>
      <c r="C933" s="13" t="str">
        <f t="shared" si="1"/>
        <v> - </v>
      </c>
      <c r="D933" s="106"/>
      <c r="E933" s="13"/>
      <c r="F933" s="13"/>
      <c r="G933" s="105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85"/>
      <c r="B934" s="101" t="s">
        <v>654</v>
      </c>
      <c r="C934" s="13" t="str">
        <f t="shared" si="1"/>
        <v> - </v>
      </c>
      <c r="D934" s="106"/>
      <c r="E934" s="13"/>
      <c r="F934" s="13"/>
      <c r="G934" s="105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85"/>
      <c r="B935" s="101" t="s">
        <v>654</v>
      </c>
      <c r="C935" s="13" t="str">
        <f t="shared" si="1"/>
        <v> - </v>
      </c>
      <c r="D935" s="106"/>
      <c r="E935" s="13"/>
      <c r="F935" s="13"/>
      <c r="G935" s="105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85"/>
      <c r="B936" s="101" t="s">
        <v>654</v>
      </c>
      <c r="C936" s="13" t="str">
        <f t="shared" si="1"/>
        <v> - </v>
      </c>
      <c r="D936" s="106"/>
      <c r="E936" s="13"/>
      <c r="F936" s="13"/>
      <c r="G936" s="105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85"/>
      <c r="B937" s="101" t="s">
        <v>654</v>
      </c>
      <c r="C937" s="13" t="str">
        <f t="shared" si="1"/>
        <v> - </v>
      </c>
      <c r="D937" s="106"/>
      <c r="E937" s="13"/>
      <c r="F937" s="13"/>
      <c r="G937" s="105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85"/>
      <c r="B938" s="101" t="s">
        <v>654</v>
      </c>
      <c r="C938" s="13" t="str">
        <f t="shared" si="1"/>
        <v> - </v>
      </c>
      <c r="D938" s="106"/>
      <c r="E938" s="13"/>
      <c r="F938" s="13"/>
      <c r="G938" s="105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85"/>
      <c r="B939" s="101" t="s">
        <v>654</v>
      </c>
      <c r="C939" s="13" t="str">
        <f t="shared" si="1"/>
        <v> - </v>
      </c>
      <c r="D939" s="106"/>
      <c r="E939" s="13"/>
      <c r="F939" s="13"/>
      <c r="G939" s="105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85"/>
      <c r="B940" s="101" t="s">
        <v>654</v>
      </c>
      <c r="C940" s="13" t="str">
        <f t="shared" si="1"/>
        <v> - </v>
      </c>
      <c r="D940" s="106"/>
      <c r="E940" s="13"/>
      <c r="F940" s="13"/>
      <c r="G940" s="105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85"/>
      <c r="B941" s="101" t="s">
        <v>654</v>
      </c>
      <c r="C941" s="13" t="str">
        <f t="shared" si="1"/>
        <v> - </v>
      </c>
      <c r="D941" s="106"/>
      <c r="E941" s="13"/>
      <c r="F941" s="13"/>
      <c r="G941" s="105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85"/>
      <c r="B942" s="101" t="s">
        <v>654</v>
      </c>
      <c r="C942" s="13" t="str">
        <f t="shared" si="1"/>
        <v> - </v>
      </c>
      <c r="D942" s="106"/>
      <c r="E942" s="13"/>
      <c r="F942" s="13"/>
      <c r="G942" s="105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85"/>
      <c r="B943" s="101" t="s">
        <v>654</v>
      </c>
      <c r="C943" s="13" t="str">
        <f t="shared" si="1"/>
        <v> - </v>
      </c>
      <c r="D943" s="106"/>
      <c r="E943" s="13"/>
      <c r="F943" s="13"/>
      <c r="G943" s="105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85"/>
      <c r="B944" s="101" t="s">
        <v>654</v>
      </c>
      <c r="C944" s="13" t="str">
        <f t="shared" si="1"/>
        <v> - </v>
      </c>
      <c r="D944" s="106"/>
      <c r="E944" s="13"/>
      <c r="F944" s="13"/>
      <c r="G944" s="105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85"/>
      <c r="B945" s="101" t="s">
        <v>654</v>
      </c>
      <c r="C945" s="13" t="str">
        <f t="shared" si="1"/>
        <v> - </v>
      </c>
      <c r="D945" s="106"/>
      <c r="E945" s="13"/>
      <c r="F945" s="13"/>
      <c r="G945" s="105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85"/>
      <c r="B946" s="101" t="s">
        <v>654</v>
      </c>
      <c r="C946" s="13" t="str">
        <f t="shared" si="1"/>
        <v> - </v>
      </c>
      <c r="D946" s="106"/>
      <c r="E946" s="13"/>
      <c r="F946" s="13"/>
      <c r="G946" s="105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85"/>
      <c r="B947" s="101" t="s">
        <v>654</v>
      </c>
      <c r="C947" s="13" t="str">
        <f t="shared" si="1"/>
        <v> - </v>
      </c>
      <c r="D947" s="106"/>
      <c r="E947" s="13"/>
      <c r="F947" s="13"/>
      <c r="G947" s="105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85"/>
      <c r="B948" s="101" t="s">
        <v>654</v>
      </c>
      <c r="C948" s="13" t="str">
        <f t="shared" si="1"/>
        <v> - </v>
      </c>
      <c r="D948" s="106"/>
      <c r="E948" s="13"/>
      <c r="F948" s="13"/>
      <c r="G948" s="105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85"/>
      <c r="B949" s="101" t="s">
        <v>654</v>
      </c>
      <c r="C949" s="13" t="str">
        <f t="shared" si="1"/>
        <v> - </v>
      </c>
      <c r="D949" s="106"/>
      <c r="E949" s="13"/>
      <c r="F949" s="13"/>
      <c r="G949" s="105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85"/>
      <c r="B950" s="101" t="s">
        <v>654</v>
      </c>
      <c r="C950" s="13" t="str">
        <f t="shared" si="1"/>
        <v> - </v>
      </c>
      <c r="D950" s="106"/>
      <c r="E950" s="13"/>
      <c r="F950" s="13"/>
      <c r="G950" s="105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85"/>
      <c r="B951" s="101" t="s">
        <v>654</v>
      </c>
      <c r="C951" s="13" t="str">
        <f t="shared" si="1"/>
        <v> - </v>
      </c>
      <c r="D951" s="106"/>
      <c r="E951" s="13"/>
      <c r="F951" s="13"/>
      <c r="G951" s="105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85"/>
      <c r="B952" s="101" t="s">
        <v>654</v>
      </c>
      <c r="C952" s="13" t="str">
        <f t="shared" si="1"/>
        <v> - </v>
      </c>
      <c r="D952" s="106"/>
      <c r="E952" s="13"/>
      <c r="F952" s="13"/>
      <c r="G952" s="105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85"/>
      <c r="B953" s="101" t="s">
        <v>654</v>
      </c>
      <c r="C953" s="13" t="str">
        <f t="shared" si="1"/>
        <v> - </v>
      </c>
      <c r="D953" s="106"/>
      <c r="E953" s="13"/>
      <c r="F953" s="13"/>
      <c r="G953" s="105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85"/>
      <c r="B954" s="101" t="s">
        <v>654</v>
      </c>
      <c r="C954" s="13" t="str">
        <f t="shared" si="1"/>
        <v> - </v>
      </c>
      <c r="D954" s="106"/>
      <c r="E954" s="13"/>
      <c r="F954" s="13"/>
      <c r="G954" s="105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85"/>
      <c r="B955" s="101" t="s">
        <v>654</v>
      </c>
      <c r="C955" s="13" t="str">
        <f t="shared" si="1"/>
        <v> - </v>
      </c>
      <c r="D955" s="106"/>
      <c r="E955" s="13"/>
      <c r="F955" s="13"/>
      <c r="G955" s="105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85"/>
      <c r="B956" s="101" t="s">
        <v>654</v>
      </c>
      <c r="C956" s="13" t="str">
        <f t="shared" si="1"/>
        <v> - </v>
      </c>
      <c r="D956" s="106"/>
      <c r="E956" s="13"/>
      <c r="F956" s="13"/>
      <c r="G956" s="105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85"/>
      <c r="B957" s="101" t="s">
        <v>654</v>
      </c>
      <c r="C957" s="13" t="str">
        <f t="shared" si="1"/>
        <v> - </v>
      </c>
      <c r="D957" s="106"/>
      <c r="E957" s="13"/>
      <c r="F957" s="13"/>
      <c r="G957" s="105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85"/>
      <c r="B958" s="101" t="s">
        <v>654</v>
      </c>
      <c r="C958" s="13" t="str">
        <f t="shared" si="1"/>
        <v> - </v>
      </c>
      <c r="D958" s="106"/>
      <c r="E958" s="13"/>
      <c r="F958" s="13"/>
      <c r="G958" s="105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85"/>
      <c r="B959" s="101" t="s">
        <v>654</v>
      </c>
      <c r="C959" s="13" t="str">
        <f t="shared" si="1"/>
        <v> - </v>
      </c>
      <c r="D959" s="106"/>
      <c r="E959" s="13"/>
      <c r="F959" s="13"/>
      <c r="G959" s="105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85"/>
      <c r="B960" s="101" t="s">
        <v>654</v>
      </c>
      <c r="C960" s="13" t="str">
        <f t="shared" si="1"/>
        <v> - </v>
      </c>
      <c r="D960" s="106"/>
      <c r="E960" s="13"/>
      <c r="F960" s="13"/>
      <c r="G960" s="105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85"/>
      <c r="B961" s="101" t="s">
        <v>654</v>
      </c>
      <c r="C961" s="13" t="str">
        <f t="shared" si="1"/>
        <v> - </v>
      </c>
      <c r="D961" s="106"/>
      <c r="E961" s="13"/>
      <c r="F961" s="13"/>
      <c r="G961" s="105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85"/>
      <c r="B962" s="101" t="s">
        <v>654</v>
      </c>
      <c r="C962" s="13" t="str">
        <f t="shared" si="1"/>
        <v> - </v>
      </c>
      <c r="D962" s="106"/>
      <c r="E962" s="13"/>
      <c r="F962" s="13"/>
      <c r="G962" s="105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85"/>
      <c r="B963" s="101" t="s">
        <v>654</v>
      </c>
      <c r="C963" s="13" t="str">
        <f t="shared" si="1"/>
        <v> - </v>
      </c>
      <c r="D963" s="106"/>
      <c r="E963" s="13"/>
      <c r="F963" s="13"/>
      <c r="G963" s="105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85"/>
      <c r="B964" s="101" t="s">
        <v>654</v>
      </c>
      <c r="C964" s="13" t="str">
        <f t="shared" si="1"/>
        <v> - </v>
      </c>
      <c r="D964" s="106"/>
      <c r="E964" s="13"/>
      <c r="F964" s="13"/>
      <c r="G964" s="105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85"/>
      <c r="B965" s="101" t="s">
        <v>654</v>
      </c>
      <c r="C965" s="13" t="str">
        <f t="shared" si="1"/>
        <v> - </v>
      </c>
      <c r="D965" s="106"/>
      <c r="E965" s="13"/>
      <c r="F965" s="13"/>
      <c r="G965" s="105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85"/>
      <c r="B966" s="101" t="s">
        <v>654</v>
      </c>
      <c r="C966" s="13" t="str">
        <f t="shared" si="1"/>
        <v> - </v>
      </c>
      <c r="D966" s="106"/>
      <c r="E966" s="13"/>
      <c r="F966" s="13"/>
      <c r="G966" s="105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85"/>
      <c r="B967" s="101" t="s">
        <v>654</v>
      </c>
      <c r="C967" s="13" t="str">
        <f t="shared" si="1"/>
        <v> - </v>
      </c>
      <c r="D967" s="106"/>
      <c r="E967" s="13"/>
      <c r="F967" s="13"/>
      <c r="G967" s="105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85"/>
      <c r="B968" s="101" t="s">
        <v>654</v>
      </c>
      <c r="C968" s="13" t="str">
        <f t="shared" si="1"/>
        <v> - </v>
      </c>
      <c r="D968" s="106"/>
      <c r="E968" s="13"/>
      <c r="F968" s="13"/>
      <c r="G968" s="105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85"/>
      <c r="B969" s="101" t="s">
        <v>654</v>
      </c>
      <c r="C969" s="13" t="str">
        <f t="shared" si="1"/>
        <v> - </v>
      </c>
      <c r="D969" s="106"/>
      <c r="E969" s="13"/>
      <c r="F969" s="13"/>
      <c r="G969" s="105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85"/>
      <c r="B970" s="101" t="s">
        <v>654</v>
      </c>
      <c r="C970" s="13" t="str">
        <f t="shared" si="1"/>
        <v> - </v>
      </c>
      <c r="D970" s="106"/>
      <c r="E970" s="13"/>
      <c r="F970" s="13"/>
      <c r="G970" s="105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85"/>
      <c r="B971" s="101" t="s">
        <v>654</v>
      </c>
      <c r="C971" s="13" t="str">
        <f t="shared" si="1"/>
        <v> - </v>
      </c>
      <c r="D971" s="106"/>
      <c r="E971" s="13"/>
      <c r="F971" s="13"/>
      <c r="G971" s="105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85"/>
      <c r="B972" s="101" t="s">
        <v>654</v>
      </c>
      <c r="C972" s="13" t="str">
        <f t="shared" si="1"/>
        <v> - </v>
      </c>
      <c r="D972" s="106"/>
      <c r="E972" s="13"/>
      <c r="F972" s="13"/>
      <c r="G972" s="105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85"/>
      <c r="B973" s="101" t="s">
        <v>654</v>
      </c>
      <c r="C973" s="13" t="str">
        <f t="shared" si="1"/>
        <v> - </v>
      </c>
      <c r="D973" s="106"/>
      <c r="E973" s="13"/>
      <c r="F973" s="13"/>
      <c r="G973" s="105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85"/>
      <c r="B974" s="101" t="s">
        <v>654</v>
      </c>
      <c r="C974" s="13" t="str">
        <f t="shared" si="1"/>
        <v> - </v>
      </c>
      <c r="D974" s="106"/>
      <c r="E974" s="13"/>
      <c r="F974" s="13"/>
      <c r="G974" s="105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85"/>
      <c r="B975" s="101" t="s">
        <v>654</v>
      </c>
      <c r="C975" s="13" t="str">
        <f t="shared" si="1"/>
        <v> - </v>
      </c>
      <c r="D975" s="106"/>
      <c r="E975" s="13"/>
      <c r="F975" s="13"/>
      <c r="G975" s="105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85"/>
      <c r="B976" s="101" t="s">
        <v>654</v>
      </c>
      <c r="C976" s="13" t="str">
        <f t="shared" si="1"/>
        <v> - </v>
      </c>
      <c r="D976" s="106"/>
      <c r="E976" s="13"/>
      <c r="F976" s="13"/>
      <c r="G976" s="105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85"/>
      <c r="B977" s="101" t="s">
        <v>654</v>
      </c>
      <c r="C977" s="13" t="str">
        <f t="shared" si="1"/>
        <v> - </v>
      </c>
      <c r="D977" s="106"/>
      <c r="E977" s="13"/>
      <c r="F977" s="13"/>
      <c r="G977" s="105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85"/>
      <c r="B978" s="101" t="s">
        <v>654</v>
      </c>
      <c r="C978" s="13" t="str">
        <f t="shared" si="1"/>
        <v> - </v>
      </c>
      <c r="D978" s="106"/>
      <c r="E978" s="13"/>
      <c r="F978" s="13"/>
      <c r="G978" s="105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85"/>
      <c r="B979" s="101" t="s">
        <v>654</v>
      </c>
      <c r="C979" s="13" t="str">
        <f t="shared" si="1"/>
        <v> - </v>
      </c>
      <c r="D979" s="106"/>
      <c r="E979" s="13"/>
      <c r="F979" s="13"/>
      <c r="G979" s="105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85"/>
      <c r="B980" s="101" t="s">
        <v>654</v>
      </c>
      <c r="C980" s="13" t="str">
        <f t="shared" si="1"/>
        <v> - </v>
      </c>
      <c r="D980" s="106"/>
      <c r="E980" s="13"/>
      <c r="F980" s="13"/>
      <c r="G980" s="105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85"/>
      <c r="B981" s="101" t="s">
        <v>654</v>
      </c>
      <c r="C981" s="13" t="str">
        <f t="shared" si="1"/>
        <v> - </v>
      </c>
      <c r="D981" s="106"/>
      <c r="E981" s="13"/>
      <c r="F981" s="13"/>
      <c r="G981" s="105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85"/>
      <c r="B982" s="101" t="s">
        <v>654</v>
      </c>
      <c r="C982" s="13" t="str">
        <f t="shared" si="1"/>
        <v> - </v>
      </c>
      <c r="D982" s="106"/>
      <c r="E982" s="13"/>
      <c r="F982" s="13"/>
      <c r="G982" s="105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85"/>
      <c r="B983" s="101" t="s">
        <v>654</v>
      </c>
      <c r="C983" s="13" t="str">
        <f t="shared" si="1"/>
        <v> - </v>
      </c>
      <c r="D983" s="106"/>
      <c r="E983" s="13"/>
      <c r="F983" s="13"/>
      <c r="G983" s="105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85"/>
      <c r="B984" s="101" t="s">
        <v>654</v>
      </c>
      <c r="C984" s="13" t="str">
        <f t="shared" si="1"/>
        <v> - </v>
      </c>
      <c r="D984" s="106"/>
      <c r="E984" s="13"/>
      <c r="F984" s="13"/>
      <c r="G984" s="105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85"/>
      <c r="B985" s="101" t="s">
        <v>654</v>
      </c>
      <c r="C985" s="13" t="str">
        <f t="shared" si="1"/>
        <v> - </v>
      </c>
      <c r="D985" s="106"/>
      <c r="E985" s="13"/>
      <c r="F985" s="13"/>
      <c r="G985" s="105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85"/>
      <c r="B986" s="101" t="s">
        <v>654</v>
      </c>
      <c r="C986" s="13" t="str">
        <f t="shared" si="1"/>
        <v> - </v>
      </c>
      <c r="D986" s="106"/>
      <c r="E986" s="13"/>
      <c r="F986" s="13"/>
      <c r="G986" s="105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85"/>
      <c r="B987" s="101" t="s">
        <v>654</v>
      </c>
      <c r="C987" s="13" t="str">
        <f t="shared" si="1"/>
        <v> - </v>
      </c>
      <c r="D987" s="106"/>
      <c r="E987" s="13"/>
      <c r="F987" s="13"/>
      <c r="G987" s="105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85"/>
      <c r="B988" s="101" t="s">
        <v>654</v>
      </c>
      <c r="C988" s="13" t="str">
        <f t="shared" si="1"/>
        <v> - </v>
      </c>
      <c r="D988" s="106"/>
      <c r="E988" s="13"/>
      <c r="F988" s="13"/>
      <c r="G988" s="105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85"/>
      <c r="B989" s="101" t="s">
        <v>654</v>
      </c>
      <c r="C989" s="13" t="str">
        <f t="shared" si="1"/>
        <v> - </v>
      </c>
      <c r="D989" s="106"/>
      <c r="E989" s="13"/>
      <c r="F989" s="13"/>
      <c r="G989" s="105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85"/>
      <c r="B990" s="101" t="s">
        <v>654</v>
      </c>
      <c r="C990" s="13" t="str">
        <f t="shared" si="1"/>
        <v> - </v>
      </c>
      <c r="D990" s="106"/>
      <c r="E990" s="13"/>
      <c r="F990" s="13"/>
      <c r="G990" s="105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85"/>
      <c r="B991" s="101" t="s">
        <v>654</v>
      </c>
      <c r="C991" s="13" t="str">
        <f t="shared" si="1"/>
        <v> - </v>
      </c>
      <c r="D991" s="106"/>
      <c r="E991" s="13"/>
      <c r="F991" s="13"/>
      <c r="G991" s="105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85"/>
      <c r="B992" s="101" t="s">
        <v>654</v>
      </c>
      <c r="C992" s="13" t="str">
        <f t="shared" si="1"/>
        <v> - </v>
      </c>
      <c r="D992" s="106"/>
      <c r="E992" s="13"/>
      <c r="F992" s="13"/>
      <c r="G992" s="105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85"/>
      <c r="B993" s="101" t="s">
        <v>654</v>
      </c>
      <c r="C993" s="13" t="str">
        <f t="shared" si="1"/>
        <v> - </v>
      </c>
      <c r="D993" s="106"/>
      <c r="E993" s="13"/>
      <c r="F993" s="13"/>
      <c r="G993" s="105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85"/>
      <c r="B994" s="101" t="s">
        <v>654</v>
      </c>
      <c r="C994" s="13" t="str">
        <f t="shared" si="1"/>
        <v> - </v>
      </c>
      <c r="D994" s="106"/>
      <c r="E994" s="13"/>
      <c r="F994" s="13"/>
      <c r="G994" s="105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85"/>
      <c r="B995" s="101" t="s">
        <v>654</v>
      </c>
      <c r="C995" s="13" t="str">
        <f t="shared" si="1"/>
        <v> - </v>
      </c>
      <c r="D995" s="106"/>
      <c r="E995" s="13"/>
      <c r="F995" s="13"/>
      <c r="G995" s="105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85"/>
      <c r="B996" s="101" t="s">
        <v>654</v>
      </c>
      <c r="C996" s="13" t="str">
        <f t="shared" si="1"/>
        <v> - </v>
      </c>
      <c r="D996" s="106"/>
      <c r="E996" s="13"/>
      <c r="F996" s="13"/>
      <c r="G996" s="105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85"/>
      <c r="B997" s="101" t="s">
        <v>654</v>
      </c>
      <c r="C997" s="13" t="str">
        <f t="shared" si="1"/>
        <v> - </v>
      </c>
      <c r="D997" s="106"/>
      <c r="E997" s="13"/>
      <c r="F997" s="13"/>
      <c r="G997" s="105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85"/>
      <c r="B998" s="101" t="s">
        <v>654</v>
      </c>
      <c r="C998" s="13" t="str">
        <f t="shared" si="1"/>
        <v> - </v>
      </c>
      <c r="D998" s="106"/>
      <c r="E998" s="13"/>
      <c r="F998" s="13"/>
      <c r="G998" s="105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85"/>
      <c r="B999" s="101" t="s">
        <v>654</v>
      </c>
      <c r="C999" s="13" t="str">
        <f t="shared" si="1"/>
        <v> - </v>
      </c>
      <c r="D999" s="106"/>
      <c r="E999" s="13"/>
      <c r="F999" s="13"/>
      <c r="G999" s="105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85"/>
      <c r="B1000" s="101" t="s">
        <v>654</v>
      </c>
      <c r="C1000" s="13" t="str">
        <f t="shared" si="1"/>
        <v> - </v>
      </c>
      <c r="D1000" s="106"/>
      <c r="E1000" s="13"/>
      <c r="F1000" s="13"/>
      <c r="G1000" s="105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  <row r="1001">
      <c r="A1001" s="85"/>
      <c r="B1001" s="101" t="s">
        <v>654</v>
      </c>
      <c r="C1001" s="13" t="str">
        <f t="shared" si="1"/>
        <v> - </v>
      </c>
      <c r="D1001" s="106"/>
      <c r="E1001" s="13"/>
      <c r="F1001" s="13"/>
      <c r="G1001" s="105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</row>
    <row r="1002">
      <c r="A1002" s="85"/>
      <c r="B1002" s="101" t="s">
        <v>654</v>
      </c>
      <c r="C1002" s="13" t="str">
        <f t="shared" si="1"/>
        <v> - </v>
      </c>
      <c r="D1002" s="106"/>
      <c r="E1002" s="13"/>
      <c r="F1002" s="13"/>
      <c r="G1002" s="105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</row>
    <row r="1003">
      <c r="A1003" s="85"/>
      <c r="B1003" s="101" t="s">
        <v>654</v>
      </c>
      <c r="C1003" s="13" t="str">
        <f t="shared" si="1"/>
        <v> - </v>
      </c>
      <c r="D1003" s="106"/>
      <c r="E1003" s="13"/>
      <c r="F1003" s="13"/>
      <c r="G1003" s="105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</row>
    <row r="1004">
      <c r="A1004" s="85"/>
      <c r="B1004" s="101" t="s">
        <v>654</v>
      </c>
      <c r="C1004" s="13" t="str">
        <f t="shared" si="1"/>
        <v> - </v>
      </c>
      <c r="D1004" s="106"/>
      <c r="E1004" s="13"/>
      <c r="F1004" s="13"/>
      <c r="G1004" s="105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</row>
    <row r="1005">
      <c r="A1005" s="85"/>
      <c r="B1005" s="101" t="s">
        <v>654</v>
      </c>
      <c r="C1005" s="13" t="str">
        <f t="shared" si="1"/>
        <v> - </v>
      </c>
      <c r="D1005" s="106"/>
      <c r="E1005" s="13"/>
      <c r="F1005" s="13"/>
      <c r="G1005" s="105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</row>
    <row r="1006">
      <c r="A1006" s="85"/>
      <c r="B1006" s="101" t="s">
        <v>654</v>
      </c>
      <c r="C1006" s="13" t="str">
        <f t="shared" si="1"/>
        <v> - </v>
      </c>
      <c r="D1006" s="106"/>
      <c r="E1006" s="13"/>
      <c r="F1006" s="13"/>
      <c r="G1006" s="105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</row>
    <row r="1007">
      <c r="A1007" s="85"/>
      <c r="B1007" s="101" t="s">
        <v>654</v>
      </c>
      <c r="C1007" s="13" t="str">
        <f t="shared" si="1"/>
        <v> - </v>
      </c>
      <c r="D1007" s="106"/>
      <c r="E1007" s="13"/>
      <c r="F1007" s="13"/>
      <c r="G1007" s="105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</row>
    <row r="1008">
      <c r="A1008" s="85"/>
      <c r="B1008" s="101" t="s">
        <v>654</v>
      </c>
      <c r="C1008" s="13" t="str">
        <f t="shared" si="1"/>
        <v> - </v>
      </c>
      <c r="D1008" s="106"/>
      <c r="E1008" s="13"/>
      <c r="F1008" s="13"/>
      <c r="G1008" s="105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</row>
    <row r="1009">
      <c r="A1009" s="85"/>
      <c r="B1009" s="101" t="s">
        <v>654</v>
      </c>
      <c r="C1009" s="13" t="str">
        <f t="shared" si="1"/>
        <v> - </v>
      </c>
      <c r="D1009" s="106"/>
      <c r="E1009" s="13"/>
      <c r="F1009" s="13"/>
      <c r="G1009" s="105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</row>
    <row r="1010">
      <c r="A1010" s="85"/>
      <c r="B1010" s="101" t="s">
        <v>654</v>
      </c>
      <c r="C1010" s="13" t="str">
        <f t="shared" si="1"/>
        <v> - </v>
      </c>
      <c r="D1010" s="106"/>
      <c r="E1010" s="13"/>
      <c r="F1010" s="13"/>
      <c r="G1010" s="105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</row>
    <row r="1011">
      <c r="A1011" s="85"/>
      <c r="B1011" s="101" t="s">
        <v>654</v>
      </c>
      <c r="C1011" s="13" t="str">
        <f t="shared" si="1"/>
        <v> - </v>
      </c>
      <c r="D1011" s="106"/>
      <c r="E1011" s="13"/>
      <c r="F1011" s="13"/>
      <c r="G1011" s="105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</row>
    <row r="1012">
      <c r="A1012" s="85"/>
      <c r="B1012" s="101" t="s">
        <v>654</v>
      </c>
      <c r="C1012" s="13" t="str">
        <f t="shared" si="1"/>
        <v> - </v>
      </c>
      <c r="D1012" s="106"/>
      <c r="E1012" s="13"/>
      <c r="F1012" s="13"/>
      <c r="G1012" s="105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</row>
    <row r="1013">
      <c r="A1013" s="85"/>
      <c r="B1013" s="101" t="s">
        <v>654</v>
      </c>
      <c r="C1013" s="13" t="str">
        <f t="shared" si="1"/>
        <v> - </v>
      </c>
      <c r="D1013" s="106"/>
      <c r="E1013" s="13"/>
      <c r="F1013" s="13"/>
      <c r="G1013" s="105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</row>
    <row r="1014">
      <c r="A1014" s="85"/>
      <c r="B1014" s="101" t="s">
        <v>654</v>
      </c>
      <c r="C1014" s="13" t="str">
        <f t="shared" si="1"/>
        <v> - </v>
      </c>
      <c r="D1014" s="106"/>
      <c r="E1014" s="13"/>
      <c r="F1014" s="13"/>
      <c r="G1014" s="105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</row>
    <row r="1015">
      <c r="A1015" s="85"/>
      <c r="B1015" s="101" t="s">
        <v>654</v>
      </c>
      <c r="C1015" s="13" t="str">
        <f t="shared" si="1"/>
        <v> - </v>
      </c>
      <c r="D1015" s="106"/>
      <c r="E1015" s="13"/>
      <c r="F1015" s="13"/>
      <c r="G1015" s="105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</row>
    <row r="1016">
      <c r="A1016" s="85"/>
      <c r="B1016" s="101" t="s">
        <v>654</v>
      </c>
      <c r="C1016" s="13" t="str">
        <f t="shared" si="1"/>
        <v> - </v>
      </c>
      <c r="D1016" s="106"/>
      <c r="E1016" s="13"/>
      <c r="F1016" s="13"/>
      <c r="G1016" s="105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</row>
    <row r="1017">
      <c r="A1017" s="85"/>
      <c r="B1017" s="101" t="s">
        <v>654</v>
      </c>
      <c r="C1017" s="13" t="str">
        <f t="shared" si="1"/>
        <v> - </v>
      </c>
      <c r="D1017" s="106"/>
      <c r="E1017" s="13"/>
      <c r="F1017" s="13"/>
      <c r="G1017" s="105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</row>
    <row r="1018">
      <c r="A1018" s="85"/>
      <c r="B1018" s="101" t="s">
        <v>654</v>
      </c>
      <c r="C1018" s="13" t="str">
        <f t="shared" si="1"/>
        <v> - </v>
      </c>
      <c r="D1018" s="106"/>
      <c r="E1018" s="13"/>
      <c r="F1018" s="13"/>
      <c r="G1018" s="105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</row>
    <row r="1019">
      <c r="A1019" s="85"/>
      <c r="B1019" s="101" t="s">
        <v>654</v>
      </c>
      <c r="C1019" s="13" t="str">
        <f t="shared" si="1"/>
        <v> - </v>
      </c>
      <c r="D1019" s="106"/>
      <c r="E1019" s="13"/>
      <c r="F1019" s="13"/>
      <c r="G1019" s="105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</row>
    <row r="1020">
      <c r="A1020" s="85"/>
      <c r="B1020" s="101" t="s">
        <v>654</v>
      </c>
      <c r="C1020" s="13" t="str">
        <f t="shared" si="1"/>
        <v> - </v>
      </c>
      <c r="D1020" s="106"/>
      <c r="E1020" s="13"/>
      <c r="F1020" s="13"/>
      <c r="G1020" s="105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</row>
    <row r="1021">
      <c r="A1021" s="85"/>
      <c r="B1021" s="101" t="s">
        <v>654</v>
      </c>
      <c r="C1021" s="13" t="str">
        <f t="shared" si="1"/>
        <v> - </v>
      </c>
      <c r="D1021" s="106"/>
      <c r="E1021" s="13"/>
      <c r="F1021" s="13"/>
      <c r="G1021" s="105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</row>
    <row r="1022">
      <c r="A1022" s="85"/>
      <c r="B1022" s="101" t="s">
        <v>654</v>
      </c>
      <c r="C1022" s="13" t="str">
        <f t="shared" si="1"/>
        <v> - </v>
      </c>
      <c r="D1022" s="106"/>
      <c r="E1022" s="13"/>
      <c r="F1022" s="13"/>
      <c r="G1022" s="105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</row>
    <row r="1023">
      <c r="A1023" s="85"/>
      <c r="B1023" s="101" t="s">
        <v>654</v>
      </c>
      <c r="C1023" s="13" t="str">
        <f t="shared" si="1"/>
        <v> - </v>
      </c>
      <c r="D1023" s="106"/>
      <c r="E1023" s="13"/>
      <c r="F1023" s="13"/>
      <c r="G1023" s="105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</row>
    <row r="1024">
      <c r="A1024" s="85"/>
      <c r="B1024" s="101" t="s">
        <v>654</v>
      </c>
      <c r="C1024" s="13" t="str">
        <f t="shared" si="1"/>
        <v> - </v>
      </c>
      <c r="D1024" s="106"/>
      <c r="E1024" s="13"/>
      <c r="F1024" s="13"/>
      <c r="G1024" s="105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</row>
    <row r="1025">
      <c r="A1025" s="85"/>
      <c r="B1025" s="101" t="s">
        <v>654</v>
      </c>
      <c r="C1025" s="13" t="str">
        <f t="shared" si="1"/>
        <v> - </v>
      </c>
      <c r="D1025" s="106"/>
      <c r="E1025" s="13"/>
      <c r="F1025" s="13"/>
      <c r="G1025" s="105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</row>
    <row r="1026">
      <c r="A1026" s="85"/>
      <c r="B1026" s="101" t="s">
        <v>654</v>
      </c>
      <c r="C1026" s="13" t="str">
        <f t="shared" si="1"/>
        <v> - </v>
      </c>
      <c r="D1026" s="106"/>
      <c r="E1026" s="13"/>
      <c r="F1026" s="13"/>
      <c r="G1026" s="105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</row>
    <row r="1027">
      <c r="A1027" s="85"/>
      <c r="B1027" s="101" t="s">
        <v>654</v>
      </c>
      <c r="C1027" s="13" t="str">
        <f t="shared" si="1"/>
        <v> - </v>
      </c>
      <c r="D1027" s="106"/>
      <c r="E1027" s="13"/>
      <c r="F1027" s="13"/>
      <c r="G1027" s="105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</row>
    <row r="1028">
      <c r="A1028" s="85"/>
      <c r="B1028" s="101" t="s">
        <v>654</v>
      </c>
      <c r="C1028" s="13" t="str">
        <f t="shared" si="1"/>
        <v> - </v>
      </c>
      <c r="D1028" s="106"/>
      <c r="E1028" s="13"/>
      <c r="F1028" s="13"/>
      <c r="G1028" s="105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</row>
    <row r="1029">
      <c r="A1029" s="85"/>
      <c r="B1029" s="101" t="s">
        <v>654</v>
      </c>
      <c r="C1029" s="13" t="str">
        <f t="shared" si="1"/>
        <v> - </v>
      </c>
      <c r="D1029" s="106"/>
      <c r="E1029" s="13"/>
      <c r="F1029" s="13"/>
      <c r="G1029" s="105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</row>
    <row r="1030">
      <c r="A1030" s="85"/>
      <c r="B1030" s="101" t="s">
        <v>654</v>
      </c>
      <c r="C1030" s="13" t="str">
        <f t="shared" si="1"/>
        <v> - </v>
      </c>
      <c r="D1030" s="106"/>
      <c r="E1030" s="13"/>
      <c r="F1030" s="13"/>
      <c r="G1030" s="105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</row>
    <row r="1031">
      <c r="A1031" s="85"/>
      <c r="B1031" s="101" t="s">
        <v>654</v>
      </c>
      <c r="C1031" s="13" t="str">
        <f t="shared" si="1"/>
        <v> - </v>
      </c>
      <c r="D1031" s="106"/>
      <c r="E1031" s="13"/>
      <c r="F1031" s="13"/>
      <c r="G1031" s="105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</row>
  </sheetData>
  <dataValidations>
    <dataValidation type="list" allowBlank="1" showErrorMessage="1" sqref="K2:K1031">
      <formula1>"Final Operation"</formula1>
    </dataValidation>
    <dataValidation type="list" allowBlank="1" showErrorMessage="1" sqref="E2:E1031">
      <formula1>'Process Code with Item Code'!$A$2:$A1031</formula1>
    </dataValidation>
    <dataValidation type="list" allowBlank="1" showErrorMessage="1" sqref="F2:F1031">
      <formula1>'Machine Name with Code &amp; Operat'!$A$2:$A1031</formula1>
    </dataValidation>
    <dataValidation type="list" allowBlank="1" showErrorMessage="1" sqref="A2:A1031">
      <formula1>'Finished Goods'!$A$2:$A1031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.13"/>
    <col customWidth="1" min="3" max="3" width="22.75"/>
    <col customWidth="1" min="4" max="4" width="19.5"/>
    <col customWidth="1" min="5" max="5" width="29.88"/>
  </cols>
  <sheetData>
    <row r="1">
      <c r="A1" s="107" t="s">
        <v>655</v>
      </c>
      <c r="B1" s="108" t="s">
        <v>656</v>
      </c>
      <c r="C1" s="108" t="s">
        <v>657</v>
      </c>
      <c r="D1" s="108" t="s">
        <v>658</v>
      </c>
      <c r="E1" s="108" t="s">
        <v>659</v>
      </c>
      <c r="F1" s="108" t="s">
        <v>660</v>
      </c>
      <c r="G1" s="109" t="s">
        <v>661</v>
      </c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11">
        <v>1.0</v>
      </c>
      <c r="B2" s="112" t="s">
        <v>662</v>
      </c>
      <c r="C2" s="112" t="s">
        <v>644</v>
      </c>
      <c r="D2" s="112" t="s">
        <v>663</v>
      </c>
      <c r="E2" s="112" t="s">
        <v>663</v>
      </c>
      <c r="F2" s="111">
        <v>49.0</v>
      </c>
      <c r="G2" s="113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11">
        <v>2.0</v>
      </c>
      <c r="B3" s="112" t="s">
        <v>664</v>
      </c>
      <c r="C3" s="112" t="s">
        <v>646</v>
      </c>
      <c r="D3" s="112" t="s">
        <v>665</v>
      </c>
      <c r="E3" s="112" t="s">
        <v>665</v>
      </c>
      <c r="F3" s="111">
        <v>10.0</v>
      </c>
      <c r="G3" s="113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11">
        <v>3.0</v>
      </c>
      <c r="B4" s="112" t="s">
        <v>666</v>
      </c>
      <c r="C4" s="112" t="s">
        <v>646</v>
      </c>
      <c r="D4" s="112" t="s">
        <v>665</v>
      </c>
      <c r="E4" s="112" t="s">
        <v>665</v>
      </c>
      <c r="F4" s="111">
        <v>10.0</v>
      </c>
      <c r="G4" s="113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111">
        <v>4.0</v>
      </c>
      <c r="B5" s="112" t="s">
        <v>667</v>
      </c>
      <c r="C5" s="112" t="s">
        <v>646</v>
      </c>
      <c r="D5" s="112" t="s">
        <v>665</v>
      </c>
      <c r="E5" s="112" t="s">
        <v>665</v>
      </c>
      <c r="F5" s="111">
        <v>11.0</v>
      </c>
      <c r="G5" s="113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11">
        <v>5.0</v>
      </c>
      <c r="B6" s="112" t="s">
        <v>668</v>
      </c>
      <c r="C6" s="112" t="s">
        <v>669</v>
      </c>
      <c r="D6" s="112" t="s">
        <v>665</v>
      </c>
      <c r="E6" s="112" t="s">
        <v>665</v>
      </c>
      <c r="F6" s="111">
        <v>6.0</v>
      </c>
      <c r="G6" s="113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11">
        <v>6.0</v>
      </c>
      <c r="B7" s="112" t="s">
        <v>670</v>
      </c>
      <c r="C7" s="112" t="s">
        <v>652</v>
      </c>
      <c r="D7" s="112" t="s">
        <v>665</v>
      </c>
      <c r="E7" s="112" t="s">
        <v>671</v>
      </c>
      <c r="F7" s="111">
        <v>17.0</v>
      </c>
      <c r="G7" s="113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111">
        <v>7.0</v>
      </c>
      <c r="B8" s="112" t="s">
        <v>672</v>
      </c>
      <c r="C8" s="112" t="s">
        <v>649</v>
      </c>
      <c r="D8" s="112" t="s">
        <v>665</v>
      </c>
      <c r="E8" s="112" t="s">
        <v>612</v>
      </c>
      <c r="F8" s="111">
        <v>35.0</v>
      </c>
      <c r="G8" s="113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11">
        <v>8.0</v>
      </c>
      <c r="B9" s="112" t="s">
        <v>673</v>
      </c>
      <c r="C9" s="112" t="s">
        <v>649</v>
      </c>
      <c r="D9" s="112" t="s">
        <v>665</v>
      </c>
      <c r="E9" s="112" t="s">
        <v>616</v>
      </c>
      <c r="F9" s="111">
        <v>56.0</v>
      </c>
      <c r="G9" s="113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11">
        <v>9.0</v>
      </c>
      <c r="B10" s="112" t="s">
        <v>674</v>
      </c>
      <c r="C10" s="112" t="s">
        <v>649</v>
      </c>
      <c r="D10" s="112" t="s">
        <v>665</v>
      </c>
      <c r="E10" s="112" t="s">
        <v>609</v>
      </c>
      <c r="F10" s="113"/>
      <c r="G10" s="113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11">
        <v>10.0</v>
      </c>
      <c r="B11" s="112" t="s">
        <v>675</v>
      </c>
      <c r="C11" s="112" t="s">
        <v>649</v>
      </c>
      <c r="D11" s="112" t="s">
        <v>665</v>
      </c>
      <c r="E11" s="112" t="s">
        <v>624</v>
      </c>
      <c r="F11" s="111">
        <v>63.0</v>
      </c>
      <c r="G11" s="113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111">
        <v>11.0</v>
      </c>
      <c r="B12" s="112" t="s">
        <v>676</v>
      </c>
      <c r="C12" s="112" t="s">
        <v>649</v>
      </c>
      <c r="D12" s="112" t="s">
        <v>665</v>
      </c>
      <c r="E12" s="112" t="s">
        <v>626</v>
      </c>
      <c r="F12" s="111">
        <v>38.0</v>
      </c>
      <c r="G12" s="113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11">
        <v>12.0</v>
      </c>
      <c r="B13" s="112" t="s">
        <v>677</v>
      </c>
      <c r="C13" s="112" t="s">
        <v>649</v>
      </c>
      <c r="D13" s="112" t="s">
        <v>665</v>
      </c>
      <c r="E13" s="112" t="s">
        <v>678</v>
      </c>
      <c r="F13" s="111">
        <v>87.0</v>
      </c>
      <c r="G13" s="113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11">
        <v>13.0</v>
      </c>
      <c r="B14" s="112" t="s">
        <v>679</v>
      </c>
      <c r="C14" s="112" t="s">
        <v>649</v>
      </c>
      <c r="D14" s="112" t="s">
        <v>665</v>
      </c>
      <c r="E14" s="112" t="s">
        <v>624</v>
      </c>
      <c r="F14" s="111">
        <v>100.0</v>
      </c>
      <c r="G14" s="113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11">
        <v>14.0</v>
      </c>
      <c r="B15" s="112" t="s">
        <v>680</v>
      </c>
      <c r="C15" s="112" t="s">
        <v>649</v>
      </c>
      <c r="D15" s="112" t="s">
        <v>665</v>
      </c>
      <c r="E15" s="112" t="s">
        <v>681</v>
      </c>
      <c r="F15" s="111">
        <v>50.0</v>
      </c>
      <c r="G15" s="113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11">
        <v>15.0</v>
      </c>
      <c r="B16" s="112" t="s">
        <v>682</v>
      </c>
      <c r="C16" s="112" t="s">
        <v>647</v>
      </c>
      <c r="D16" s="112" t="s">
        <v>683</v>
      </c>
      <c r="E16" s="112" t="s">
        <v>684</v>
      </c>
      <c r="F16" s="111">
        <v>3.0</v>
      </c>
      <c r="G16" s="113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11">
        <v>16.0</v>
      </c>
      <c r="B17" s="112" t="s">
        <v>685</v>
      </c>
      <c r="C17" s="112" t="s">
        <v>647</v>
      </c>
      <c r="D17" s="112" t="s">
        <v>683</v>
      </c>
      <c r="E17" s="112" t="s">
        <v>684</v>
      </c>
      <c r="F17" s="111">
        <v>3.0</v>
      </c>
      <c r="G17" s="113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11">
        <v>17.0</v>
      </c>
      <c r="B18" s="112" t="s">
        <v>686</v>
      </c>
      <c r="C18" s="112" t="s">
        <v>647</v>
      </c>
      <c r="D18" s="112" t="s">
        <v>683</v>
      </c>
      <c r="E18" s="112" t="s">
        <v>684</v>
      </c>
      <c r="F18" s="111">
        <v>3.0</v>
      </c>
      <c r="G18" s="113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11">
        <v>18.0</v>
      </c>
      <c r="B19" s="112" t="s">
        <v>687</v>
      </c>
      <c r="C19" s="112" t="s">
        <v>647</v>
      </c>
      <c r="D19" s="112" t="s">
        <v>683</v>
      </c>
      <c r="E19" s="112" t="s">
        <v>684</v>
      </c>
      <c r="F19" s="111">
        <v>3.0</v>
      </c>
      <c r="G19" s="113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111">
        <v>19.0</v>
      </c>
      <c r="B20" s="112" t="s">
        <v>688</v>
      </c>
      <c r="C20" s="112" t="s">
        <v>647</v>
      </c>
      <c r="D20" s="112" t="s">
        <v>683</v>
      </c>
      <c r="E20" s="112" t="s">
        <v>684</v>
      </c>
      <c r="F20" s="111">
        <v>3.0</v>
      </c>
      <c r="G20" s="113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11">
        <v>20.0</v>
      </c>
      <c r="B21" s="112" t="s">
        <v>689</v>
      </c>
      <c r="C21" s="112" t="s">
        <v>647</v>
      </c>
      <c r="D21" s="112" t="s">
        <v>683</v>
      </c>
      <c r="E21" s="112" t="s">
        <v>684</v>
      </c>
      <c r="F21" s="111">
        <v>3.0</v>
      </c>
      <c r="G21" s="113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>
      <c r="A22" s="111">
        <v>21.0</v>
      </c>
      <c r="B22" s="112" t="s">
        <v>690</v>
      </c>
      <c r="C22" s="112" t="s">
        <v>647</v>
      </c>
      <c r="D22" s="112" t="s">
        <v>683</v>
      </c>
      <c r="E22" s="112" t="s">
        <v>684</v>
      </c>
      <c r="F22" s="111">
        <v>3.0</v>
      </c>
      <c r="G22" s="113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>
      <c r="A23" s="111">
        <v>22.0</v>
      </c>
      <c r="B23" s="112" t="s">
        <v>691</v>
      </c>
      <c r="C23" s="112" t="s">
        <v>647</v>
      </c>
      <c r="D23" s="112" t="s">
        <v>683</v>
      </c>
      <c r="E23" s="112" t="s">
        <v>684</v>
      </c>
      <c r="F23" s="111">
        <v>3.0</v>
      </c>
      <c r="G23" s="113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>
      <c r="A24" s="111">
        <v>23.0</v>
      </c>
      <c r="B24" s="112" t="s">
        <v>692</v>
      </c>
      <c r="C24" s="112" t="s">
        <v>647</v>
      </c>
      <c r="D24" s="112" t="s">
        <v>683</v>
      </c>
      <c r="E24" s="112" t="s">
        <v>684</v>
      </c>
      <c r="F24" s="111">
        <v>3.0</v>
      </c>
      <c r="G24" s="113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>
      <c r="A25" s="111">
        <v>24.0</v>
      </c>
      <c r="B25" s="112" t="s">
        <v>693</v>
      </c>
      <c r="C25" s="112" t="s">
        <v>647</v>
      </c>
      <c r="D25" s="112" t="s">
        <v>683</v>
      </c>
      <c r="E25" s="112" t="s">
        <v>684</v>
      </c>
      <c r="F25" s="111">
        <v>3.0</v>
      </c>
      <c r="G25" s="113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11">
        <v>25.0</v>
      </c>
      <c r="B26" s="112" t="s">
        <v>694</v>
      </c>
      <c r="C26" s="112" t="s">
        <v>647</v>
      </c>
      <c r="D26" s="112" t="s">
        <v>683</v>
      </c>
      <c r="E26" s="112" t="s">
        <v>684</v>
      </c>
      <c r="F26" s="111">
        <v>3.0</v>
      </c>
      <c r="G26" s="113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>
      <c r="A27" s="111">
        <v>26.0</v>
      </c>
      <c r="B27" s="112" t="s">
        <v>695</v>
      </c>
      <c r="C27" s="112" t="s">
        <v>647</v>
      </c>
      <c r="D27" s="112" t="s">
        <v>683</v>
      </c>
      <c r="E27" s="112" t="s">
        <v>684</v>
      </c>
      <c r="F27" s="111">
        <v>3.0</v>
      </c>
      <c r="G27" s="113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11">
        <v>27.0</v>
      </c>
      <c r="B28" s="112" t="s">
        <v>696</v>
      </c>
      <c r="C28" s="112" t="s">
        <v>647</v>
      </c>
      <c r="D28" s="112" t="s">
        <v>683</v>
      </c>
      <c r="E28" s="112" t="s">
        <v>684</v>
      </c>
      <c r="F28" s="111">
        <v>3.0</v>
      </c>
      <c r="G28" s="113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>
      <c r="A29" s="111">
        <v>28.0</v>
      </c>
      <c r="B29" s="112" t="s">
        <v>697</v>
      </c>
      <c r="C29" s="112" t="s">
        <v>647</v>
      </c>
      <c r="D29" s="112" t="s">
        <v>683</v>
      </c>
      <c r="E29" s="112" t="s">
        <v>684</v>
      </c>
      <c r="F29" s="111">
        <v>3.0</v>
      </c>
      <c r="G29" s="113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11">
        <v>29.0</v>
      </c>
      <c r="B30" s="112" t="s">
        <v>698</v>
      </c>
      <c r="C30" s="112" t="s">
        <v>647</v>
      </c>
      <c r="D30" s="112" t="s">
        <v>683</v>
      </c>
      <c r="E30" s="112" t="s">
        <v>684</v>
      </c>
      <c r="F30" s="111">
        <v>3.0</v>
      </c>
      <c r="G30" s="113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11">
        <v>30.0</v>
      </c>
      <c r="B31" s="112" t="s">
        <v>699</v>
      </c>
      <c r="C31" s="112" t="s">
        <v>647</v>
      </c>
      <c r="D31" s="112" t="s">
        <v>683</v>
      </c>
      <c r="E31" s="112" t="s">
        <v>684</v>
      </c>
      <c r="F31" s="111">
        <v>3.0</v>
      </c>
      <c r="G31" s="113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>
      <c r="A32" s="111">
        <v>31.0</v>
      </c>
      <c r="B32" s="112" t="s">
        <v>700</v>
      </c>
      <c r="C32" s="112" t="s">
        <v>648</v>
      </c>
      <c r="D32" s="112" t="s">
        <v>609</v>
      </c>
      <c r="E32" s="112" t="s">
        <v>609</v>
      </c>
      <c r="F32" s="111">
        <v>6.0</v>
      </c>
      <c r="G32" s="112" t="s">
        <v>701</v>
      </c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11">
        <v>32.0</v>
      </c>
      <c r="B33" s="112" t="s">
        <v>702</v>
      </c>
      <c r="C33" s="112" t="s">
        <v>648</v>
      </c>
      <c r="D33" s="112" t="s">
        <v>609</v>
      </c>
      <c r="E33" s="112" t="s">
        <v>609</v>
      </c>
      <c r="F33" s="111">
        <v>6.0</v>
      </c>
      <c r="G33" s="112" t="s">
        <v>701</v>
      </c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>
      <c r="A34" s="111">
        <v>33.0</v>
      </c>
      <c r="B34" s="112" t="s">
        <v>703</v>
      </c>
      <c r="C34" s="112" t="s">
        <v>648</v>
      </c>
      <c r="D34" s="112" t="s">
        <v>609</v>
      </c>
      <c r="E34" s="112" t="s">
        <v>609</v>
      </c>
      <c r="F34" s="111">
        <v>6.0</v>
      </c>
      <c r="G34" s="112" t="s">
        <v>701</v>
      </c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11">
        <v>34.0</v>
      </c>
      <c r="B35" s="112" t="s">
        <v>704</v>
      </c>
      <c r="C35" s="112" t="s">
        <v>648</v>
      </c>
      <c r="D35" s="112" t="s">
        <v>609</v>
      </c>
      <c r="E35" s="112" t="s">
        <v>609</v>
      </c>
      <c r="F35" s="111">
        <v>6.0</v>
      </c>
      <c r="G35" s="112" t="s">
        <v>701</v>
      </c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>
      <c r="A36" s="111">
        <v>35.0</v>
      </c>
      <c r="B36" s="112" t="s">
        <v>705</v>
      </c>
      <c r="C36" s="112" t="s">
        <v>706</v>
      </c>
      <c r="D36" s="112" t="s">
        <v>707</v>
      </c>
      <c r="E36" s="112" t="s">
        <v>707</v>
      </c>
      <c r="F36" s="113"/>
      <c r="G36" s="113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11">
        <v>36.0</v>
      </c>
      <c r="B37" s="112" t="s">
        <v>708</v>
      </c>
      <c r="C37" s="112" t="s">
        <v>706</v>
      </c>
      <c r="D37" s="112" t="s">
        <v>707</v>
      </c>
      <c r="E37" s="112" t="s">
        <v>707</v>
      </c>
      <c r="F37" s="113"/>
      <c r="G37" s="113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11">
        <v>37.0</v>
      </c>
      <c r="B38" s="112" t="s">
        <v>709</v>
      </c>
      <c r="C38" s="112" t="s">
        <v>706</v>
      </c>
      <c r="D38" s="112" t="s">
        <v>707</v>
      </c>
      <c r="E38" s="112" t="s">
        <v>707</v>
      </c>
      <c r="F38" s="113"/>
      <c r="G38" s="113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hyperlinks>
    <hyperlink r:id="rId1" ref="A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88"/>
    <col customWidth="1" min="2" max="2" width="7.63"/>
    <col customWidth="1" min="3" max="3" width="15.75"/>
    <col customWidth="1" min="4" max="4" width="24.88"/>
    <col customWidth="1" min="5" max="5" width="22.0"/>
    <col customWidth="1" min="7" max="7" width="7.5"/>
    <col customWidth="1" min="9" max="9" width="15.75"/>
    <col customWidth="1" min="13" max="13" width="17.0"/>
    <col customWidth="1" min="14" max="14" width="21.13"/>
    <col customWidth="1" min="18" max="18" width="21.0"/>
    <col customWidth="1" min="19" max="19" width="19.5"/>
    <col customWidth="1" min="21" max="21" width="21.0"/>
    <col customWidth="1" min="22" max="22" width="19.5"/>
  </cols>
  <sheetData>
    <row r="1" ht="33.0" customHeight="1">
      <c r="A1" s="114" t="s">
        <v>657</v>
      </c>
      <c r="B1" s="114" t="s">
        <v>656</v>
      </c>
      <c r="C1" s="115" t="s">
        <v>710</v>
      </c>
      <c r="D1" s="116" t="s">
        <v>711</v>
      </c>
      <c r="E1" s="116" t="s">
        <v>712</v>
      </c>
      <c r="F1" s="114" t="s">
        <v>713</v>
      </c>
      <c r="G1" s="114" t="s">
        <v>714</v>
      </c>
      <c r="H1" s="114" t="s">
        <v>715</v>
      </c>
      <c r="I1" s="114" t="s">
        <v>716</v>
      </c>
      <c r="J1" s="114" t="s">
        <v>717</v>
      </c>
      <c r="K1" s="114" t="s">
        <v>718</v>
      </c>
      <c r="L1" s="116" t="s">
        <v>719</v>
      </c>
      <c r="M1" s="117" t="s">
        <v>720</v>
      </c>
      <c r="N1" s="116" t="s">
        <v>721</v>
      </c>
      <c r="O1" s="118"/>
      <c r="P1" s="119"/>
      <c r="Q1" s="118"/>
      <c r="R1" s="120" t="s">
        <v>722</v>
      </c>
      <c r="S1" s="121" t="s">
        <v>658</v>
      </c>
      <c r="T1" s="118"/>
      <c r="U1" s="120" t="s">
        <v>656</v>
      </c>
      <c r="V1" s="121" t="s">
        <v>723</v>
      </c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86"/>
    </row>
    <row r="2">
      <c r="A2" s="122" t="s">
        <v>644</v>
      </c>
      <c r="B2" s="123" t="s">
        <v>662</v>
      </c>
      <c r="C2" s="124" t="s">
        <v>724</v>
      </c>
      <c r="D2" s="123" t="str">
        <f t="shared" ref="D2:D106" si="1">if(A2="","", B2&amp;" - "&amp;A2)</f>
        <v>CCP01 - Circle Cutting Press</v>
      </c>
      <c r="E2" s="125" t="s">
        <v>604</v>
      </c>
      <c r="F2" s="123"/>
      <c r="G2" s="125" t="s">
        <v>725</v>
      </c>
      <c r="H2" s="125">
        <v>2011.0</v>
      </c>
      <c r="I2" s="123" t="s">
        <v>726</v>
      </c>
      <c r="J2" s="123" t="s">
        <v>727</v>
      </c>
      <c r="K2" s="125" t="s">
        <v>727</v>
      </c>
      <c r="L2" s="123"/>
      <c r="M2" s="126" t="s">
        <v>728</v>
      </c>
      <c r="N2" s="125" t="s">
        <v>727</v>
      </c>
      <c r="O2" s="110"/>
      <c r="P2" s="110"/>
      <c r="Q2" s="110"/>
      <c r="R2" s="112" t="s">
        <v>729</v>
      </c>
      <c r="S2" s="127" t="s">
        <v>663</v>
      </c>
      <c r="T2" s="110"/>
      <c r="U2" s="112" t="s">
        <v>662</v>
      </c>
      <c r="V2" s="127" t="s">
        <v>729</v>
      </c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3"/>
    </row>
    <row r="3">
      <c r="A3" s="122" t="s">
        <v>646</v>
      </c>
      <c r="B3" s="123" t="s">
        <v>664</v>
      </c>
      <c r="C3" s="112" t="s">
        <v>730</v>
      </c>
      <c r="D3" s="123" t="str">
        <f t="shared" si="1"/>
        <v>DAP01 - Double Action Press</v>
      </c>
      <c r="E3" s="125" t="s">
        <v>731</v>
      </c>
      <c r="F3" s="123"/>
      <c r="G3" s="125">
        <v>4.5</v>
      </c>
      <c r="H3" s="125">
        <v>2015.0</v>
      </c>
      <c r="I3" s="123" t="s">
        <v>726</v>
      </c>
      <c r="J3" s="123" t="s">
        <v>727</v>
      </c>
      <c r="K3" s="125" t="s">
        <v>727</v>
      </c>
      <c r="L3" s="123"/>
      <c r="M3" s="128"/>
      <c r="N3" s="125" t="s">
        <v>727</v>
      </c>
      <c r="O3" s="110"/>
      <c r="P3" s="110"/>
      <c r="Q3" s="110"/>
      <c r="R3" s="127" t="s">
        <v>732</v>
      </c>
      <c r="S3" s="127" t="s">
        <v>663</v>
      </c>
      <c r="T3" s="110"/>
      <c r="U3" s="127" t="s">
        <v>664</v>
      </c>
      <c r="V3" s="127" t="s">
        <v>730</v>
      </c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3"/>
    </row>
    <row r="4">
      <c r="A4" s="122" t="s">
        <v>646</v>
      </c>
      <c r="B4" s="123" t="s">
        <v>664</v>
      </c>
      <c r="C4" s="124" t="s">
        <v>733</v>
      </c>
      <c r="D4" s="123" t="str">
        <f t="shared" si="1"/>
        <v>DAP01 - Double Action Press</v>
      </c>
      <c r="E4" s="125" t="s">
        <v>731</v>
      </c>
      <c r="F4" s="123"/>
      <c r="G4" s="125">
        <v>4.5</v>
      </c>
      <c r="H4" s="125">
        <v>2015.0</v>
      </c>
      <c r="I4" s="123" t="s">
        <v>726</v>
      </c>
      <c r="J4" s="123" t="s">
        <v>727</v>
      </c>
      <c r="K4" s="125" t="s">
        <v>727</v>
      </c>
      <c r="L4" s="123"/>
      <c r="M4" s="128"/>
      <c r="N4" s="125" t="s">
        <v>727</v>
      </c>
      <c r="O4" s="110"/>
      <c r="P4" s="110"/>
      <c r="Q4" s="110"/>
      <c r="R4" s="127" t="s">
        <v>732</v>
      </c>
      <c r="S4" s="127" t="s">
        <v>663</v>
      </c>
      <c r="T4" s="110"/>
      <c r="U4" s="127" t="s">
        <v>664</v>
      </c>
      <c r="V4" s="127" t="s">
        <v>730</v>
      </c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3"/>
    </row>
    <row r="5">
      <c r="A5" s="122" t="s">
        <v>646</v>
      </c>
      <c r="B5" s="123" t="s">
        <v>666</v>
      </c>
      <c r="C5" s="112" t="s">
        <v>734</v>
      </c>
      <c r="D5" s="123" t="str">
        <f t="shared" si="1"/>
        <v>DAP02 - Double Action Press</v>
      </c>
      <c r="E5" s="125" t="s">
        <v>731</v>
      </c>
      <c r="F5" s="123"/>
      <c r="G5" s="125">
        <v>4.5</v>
      </c>
      <c r="H5" s="125">
        <v>2012.0</v>
      </c>
      <c r="I5" s="123" t="s">
        <v>726</v>
      </c>
      <c r="J5" s="123" t="s">
        <v>727</v>
      </c>
      <c r="K5" s="125" t="s">
        <v>727</v>
      </c>
      <c r="L5" s="123"/>
      <c r="M5" s="128"/>
      <c r="N5" s="125" t="s">
        <v>727</v>
      </c>
      <c r="O5" s="110"/>
      <c r="P5" s="110"/>
      <c r="Q5" s="110"/>
      <c r="R5" s="112" t="s">
        <v>730</v>
      </c>
      <c r="S5" s="127" t="s">
        <v>735</v>
      </c>
      <c r="T5" s="110"/>
      <c r="U5" s="112" t="s">
        <v>666</v>
      </c>
      <c r="V5" s="127" t="s">
        <v>734</v>
      </c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3"/>
    </row>
    <row r="6">
      <c r="A6" s="122" t="s">
        <v>646</v>
      </c>
      <c r="B6" s="123" t="s">
        <v>666</v>
      </c>
      <c r="C6" s="124" t="s">
        <v>736</v>
      </c>
      <c r="D6" s="123" t="str">
        <f t="shared" si="1"/>
        <v>DAP02 - Double Action Press</v>
      </c>
      <c r="E6" s="125" t="s">
        <v>731</v>
      </c>
      <c r="F6" s="123"/>
      <c r="G6" s="125">
        <v>4.5</v>
      </c>
      <c r="H6" s="125">
        <v>2012.0</v>
      </c>
      <c r="I6" s="123" t="s">
        <v>726</v>
      </c>
      <c r="J6" s="123" t="s">
        <v>727</v>
      </c>
      <c r="K6" s="125" t="s">
        <v>727</v>
      </c>
      <c r="L6" s="123"/>
      <c r="M6" s="128"/>
      <c r="N6" s="125" t="s">
        <v>727</v>
      </c>
      <c r="O6" s="110"/>
      <c r="P6" s="110"/>
      <c r="Q6" s="110"/>
      <c r="R6" s="112"/>
      <c r="S6" s="127"/>
      <c r="T6" s="110"/>
      <c r="U6" s="112"/>
      <c r="V6" s="127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3"/>
    </row>
    <row r="7">
      <c r="A7" s="122" t="s">
        <v>646</v>
      </c>
      <c r="B7" s="123" t="s">
        <v>667</v>
      </c>
      <c r="C7" s="112" t="s">
        <v>737</v>
      </c>
      <c r="D7" s="123" t="str">
        <f t="shared" si="1"/>
        <v>DAP03 - Double Action Press</v>
      </c>
      <c r="E7" s="125" t="s">
        <v>731</v>
      </c>
      <c r="F7" s="123"/>
      <c r="G7" s="125">
        <v>3.5</v>
      </c>
      <c r="H7" s="125">
        <v>2010.0</v>
      </c>
      <c r="I7" s="123" t="s">
        <v>726</v>
      </c>
      <c r="J7" s="123" t="s">
        <v>727</v>
      </c>
      <c r="K7" s="125" t="s">
        <v>727</v>
      </c>
      <c r="L7" s="123"/>
      <c r="M7" s="128"/>
      <c r="N7" s="125" t="s">
        <v>727</v>
      </c>
      <c r="O7" s="110"/>
      <c r="P7" s="110"/>
      <c r="Q7" s="110"/>
      <c r="R7" s="112" t="s">
        <v>734</v>
      </c>
      <c r="S7" s="127" t="s">
        <v>735</v>
      </c>
      <c r="T7" s="110"/>
      <c r="U7" s="112" t="s">
        <v>667</v>
      </c>
      <c r="V7" s="127" t="s">
        <v>737</v>
      </c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3"/>
    </row>
    <row r="8">
      <c r="A8" s="122" t="s">
        <v>669</v>
      </c>
      <c r="B8" s="123" t="s">
        <v>668</v>
      </c>
      <c r="C8" s="112"/>
      <c r="D8" s="123" t="str">
        <f t="shared" si="1"/>
        <v>HYP01 - Hydrualic Press - 100Tn</v>
      </c>
      <c r="E8" s="125" t="s">
        <v>665</v>
      </c>
      <c r="F8" s="123"/>
      <c r="G8" s="125" t="s">
        <v>738</v>
      </c>
      <c r="H8" s="125">
        <v>2020.0</v>
      </c>
      <c r="I8" s="125" t="s">
        <v>739</v>
      </c>
      <c r="J8" s="123"/>
      <c r="K8" s="125" t="s">
        <v>727</v>
      </c>
      <c r="L8" s="123"/>
      <c r="M8" s="128"/>
      <c r="N8" s="125" t="s">
        <v>727</v>
      </c>
      <c r="O8" s="110"/>
      <c r="P8" s="110"/>
      <c r="Q8" s="110"/>
      <c r="R8" s="112" t="s">
        <v>737</v>
      </c>
      <c r="S8" s="127" t="s">
        <v>735</v>
      </c>
      <c r="T8" s="110"/>
      <c r="U8" s="112" t="s">
        <v>668</v>
      </c>
      <c r="V8" s="127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3"/>
    </row>
    <row r="9">
      <c r="A9" s="122" t="s">
        <v>652</v>
      </c>
      <c r="B9" s="123" t="s">
        <v>670</v>
      </c>
      <c r="C9" s="124" t="s">
        <v>740</v>
      </c>
      <c r="D9" s="123" t="str">
        <f t="shared" si="1"/>
        <v>HYP02 - Hydrualic Press - 50Tn</v>
      </c>
      <c r="E9" s="125" t="s">
        <v>741</v>
      </c>
      <c r="F9" s="123"/>
      <c r="G9" s="125" t="s">
        <v>742</v>
      </c>
      <c r="H9" s="125">
        <v>2023.0</v>
      </c>
      <c r="I9" s="125" t="s">
        <v>726</v>
      </c>
      <c r="J9" s="123"/>
      <c r="K9" s="125" t="s">
        <v>727</v>
      </c>
      <c r="L9" s="123"/>
      <c r="M9" s="128"/>
      <c r="N9" s="125" t="s">
        <v>727</v>
      </c>
      <c r="O9" s="110"/>
      <c r="P9" s="110"/>
      <c r="Q9" s="110"/>
      <c r="R9" s="112" t="s">
        <v>743</v>
      </c>
      <c r="S9" s="127" t="s">
        <v>615</v>
      </c>
      <c r="T9" s="110"/>
      <c r="U9" s="112" t="s">
        <v>670</v>
      </c>
      <c r="V9" s="127" t="s">
        <v>743</v>
      </c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3"/>
    </row>
    <row r="10">
      <c r="A10" s="122" t="s">
        <v>652</v>
      </c>
      <c r="B10" s="123" t="s">
        <v>670</v>
      </c>
      <c r="C10" s="129" t="s">
        <v>744</v>
      </c>
      <c r="D10" s="123" t="str">
        <f t="shared" si="1"/>
        <v>HYP02 - Hydrualic Press - 50Tn</v>
      </c>
      <c r="E10" s="125" t="s">
        <v>741</v>
      </c>
      <c r="F10" s="123"/>
      <c r="G10" s="125" t="s">
        <v>742</v>
      </c>
      <c r="H10" s="125">
        <v>2023.0</v>
      </c>
      <c r="I10" s="125" t="s">
        <v>726</v>
      </c>
      <c r="J10" s="123"/>
      <c r="K10" s="125" t="s">
        <v>727</v>
      </c>
      <c r="L10" s="123"/>
      <c r="M10" s="128"/>
      <c r="N10" s="125" t="s">
        <v>727</v>
      </c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3"/>
    </row>
    <row r="11">
      <c r="A11" s="122" t="s">
        <v>652</v>
      </c>
      <c r="B11" s="123" t="s">
        <v>670</v>
      </c>
      <c r="C11" s="129" t="s">
        <v>745</v>
      </c>
      <c r="D11" s="123" t="str">
        <f t="shared" si="1"/>
        <v>HYP02 - Hydrualic Press - 50Tn</v>
      </c>
      <c r="E11" s="125" t="s">
        <v>741</v>
      </c>
      <c r="F11" s="123"/>
      <c r="G11" s="125" t="s">
        <v>742</v>
      </c>
      <c r="H11" s="125">
        <v>2023.0</v>
      </c>
      <c r="I11" s="125" t="s">
        <v>726</v>
      </c>
      <c r="J11" s="123"/>
      <c r="K11" s="125" t="s">
        <v>727</v>
      </c>
      <c r="L11" s="123"/>
      <c r="M11" s="128"/>
      <c r="N11" s="125" t="s">
        <v>727</v>
      </c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3"/>
    </row>
    <row r="12">
      <c r="A12" s="122" t="s">
        <v>652</v>
      </c>
      <c r="B12" s="123" t="s">
        <v>670</v>
      </c>
      <c r="C12" s="129" t="s">
        <v>746</v>
      </c>
      <c r="D12" s="123" t="str">
        <f t="shared" si="1"/>
        <v>HYP02 - Hydrualic Press - 50Tn</v>
      </c>
      <c r="E12" s="125" t="s">
        <v>741</v>
      </c>
      <c r="F12" s="125"/>
      <c r="G12" s="125" t="s">
        <v>742</v>
      </c>
      <c r="H12" s="125">
        <v>2023.0</v>
      </c>
      <c r="I12" s="125" t="s">
        <v>726</v>
      </c>
      <c r="J12" s="125"/>
      <c r="K12" s="125" t="s">
        <v>727</v>
      </c>
      <c r="L12" s="125"/>
      <c r="M12" s="130"/>
      <c r="N12" s="125" t="s">
        <v>727</v>
      </c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3"/>
    </row>
    <row r="13">
      <c r="A13" s="122" t="s">
        <v>652</v>
      </c>
      <c r="B13" s="123" t="s">
        <v>670</v>
      </c>
      <c r="C13" s="129" t="s">
        <v>747</v>
      </c>
      <c r="D13" s="123" t="str">
        <f t="shared" si="1"/>
        <v>HYP02 - Hydrualic Press - 50Tn</v>
      </c>
      <c r="E13" s="125" t="s">
        <v>741</v>
      </c>
      <c r="F13" s="125"/>
      <c r="G13" s="125" t="s">
        <v>742</v>
      </c>
      <c r="H13" s="125">
        <v>2023.0</v>
      </c>
      <c r="I13" s="125" t="s">
        <v>726</v>
      </c>
      <c r="J13" s="125"/>
      <c r="K13" s="125" t="s">
        <v>727</v>
      </c>
      <c r="L13" s="125"/>
      <c r="M13" s="130"/>
      <c r="N13" s="125" t="s">
        <v>727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3"/>
    </row>
    <row r="14">
      <c r="A14" s="122" t="s">
        <v>652</v>
      </c>
      <c r="B14" s="123" t="s">
        <v>670</v>
      </c>
      <c r="C14" s="129" t="s">
        <v>748</v>
      </c>
      <c r="D14" s="123" t="str">
        <f t="shared" si="1"/>
        <v>HYP02 - Hydrualic Press - 50Tn</v>
      </c>
      <c r="E14" s="125" t="s">
        <v>741</v>
      </c>
      <c r="F14" s="125"/>
      <c r="G14" s="125" t="s">
        <v>742</v>
      </c>
      <c r="H14" s="125">
        <v>2023.0</v>
      </c>
      <c r="I14" s="125" t="s">
        <v>726</v>
      </c>
      <c r="J14" s="125"/>
      <c r="K14" s="125" t="s">
        <v>727</v>
      </c>
      <c r="L14" s="125"/>
      <c r="M14" s="130"/>
      <c r="N14" s="125" t="s">
        <v>727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3"/>
    </row>
    <row r="15">
      <c r="A15" s="131" t="s">
        <v>669</v>
      </c>
      <c r="B15" s="125" t="s">
        <v>749</v>
      </c>
      <c r="C15" s="129" t="s">
        <v>750</v>
      </c>
      <c r="D15" s="123" t="str">
        <f t="shared" si="1"/>
        <v>HYP03 - Hydrualic Press - 100Tn</v>
      </c>
      <c r="E15" s="125" t="s">
        <v>665</v>
      </c>
      <c r="F15" s="125"/>
      <c r="G15" s="125" t="s">
        <v>738</v>
      </c>
      <c r="H15" s="125">
        <v>2025.0</v>
      </c>
      <c r="I15" s="125" t="s">
        <v>726</v>
      </c>
      <c r="J15" s="125"/>
      <c r="K15" s="125" t="s">
        <v>727</v>
      </c>
      <c r="L15" s="125"/>
      <c r="M15" s="130"/>
      <c r="N15" s="125" t="s">
        <v>727</v>
      </c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3"/>
    </row>
    <row r="16">
      <c r="A16" s="131" t="s">
        <v>669</v>
      </c>
      <c r="B16" s="125" t="s">
        <v>749</v>
      </c>
      <c r="C16" s="124" t="s">
        <v>751</v>
      </c>
      <c r="D16" s="123" t="str">
        <f t="shared" si="1"/>
        <v>HYP03 - Hydrualic Press - 100Tn</v>
      </c>
      <c r="E16" s="125" t="s">
        <v>665</v>
      </c>
      <c r="F16" s="125"/>
      <c r="G16" s="125" t="s">
        <v>738</v>
      </c>
      <c r="H16" s="125">
        <v>2025.0</v>
      </c>
      <c r="I16" s="125" t="s">
        <v>726</v>
      </c>
      <c r="J16" s="125"/>
      <c r="K16" s="125" t="s">
        <v>727</v>
      </c>
      <c r="L16" s="125"/>
      <c r="M16" s="130"/>
      <c r="N16" s="125" t="s">
        <v>727</v>
      </c>
      <c r="O16" s="110"/>
      <c r="P16" s="110"/>
      <c r="Q16" s="110"/>
      <c r="R16" s="132"/>
      <c r="S16" s="133"/>
      <c r="T16" s="110"/>
      <c r="U16" s="132"/>
      <c r="V16" s="133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3"/>
    </row>
    <row r="17">
      <c r="A17" s="131" t="s">
        <v>669</v>
      </c>
      <c r="B17" s="125" t="s">
        <v>752</v>
      </c>
      <c r="C17" s="124" t="s">
        <v>753</v>
      </c>
      <c r="D17" s="123" t="str">
        <f t="shared" si="1"/>
        <v>HYP06 - Hydrualic Press - 100Tn</v>
      </c>
      <c r="E17" s="125"/>
      <c r="F17" s="125"/>
      <c r="G17" s="125" t="s">
        <v>738</v>
      </c>
      <c r="H17" s="125">
        <v>2026.0</v>
      </c>
      <c r="I17" s="125" t="s">
        <v>726</v>
      </c>
      <c r="J17" s="125"/>
      <c r="K17" s="125" t="s">
        <v>727</v>
      </c>
      <c r="L17" s="125"/>
      <c r="M17" s="130"/>
      <c r="N17" s="125" t="s">
        <v>727</v>
      </c>
      <c r="O17" s="110"/>
      <c r="P17" s="110"/>
      <c r="Q17" s="110"/>
      <c r="R17" s="132"/>
      <c r="S17" s="133"/>
      <c r="T17" s="110"/>
      <c r="U17" s="132"/>
      <c r="V17" s="133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3"/>
    </row>
    <row r="18">
      <c r="A18" s="122" t="s">
        <v>649</v>
      </c>
      <c r="B18" s="123" t="s">
        <v>672</v>
      </c>
      <c r="C18" s="124" t="s">
        <v>754</v>
      </c>
      <c r="D18" s="123" t="str">
        <f t="shared" si="1"/>
        <v>SAP01 - Single Action Press</v>
      </c>
      <c r="E18" s="125" t="s">
        <v>755</v>
      </c>
      <c r="F18" s="123"/>
      <c r="G18" s="125" t="s">
        <v>756</v>
      </c>
      <c r="H18" s="125">
        <v>2011.0</v>
      </c>
      <c r="I18" s="125" t="s">
        <v>726</v>
      </c>
      <c r="J18" s="123"/>
      <c r="K18" s="125" t="s">
        <v>727</v>
      </c>
      <c r="L18" s="123"/>
      <c r="M18" s="128"/>
      <c r="N18" s="125" t="s">
        <v>727</v>
      </c>
      <c r="O18" s="110"/>
      <c r="P18" s="110"/>
      <c r="Q18" s="110"/>
      <c r="R18" s="112" t="s">
        <v>757</v>
      </c>
      <c r="S18" s="127" t="s">
        <v>758</v>
      </c>
      <c r="T18" s="110"/>
      <c r="U18" s="112" t="s">
        <v>672</v>
      </c>
      <c r="V18" s="127" t="s">
        <v>757</v>
      </c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3"/>
    </row>
    <row r="19">
      <c r="A19" s="122" t="s">
        <v>649</v>
      </c>
      <c r="B19" s="123" t="s">
        <v>672</v>
      </c>
      <c r="C19" s="124" t="s">
        <v>759</v>
      </c>
      <c r="D19" s="123" t="str">
        <f t="shared" si="1"/>
        <v>SAP01 - Single Action Press</v>
      </c>
      <c r="E19" s="125" t="s">
        <v>755</v>
      </c>
      <c r="F19" s="123"/>
      <c r="G19" s="125" t="s">
        <v>756</v>
      </c>
      <c r="H19" s="125">
        <v>2011.0</v>
      </c>
      <c r="I19" s="125" t="s">
        <v>726</v>
      </c>
      <c r="J19" s="123"/>
      <c r="K19" s="125" t="s">
        <v>727</v>
      </c>
      <c r="L19" s="123"/>
      <c r="M19" s="128"/>
      <c r="N19" s="125" t="s">
        <v>727</v>
      </c>
      <c r="O19" s="110"/>
      <c r="P19" s="110"/>
      <c r="Q19" s="110"/>
      <c r="R19" s="112"/>
      <c r="S19" s="127"/>
      <c r="T19" s="110"/>
      <c r="U19" s="112"/>
      <c r="V19" s="127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3"/>
    </row>
    <row r="20">
      <c r="A20" s="122" t="s">
        <v>649</v>
      </c>
      <c r="B20" s="123" t="s">
        <v>672</v>
      </c>
      <c r="C20" s="124" t="s">
        <v>760</v>
      </c>
      <c r="D20" s="123" t="str">
        <f t="shared" si="1"/>
        <v>SAP01 - Single Action Press</v>
      </c>
      <c r="E20" s="125" t="s">
        <v>755</v>
      </c>
      <c r="F20" s="123"/>
      <c r="G20" s="125" t="s">
        <v>756</v>
      </c>
      <c r="H20" s="125">
        <v>2011.0</v>
      </c>
      <c r="I20" s="125" t="s">
        <v>726</v>
      </c>
      <c r="J20" s="123"/>
      <c r="K20" s="125" t="s">
        <v>727</v>
      </c>
      <c r="L20" s="123"/>
      <c r="M20" s="128"/>
      <c r="N20" s="125" t="s">
        <v>727</v>
      </c>
      <c r="O20" s="110"/>
      <c r="P20" s="110"/>
      <c r="Q20" s="110"/>
      <c r="R20" s="112"/>
      <c r="S20" s="127"/>
      <c r="T20" s="110"/>
      <c r="U20" s="112"/>
      <c r="V20" s="127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3"/>
    </row>
    <row r="21">
      <c r="A21" s="122" t="s">
        <v>649</v>
      </c>
      <c r="B21" s="123" t="s">
        <v>673</v>
      </c>
      <c r="C21" s="124" t="s">
        <v>743</v>
      </c>
      <c r="D21" s="123" t="str">
        <f t="shared" si="1"/>
        <v>SAP02 - Single Action Press</v>
      </c>
      <c r="E21" s="125" t="s">
        <v>761</v>
      </c>
      <c r="F21" s="123"/>
      <c r="G21" s="125" t="s">
        <v>756</v>
      </c>
      <c r="H21" s="125">
        <v>2021.0</v>
      </c>
      <c r="I21" s="125" t="s">
        <v>726</v>
      </c>
      <c r="J21" s="123"/>
      <c r="K21" s="125" t="s">
        <v>727</v>
      </c>
      <c r="L21" s="123"/>
      <c r="M21" s="128"/>
      <c r="N21" s="125" t="s">
        <v>727</v>
      </c>
      <c r="O21" s="110"/>
      <c r="P21" s="110"/>
      <c r="Q21" s="110"/>
      <c r="R21" s="112" t="s">
        <v>762</v>
      </c>
      <c r="S21" s="127" t="s">
        <v>616</v>
      </c>
      <c r="T21" s="110"/>
      <c r="U21" s="112" t="s">
        <v>673</v>
      </c>
      <c r="V21" s="127" t="s">
        <v>762</v>
      </c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3"/>
    </row>
    <row r="22">
      <c r="A22" s="122" t="s">
        <v>649</v>
      </c>
      <c r="B22" s="123" t="s">
        <v>673</v>
      </c>
      <c r="C22" s="124" t="s">
        <v>763</v>
      </c>
      <c r="D22" s="123" t="str">
        <f t="shared" si="1"/>
        <v>SAP02 - Single Action Press</v>
      </c>
      <c r="E22" s="125" t="s">
        <v>761</v>
      </c>
      <c r="F22" s="123"/>
      <c r="G22" s="125" t="s">
        <v>756</v>
      </c>
      <c r="H22" s="125">
        <v>2021.0</v>
      </c>
      <c r="I22" s="125" t="s">
        <v>726</v>
      </c>
      <c r="J22" s="123"/>
      <c r="K22" s="125" t="s">
        <v>727</v>
      </c>
      <c r="L22" s="123"/>
      <c r="M22" s="128"/>
      <c r="N22" s="125" t="s">
        <v>727</v>
      </c>
      <c r="O22" s="110"/>
      <c r="P22" s="110"/>
      <c r="Q22" s="110"/>
      <c r="R22" s="112"/>
      <c r="S22" s="127"/>
      <c r="T22" s="110"/>
      <c r="U22" s="112"/>
      <c r="V22" s="127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3"/>
    </row>
    <row r="23">
      <c r="A23" s="122" t="s">
        <v>649</v>
      </c>
      <c r="B23" s="123" t="s">
        <v>674</v>
      </c>
      <c r="C23" s="124" t="s">
        <v>754</v>
      </c>
      <c r="D23" s="123" t="str">
        <f t="shared" si="1"/>
        <v>SAP03 - Single Action Press</v>
      </c>
      <c r="E23" s="125" t="s">
        <v>609</v>
      </c>
      <c r="F23" s="123"/>
      <c r="G23" s="125" t="s">
        <v>756</v>
      </c>
      <c r="H23" s="125">
        <v>2019.0</v>
      </c>
      <c r="I23" s="125" t="s">
        <v>726</v>
      </c>
      <c r="J23" s="123"/>
      <c r="K23" s="125" t="s">
        <v>727</v>
      </c>
      <c r="L23" s="123"/>
      <c r="M23" s="128"/>
      <c r="N23" s="125" t="s">
        <v>727</v>
      </c>
      <c r="O23" s="110"/>
      <c r="P23" s="110"/>
      <c r="Q23" s="110"/>
      <c r="R23" s="112" t="s">
        <v>764</v>
      </c>
      <c r="S23" s="127" t="s">
        <v>609</v>
      </c>
      <c r="T23" s="110"/>
      <c r="U23" s="112" t="s">
        <v>674</v>
      </c>
      <c r="V23" s="127" t="s">
        <v>764</v>
      </c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3"/>
    </row>
    <row r="24">
      <c r="A24" s="122" t="s">
        <v>649</v>
      </c>
      <c r="B24" s="123" t="s">
        <v>675</v>
      </c>
      <c r="C24" s="124" t="s">
        <v>765</v>
      </c>
      <c r="D24" s="123" t="str">
        <f t="shared" si="1"/>
        <v>SAP04 - Single Action Press</v>
      </c>
      <c r="E24" s="125" t="s">
        <v>624</v>
      </c>
      <c r="F24" s="123"/>
      <c r="G24" s="125" t="s">
        <v>756</v>
      </c>
      <c r="H24" s="125">
        <v>2011.0</v>
      </c>
      <c r="I24" s="125" t="s">
        <v>726</v>
      </c>
      <c r="J24" s="123"/>
      <c r="K24" s="125" t="s">
        <v>727</v>
      </c>
      <c r="L24" s="123"/>
      <c r="M24" s="128"/>
      <c r="N24" s="125" t="s">
        <v>727</v>
      </c>
      <c r="O24" s="110"/>
      <c r="P24" s="110"/>
      <c r="Q24" s="110"/>
      <c r="R24" s="112" t="s">
        <v>766</v>
      </c>
      <c r="S24" s="127" t="s">
        <v>624</v>
      </c>
      <c r="T24" s="110"/>
      <c r="U24" s="112" t="s">
        <v>675</v>
      </c>
      <c r="V24" s="127" t="s">
        <v>766</v>
      </c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3"/>
    </row>
    <row r="25">
      <c r="A25" s="122" t="s">
        <v>649</v>
      </c>
      <c r="B25" s="123" t="s">
        <v>675</v>
      </c>
      <c r="C25" s="124" t="s">
        <v>767</v>
      </c>
      <c r="D25" s="123" t="str">
        <f t="shared" si="1"/>
        <v>SAP04 - Single Action Press</v>
      </c>
      <c r="E25" s="125" t="s">
        <v>624</v>
      </c>
      <c r="F25" s="123"/>
      <c r="G25" s="125" t="s">
        <v>756</v>
      </c>
      <c r="H25" s="125">
        <v>2011.0</v>
      </c>
      <c r="I25" s="125" t="s">
        <v>726</v>
      </c>
      <c r="J25" s="123"/>
      <c r="K25" s="125" t="s">
        <v>727</v>
      </c>
      <c r="L25" s="123"/>
      <c r="M25" s="128"/>
      <c r="N25" s="125" t="s">
        <v>727</v>
      </c>
      <c r="O25" s="110"/>
      <c r="P25" s="110"/>
      <c r="Q25" s="110"/>
      <c r="R25" s="112" t="s">
        <v>766</v>
      </c>
      <c r="S25" s="127" t="s">
        <v>624</v>
      </c>
      <c r="T25" s="110"/>
      <c r="U25" s="112" t="s">
        <v>675</v>
      </c>
      <c r="V25" s="127" t="s">
        <v>766</v>
      </c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3"/>
    </row>
    <row r="26">
      <c r="A26" s="122" t="s">
        <v>649</v>
      </c>
      <c r="B26" s="123" t="s">
        <v>676</v>
      </c>
      <c r="C26" s="124" t="s">
        <v>768</v>
      </c>
      <c r="D26" s="123" t="str">
        <f t="shared" si="1"/>
        <v>SAP05 - Single Action Press</v>
      </c>
      <c r="E26" s="125" t="s">
        <v>626</v>
      </c>
      <c r="F26" s="123"/>
      <c r="G26" s="125" t="s">
        <v>756</v>
      </c>
      <c r="H26" s="125">
        <v>2011.0</v>
      </c>
      <c r="I26" s="125" t="s">
        <v>726</v>
      </c>
      <c r="J26" s="123"/>
      <c r="K26" s="125" t="s">
        <v>727</v>
      </c>
      <c r="L26" s="123"/>
      <c r="M26" s="128"/>
      <c r="N26" s="125" t="s">
        <v>727</v>
      </c>
      <c r="O26" s="110"/>
      <c r="P26" s="110"/>
      <c r="Q26" s="110"/>
      <c r="R26" s="112" t="s">
        <v>769</v>
      </c>
      <c r="S26" s="127" t="s">
        <v>626</v>
      </c>
      <c r="T26" s="110"/>
      <c r="U26" s="112" t="s">
        <v>676</v>
      </c>
      <c r="V26" s="127" t="s">
        <v>769</v>
      </c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3"/>
    </row>
    <row r="27">
      <c r="A27" s="122" t="s">
        <v>649</v>
      </c>
      <c r="B27" s="123" t="s">
        <v>677</v>
      </c>
      <c r="C27" s="124" t="s">
        <v>757</v>
      </c>
      <c r="D27" s="123" t="str">
        <f t="shared" si="1"/>
        <v>SAP06 - Single Action Press</v>
      </c>
      <c r="E27" s="125" t="s">
        <v>628</v>
      </c>
      <c r="F27" s="123"/>
      <c r="G27" s="125" t="s">
        <v>756</v>
      </c>
      <c r="H27" s="125">
        <v>2012.0</v>
      </c>
      <c r="I27" s="125" t="s">
        <v>726</v>
      </c>
      <c r="J27" s="123"/>
      <c r="K27" s="125" t="s">
        <v>727</v>
      </c>
      <c r="L27" s="123"/>
      <c r="M27" s="128"/>
      <c r="N27" s="125" t="s">
        <v>727</v>
      </c>
      <c r="O27" s="110"/>
      <c r="P27" s="110"/>
      <c r="Q27" s="110"/>
      <c r="R27" s="112" t="s">
        <v>753</v>
      </c>
      <c r="S27" s="127" t="s">
        <v>770</v>
      </c>
      <c r="T27" s="110"/>
      <c r="U27" s="112" t="s">
        <v>677</v>
      </c>
      <c r="V27" s="127" t="s">
        <v>753</v>
      </c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3"/>
    </row>
    <row r="28">
      <c r="A28" s="122" t="s">
        <v>649</v>
      </c>
      <c r="B28" s="123" t="s">
        <v>679</v>
      </c>
      <c r="C28" s="124" t="s">
        <v>771</v>
      </c>
      <c r="D28" s="123" t="str">
        <f t="shared" si="1"/>
        <v>SAP07 - Single Action Press</v>
      </c>
      <c r="E28" s="125" t="s">
        <v>624</v>
      </c>
      <c r="F28" s="123"/>
      <c r="G28" s="125" t="s">
        <v>772</v>
      </c>
      <c r="H28" s="125">
        <v>2022.0</v>
      </c>
      <c r="I28" s="125" t="s">
        <v>726</v>
      </c>
      <c r="J28" s="123"/>
      <c r="K28" s="125" t="s">
        <v>727</v>
      </c>
      <c r="L28" s="123"/>
      <c r="M28" s="128"/>
      <c r="N28" s="125" t="s">
        <v>727</v>
      </c>
      <c r="O28" s="110"/>
      <c r="P28" s="110"/>
      <c r="Q28" s="110"/>
      <c r="R28" s="112" t="s">
        <v>773</v>
      </c>
      <c r="S28" s="127" t="s">
        <v>683</v>
      </c>
      <c r="T28" s="110"/>
      <c r="U28" s="112" t="s">
        <v>679</v>
      </c>
      <c r="V28" s="127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3"/>
    </row>
    <row r="29">
      <c r="A29" s="122" t="s">
        <v>649</v>
      </c>
      <c r="B29" s="123" t="s">
        <v>680</v>
      </c>
      <c r="C29" s="124" t="s">
        <v>753</v>
      </c>
      <c r="D29" s="123" t="str">
        <f t="shared" si="1"/>
        <v>SAP08 - Single Action Press</v>
      </c>
      <c r="E29" s="125" t="s">
        <v>626</v>
      </c>
      <c r="F29" s="123"/>
      <c r="G29" s="125" t="s">
        <v>756</v>
      </c>
      <c r="H29" s="125">
        <v>2022.0</v>
      </c>
      <c r="I29" s="125" t="s">
        <v>726</v>
      </c>
      <c r="J29" s="123"/>
      <c r="K29" s="125" t="s">
        <v>727</v>
      </c>
      <c r="L29" s="123"/>
      <c r="M29" s="128"/>
      <c r="N29" s="125" t="s">
        <v>727</v>
      </c>
      <c r="O29" s="110"/>
      <c r="P29" s="110"/>
      <c r="Q29" s="110"/>
      <c r="R29" s="112" t="s">
        <v>774</v>
      </c>
      <c r="S29" s="127" t="s">
        <v>683</v>
      </c>
      <c r="T29" s="110"/>
      <c r="U29" s="112" t="s">
        <v>680</v>
      </c>
      <c r="V29" s="127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3"/>
    </row>
    <row r="30">
      <c r="A30" s="122" t="s">
        <v>647</v>
      </c>
      <c r="B30" s="123" t="s">
        <v>682</v>
      </c>
      <c r="C30" s="124" t="s">
        <v>775</v>
      </c>
      <c r="D30" s="123" t="str">
        <f t="shared" si="1"/>
        <v>S01 - Spinning / Rolling Machine</v>
      </c>
      <c r="E30" s="125" t="s">
        <v>776</v>
      </c>
      <c r="F30" s="123"/>
      <c r="G30" s="125" t="s">
        <v>756</v>
      </c>
      <c r="H30" s="125">
        <v>2010.0</v>
      </c>
      <c r="I30" s="125" t="s">
        <v>726</v>
      </c>
      <c r="J30" s="123"/>
      <c r="K30" s="125" t="s">
        <v>727</v>
      </c>
      <c r="L30" s="123"/>
      <c r="M30" s="128"/>
      <c r="N30" s="125" t="s">
        <v>727</v>
      </c>
      <c r="O30" s="110"/>
      <c r="P30" s="110"/>
      <c r="Q30" s="110"/>
      <c r="R30" s="112" t="s">
        <v>777</v>
      </c>
      <c r="S30" s="127" t="s">
        <v>683</v>
      </c>
      <c r="T30" s="110"/>
      <c r="U30" s="112" t="s">
        <v>682</v>
      </c>
      <c r="V30" s="127" t="s">
        <v>773</v>
      </c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3"/>
    </row>
    <row r="31">
      <c r="A31" s="122" t="s">
        <v>647</v>
      </c>
      <c r="B31" s="123" t="s">
        <v>685</v>
      </c>
      <c r="C31" s="124" t="s">
        <v>778</v>
      </c>
      <c r="D31" s="123" t="str">
        <f t="shared" si="1"/>
        <v>S02 - Spinning / Rolling Machine</v>
      </c>
      <c r="E31" s="125" t="s">
        <v>776</v>
      </c>
      <c r="F31" s="123"/>
      <c r="G31" s="125" t="s">
        <v>756</v>
      </c>
      <c r="H31" s="125">
        <v>2010.0</v>
      </c>
      <c r="I31" s="125" t="s">
        <v>726</v>
      </c>
      <c r="J31" s="123"/>
      <c r="K31" s="125" t="s">
        <v>727</v>
      </c>
      <c r="L31" s="123"/>
      <c r="M31" s="128"/>
      <c r="N31" s="125" t="s">
        <v>727</v>
      </c>
      <c r="O31" s="110"/>
      <c r="P31" s="110"/>
      <c r="Q31" s="110"/>
      <c r="R31" s="112" t="s">
        <v>779</v>
      </c>
      <c r="S31" s="127" t="s">
        <v>683</v>
      </c>
      <c r="T31" s="110"/>
      <c r="U31" s="112" t="s">
        <v>685</v>
      </c>
      <c r="V31" s="127" t="s">
        <v>774</v>
      </c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3"/>
    </row>
    <row r="32">
      <c r="A32" s="122" t="s">
        <v>647</v>
      </c>
      <c r="B32" s="123" t="s">
        <v>686</v>
      </c>
      <c r="C32" s="124" t="s">
        <v>780</v>
      </c>
      <c r="D32" s="123" t="str">
        <f t="shared" si="1"/>
        <v>S03 - Spinning / Rolling Machine</v>
      </c>
      <c r="E32" s="125" t="s">
        <v>776</v>
      </c>
      <c r="F32" s="123"/>
      <c r="G32" s="125" t="s">
        <v>756</v>
      </c>
      <c r="H32" s="125">
        <v>2010.0</v>
      </c>
      <c r="I32" s="125" t="s">
        <v>726</v>
      </c>
      <c r="J32" s="123"/>
      <c r="K32" s="125" t="s">
        <v>727</v>
      </c>
      <c r="L32" s="123"/>
      <c r="M32" s="128"/>
      <c r="N32" s="125" t="s">
        <v>727</v>
      </c>
      <c r="O32" s="110"/>
      <c r="P32" s="110"/>
      <c r="Q32" s="110"/>
      <c r="R32" s="112" t="s">
        <v>781</v>
      </c>
      <c r="S32" s="127" t="s">
        <v>683</v>
      </c>
      <c r="T32" s="110"/>
      <c r="U32" s="112" t="s">
        <v>686</v>
      </c>
      <c r="V32" s="127" t="s">
        <v>777</v>
      </c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3"/>
    </row>
    <row r="33">
      <c r="A33" s="122" t="s">
        <v>647</v>
      </c>
      <c r="B33" s="123" t="s">
        <v>687</v>
      </c>
      <c r="C33" s="124" t="s">
        <v>782</v>
      </c>
      <c r="D33" s="123" t="str">
        <f t="shared" si="1"/>
        <v>S04 - Spinning / Rolling Machine</v>
      </c>
      <c r="E33" s="125" t="s">
        <v>776</v>
      </c>
      <c r="F33" s="123"/>
      <c r="G33" s="125" t="s">
        <v>756</v>
      </c>
      <c r="H33" s="125">
        <v>2010.0</v>
      </c>
      <c r="I33" s="125" t="s">
        <v>726</v>
      </c>
      <c r="J33" s="123"/>
      <c r="K33" s="125" t="s">
        <v>727</v>
      </c>
      <c r="L33" s="123"/>
      <c r="M33" s="128"/>
      <c r="N33" s="125" t="s">
        <v>727</v>
      </c>
      <c r="O33" s="110"/>
      <c r="P33" s="110"/>
      <c r="Q33" s="110"/>
      <c r="R33" s="112" t="s">
        <v>783</v>
      </c>
      <c r="S33" s="127" t="s">
        <v>683</v>
      </c>
      <c r="T33" s="110"/>
      <c r="U33" s="112" t="s">
        <v>687</v>
      </c>
      <c r="V33" s="127" t="s">
        <v>779</v>
      </c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3"/>
    </row>
    <row r="34">
      <c r="A34" s="122" t="s">
        <v>647</v>
      </c>
      <c r="B34" s="123" t="s">
        <v>688</v>
      </c>
      <c r="C34" s="124"/>
      <c r="D34" s="123" t="str">
        <f t="shared" si="1"/>
        <v>S05 - Spinning / Rolling Machine</v>
      </c>
      <c r="E34" s="125" t="s">
        <v>776</v>
      </c>
      <c r="F34" s="123"/>
      <c r="G34" s="125" t="s">
        <v>756</v>
      </c>
      <c r="H34" s="125">
        <v>2010.0</v>
      </c>
      <c r="I34" s="125" t="s">
        <v>739</v>
      </c>
      <c r="J34" s="123"/>
      <c r="K34" s="125" t="s">
        <v>727</v>
      </c>
      <c r="L34" s="123"/>
      <c r="M34" s="128"/>
      <c r="N34" s="125" t="s">
        <v>727</v>
      </c>
      <c r="O34" s="110"/>
      <c r="P34" s="110"/>
      <c r="Q34" s="110"/>
      <c r="R34" s="112" t="s">
        <v>784</v>
      </c>
      <c r="S34" s="127" t="s">
        <v>683</v>
      </c>
      <c r="T34" s="110"/>
      <c r="U34" s="112" t="s">
        <v>688</v>
      </c>
      <c r="V34" s="127" t="s">
        <v>781</v>
      </c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3"/>
    </row>
    <row r="35">
      <c r="A35" s="122" t="s">
        <v>647</v>
      </c>
      <c r="B35" s="123" t="s">
        <v>689</v>
      </c>
      <c r="C35" s="124" t="s">
        <v>781</v>
      </c>
      <c r="D35" s="123" t="str">
        <f t="shared" si="1"/>
        <v>S06 - Spinning / Rolling Machine</v>
      </c>
      <c r="E35" s="125" t="s">
        <v>776</v>
      </c>
      <c r="F35" s="123"/>
      <c r="G35" s="125" t="s">
        <v>756</v>
      </c>
      <c r="H35" s="125">
        <v>2010.0</v>
      </c>
      <c r="I35" s="125" t="s">
        <v>726</v>
      </c>
      <c r="J35" s="123"/>
      <c r="K35" s="125" t="s">
        <v>727</v>
      </c>
      <c r="L35" s="123"/>
      <c r="M35" s="128"/>
      <c r="N35" s="125" t="s">
        <v>727</v>
      </c>
      <c r="O35" s="110"/>
      <c r="P35" s="110"/>
      <c r="Q35" s="110"/>
      <c r="R35" s="112" t="s">
        <v>785</v>
      </c>
      <c r="S35" s="127" t="s">
        <v>683</v>
      </c>
      <c r="T35" s="110"/>
      <c r="U35" s="112" t="s">
        <v>689</v>
      </c>
      <c r="V35" s="127" t="s">
        <v>783</v>
      </c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3"/>
    </row>
    <row r="36">
      <c r="A36" s="122" t="s">
        <v>647</v>
      </c>
      <c r="B36" s="123" t="s">
        <v>690</v>
      </c>
      <c r="C36" s="124" t="s">
        <v>774</v>
      </c>
      <c r="D36" s="123" t="str">
        <f t="shared" si="1"/>
        <v>S07 - Spinning / Rolling Machine</v>
      </c>
      <c r="E36" s="125" t="s">
        <v>776</v>
      </c>
      <c r="F36" s="123"/>
      <c r="G36" s="125" t="s">
        <v>756</v>
      </c>
      <c r="H36" s="125">
        <v>2010.0</v>
      </c>
      <c r="I36" s="125" t="s">
        <v>726</v>
      </c>
      <c r="J36" s="123"/>
      <c r="K36" s="125" t="s">
        <v>727</v>
      </c>
      <c r="L36" s="123"/>
      <c r="M36" s="128"/>
      <c r="N36" s="125" t="s">
        <v>727</v>
      </c>
      <c r="O36" s="110"/>
      <c r="P36" s="110"/>
      <c r="Q36" s="110"/>
      <c r="R36" s="112" t="s">
        <v>786</v>
      </c>
      <c r="S36" s="127" t="s">
        <v>683</v>
      </c>
      <c r="T36" s="110"/>
      <c r="U36" s="112" t="s">
        <v>690</v>
      </c>
      <c r="V36" s="127" t="s">
        <v>784</v>
      </c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3"/>
    </row>
    <row r="37">
      <c r="A37" s="122" t="s">
        <v>647</v>
      </c>
      <c r="B37" s="123" t="s">
        <v>690</v>
      </c>
      <c r="C37" s="124" t="s">
        <v>787</v>
      </c>
      <c r="D37" s="123" t="str">
        <f t="shared" si="1"/>
        <v>S07 - Spinning / Rolling Machine</v>
      </c>
      <c r="E37" s="125" t="s">
        <v>776</v>
      </c>
      <c r="F37" s="123"/>
      <c r="G37" s="125" t="s">
        <v>756</v>
      </c>
      <c r="H37" s="125">
        <v>2010.0</v>
      </c>
      <c r="I37" s="125" t="s">
        <v>726</v>
      </c>
      <c r="J37" s="123"/>
      <c r="K37" s="125" t="s">
        <v>727</v>
      </c>
      <c r="L37" s="123"/>
      <c r="M37" s="128"/>
      <c r="N37" s="125" t="s">
        <v>727</v>
      </c>
      <c r="O37" s="110"/>
      <c r="P37" s="110"/>
      <c r="Q37" s="110"/>
      <c r="R37" s="112"/>
      <c r="S37" s="127"/>
      <c r="T37" s="110"/>
      <c r="U37" s="112"/>
      <c r="V37" s="127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3"/>
    </row>
    <row r="38">
      <c r="A38" s="122" t="s">
        <v>647</v>
      </c>
      <c r="B38" s="123" t="s">
        <v>691</v>
      </c>
      <c r="C38" s="124" t="s">
        <v>786</v>
      </c>
      <c r="D38" s="123" t="str">
        <f t="shared" si="1"/>
        <v>S08 - Spinning / Rolling Machine</v>
      </c>
      <c r="E38" s="125" t="s">
        <v>776</v>
      </c>
      <c r="F38" s="123"/>
      <c r="G38" s="125" t="s">
        <v>756</v>
      </c>
      <c r="H38" s="125">
        <v>2010.0</v>
      </c>
      <c r="I38" s="125" t="s">
        <v>726</v>
      </c>
      <c r="J38" s="123"/>
      <c r="K38" s="125" t="s">
        <v>727</v>
      </c>
      <c r="L38" s="123"/>
      <c r="M38" s="128"/>
      <c r="N38" s="125" t="s">
        <v>727</v>
      </c>
      <c r="O38" s="110"/>
      <c r="P38" s="110"/>
      <c r="Q38" s="110"/>
      <c r="R38" s="112" t="s">
        <v>788</v>
      </c>
      <c r="S38" s="127" t="s">
        <v>789</v>
      </c>
      <c r="T38" s="110"/>
      <c r="U38" s="112" t="s">
        <v>691</v>
      </c>
      <c r="V38" s="127" t="s">
        <v>785</v>
      </c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3"/>
    </row>
    <row r="39">
      <c r="A39" s="122" t="s">
        <v>647</v>
      </c>
      <c r="B39" s="123" t="s">
        <v>692</v>
      </c>
      <c r="C39" s="124" t="s">
        <v>785</v>
      </c>
      <c r="D39" s="123" t="str">
        <f t="shared" si="1"/>
        <v>S09 - Spinning / Rolling Machine</v>
      </c>
      <c r="E39" s="125" t="s">
        <v>776</v>
      </c>
      <c r="F39" s="123"/>
      <c r="G39" s="125" t="s">
        <v>756</v>
      </c>
      <c r="H39" s="125">
        <v>2010.0</v>
      </c>
      <c r="I39" s="125" t="s">
        <v>726</v>
      </c>
      <c r="J39" s="123"/>
      <c r="K39" s="125" t="s">
        <v>727</v>
      </c>
      <c r="L39" s="123"/>
      <c r="M39" s="128"/>
      <c r="N39" s="125" t="s">
        <v>727</v>
      </c>
      <c r="O39" s="110"/>
      <c r="P39" s="110"/>
      <c r="Q39" s="110"/>
      <c r="R39" s="112" t="s">
        <v>790</v>
      </c>
      <c r="S39" s="127" t="s">
        <v>789</v>
      </c>
      <c r="T39" s="110"/>
      <c r="U39" s="112" t="s">
        <v>692</v>
      </c>
      <c r="V39" s="127" t="s">
        <v>786</v>
      </c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3"/>
    </row>
    <row r="40">
      <c r="A40" s="122" t="s">
        <v>647</v>
      </c>
      <c r="B40" s="123" t="s">
        <v>693</v>
      </c>
      <c r="C40" s="112"/>
      <c r="D40" s="123" t="str">
        <f t="shared" si="1"/>
        <v>S10 - Spinning / Rolling Machine</v>
      </c>
      <c r="E40" s="125" t="s">
        <v>776</v>
      </c>
      <c r="F40" s="123"/>
      <c r="G40" s="125" t="s">
        <v>756</v>
      </c>
      <c r="H40" s="125">
        <v>2010.0</v>
      </c>
      <c r="I40" s="125" t="s">
        <v>739</v>
      </c>
      <c r="J40" s="123"/>
      <c r="K40" s="125" t="s">
        <v>727</v>
      </c>
      <c r="L40" s="123"/>
      <c r="M40" s="128"/>
      <c r="N40" s="125" t="s">
        <v>727</v>
      </c>
      <c r="O40" s="110"/>
      <c r="P40" s="110"/>
      <c r="Q40" s="110"/>
      <c r="R40" s="112" t="s">
        <v>791</v>
      </c>
      <c r="S40" s="127" t="s">
        <v>789</v>
      </c>
      <c r="T40" s="110"/>
      <c r="U40" s="112" t="s">
        <v>693</v>
      </c>
      <c r="V40" s="127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3"/>
    </row>
    <row r="41">
      <c r="A41" s="122" t="s">
        <v>647</v>
      </c>
      <c r="B41" s="123" t="s">
        <v>694</v>
      </c>
      <c r="C41" s="124" t="s">
        <v>792</v>
      </c>
      <c r="D41" s="123" t="str">
        <f t="shared" si="1"/>
        <v>S11 - Spinning / Rolling Machine</v>
      </c>
      <c r="E41" s="125" t="s">
        <v>776</v>
      </c>
      <c r="F41" s="123"/>
      <c r="G41" s="125" t="s">
        <v>756</v>
      </c>
      <c r="H41" s="125">
        <v>2014.0</v>
      </c>
      <c r="I41" s="125" t="s">
        <v>726</v>
      </c>
      <c r="J41" s="123"/>
      <c r="K41" s="125" t="s">
        <v>727</v>
      </c>
      <c r="L41" s="123"/>
      <c r="M41" s="128"/>
      <c r="N41" s="125" t="s">
        <v>727</v>
      </c>
      <c r="O41" s="110"/>
      <c r="P41" s="110"/>
      <c r="Q41" s="110"/>
      <c r="R41" s="112" t="s">
        <v>793</v>
      </c>
      <c r="S41" s="127" t="s">
        <v>789</v>
      </c>
      <c r="T41" s="110"/>
      <c r="U41" s="112" t="s">
        <v>694</v>
      </c>
      <c r="V41" s="127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3"/>
    </row>
    <row r="42">
      <c r="A42" s="122" t="s">
        <v>647</v>
      </c>
      <c r="B42" s="123" t="s">
        <v>695</v>
      </c>
      <c r="C42" s="124" t="s">
        <v>794</v>
      </c>
      <c r="D42" s="123" t="str">
        <f t="shared" si="1"/>
        <v>S12 - Spinning / Rolling Machine</v>
      </c>
      <c r="E42" s="125" t="s">
        <v>776</v>
      </c>
      <c r="F42" s="123"/>
      <c r="G42" s="125" t="s">
        <v>756</v>
      </c>
      <c r="H42" s="125">
        <v>2014.0</v>
      </c>
      <c r="I42" s="125" t="s">
        <v>726</v>
      </c>
      <c r="J42" s="123"/>
      <c r="K42" s="125" t="s">
        <v>727</v>
      </c>
      <c r="L42" s="123"/>
      <c r="M42" s="128"/>
      <c r="N42" s="125" t="s">
        <v>727</v>
      </c>
      <c r="O42" s="110"/>
      <c r="P42" s="110"/>
      <c r="Q42" s="110"/>
      <c r="R42" s="112" t="s">
        <v>795</v>
      </c>
      <c r="S42" s="127" t="s">
        <v>707</v>
      </c>
      <c r="T42" s="110"/>
      <c r="U42" s="112" t="s">
        <v>695</v>
      </c>
      <c r="V42" s="127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3"/>
    </row>
    <row r="43">
      <c r="A43" s="122" t="s">
        <v>647</v>
      </c>
      <c r="B43" s="123" t="s">
        <v>695</v>
      </c>
      <c r="C43" s="129" t="s">
        <v>796</v>
      </c>
      <c r="D43" s="123" t="str">
        <f t="shared" si="1"/>
        <v>S12 - Spinning / Rolling Machine</v>
      </c>
      <c r="E43" s="125" t="s">
        <v>776</v>
      </c>
      <c r="F43" s="123"/>
      <c r="G43" s="125" t="s">
        <v>756</v>
      </c>
      <c r="H43" s="125">
        <v>2014.0</v>
      </c>
      <c r="I43" s="125" t="s">
        <v>726</v>
      </c>
      <c r="J43" s="123"/>
      <c r="K43" s="125" t="s">
        <v>727</v>
      </c>
      <c r="L43" s="123"/>
      <c r="M43" s="128"/>
      <c r="N43" s="125" t="s">
        <v>727</v>
      </c>
      <c r="O43" s="110"/>
      <c r="P43" s="110"/>
      <c r="Q43" s="110"/>
      <c r="R43" s="112"/>
      <c r="S43" s="127"/>
      <c r="T43" s="110"/>
      <c r="U43" s="112"/>
      <c r="V43" s="127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3"/>
    </row>
    <row r="44">
      <c r="A44" s="122" t="s">
        <v>647</v>
      </c>
      <c r="B44" s="123" t="s">
        <v>696</v>
      </c>
      <c r="C44" s="129" t="s">
        <v>797</v>
      </c>
      <c r="D44" s="123" t="str">
        <f t="shared" si="1"/>
        <v>S13 - Spinning / Rolling Machine</v>
      </c>
      <c r="E44" s="125" t="s">
        <v>776</v>
      </c>
      <c r="F44" s="123"/>
      <c r="G44" s="125" t="s">
        <v>756</v>
      </c>
      <c r="H44" s="125">
        <v>2014.0</v>
      </c>
      <c r="I44" s="125" t="s">
        <v>726</v>
      </c>
      <c r="J44" s="123"/>
      <c r="K44" s="125" t="s">
        <v>727</v>
      </c>
      <c r="L44" s="123"/>
      <c r="M44" s="128"/>
      <c r="N44" s="125" t="s">
        <v>727</v>
      </c>
      <c r="O44" s="110"/>
      <c r="P44" s="110"/>
      <c r="Q44" s="110"/>
      <c r="R44" s="112" t="s">
        <v>798</v>
      </c>
      <c r="S44" s="127" t="s">
        <v>707</v>
      </c>
      <c r="T44" s="110"/>
      <c r="U44" s="112" t="s">
        <v>696</v>
      </c>
      <c r="V44" s="127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3"/>
    </row>
    <row r="45">
      <c r="A45" s="122" t="s">
        <v>647</v>
      </c>
      <c r="B45" s="123" t="s">
        <v>697</v>
      </c>
      <c r="C45" s="129" t="s">
        <v>799</v>
      </c>
      <c r="D45" s="123" t="str">
        <f t="shared" si="1"/>
        <v>S14 - Spinning / Rolling Machine</v>
      </c>
      <c r="E45" s="125" t="s">
        <v>776</v>
      </c>
      <c r="F45" s="123"/>
      <c r="G45" s="125" t="s">
        <v>756</v>
      </c>
      <c r="H45" s="125">
        <v>2014.0</v>
      </c>
      <c r="I45" s="125" t="s">
        <v>726</v>
      </c>
      <c r="J45" s="123"/>
      <c r="K45" s="125" t="s">
        <v>727</v>
      </c>
      <c r="L45" s="123"/>
      <c r="M45" s="128"/>
      <c r="N45" s="125" t="s">
        <v>727</v>
      </c>
      <c r="O45" s="110"/>
      <c r="P45" s="110"/>
      <c r="Q45" s="110"/>
      <c r="R45" s="110"/>
      <c r="S45" s="110"/>
      <c r="T45" s="110"/>
      <c r="U45" s="110" t="s">
        <v>697</v>
      </c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3"/>
    </row>
    <row r="46">
      <c r="A46" s="122" t="s">
        <v>647</v>
      </c>
      <c r="B46" s="123" t="s">
        <v>697</v>
      </c>
      <c r="C46" s="124" t="s">
        <v>784</v>
      </c>
      <c r="D46" s="123" t="str">
        <f t="shared" si="1"/>
        <v>S14 - Spinning / Rolling Machine</v>
      </c>
      <c r="E46" s="125" t="s">
        <v>776</v>
      </c>
      <c r="F46" s="123"/>
      <c r="G46" s="125" t="s">
        <v>756</v>
      </c>
      <c r="H46" s="125">
        <v>2014.0</v>
      </c>
      <c r="I46" s="125" t="s">
        <v>726</v>
      </c>
      <c r="J46" s="123"/>
      <c r="K46" s="125" t="s">
        <v>727</v>
      </c>
      <c r="L46" s="123"/>
      <c r="M46" s="128"/>
      <c r="N46" s="125" t="s">
        <v>727</v>
      </c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3"/>
    </row>
    <row r="47">
      <c r="A47" s="134" t="s">
        <v>647</v>
      </c>
      <c r="B47" s="135" t="s">
        <v>698</v>
      </c>
      <c r="C47" s="136" t="s">
        <v>800</v>
      </c>
      <c r="D47" s="137" t="str">
        <f t="shared" si="1"/>
        <v>S15 - Spinning / Rolling Machine</v>
      </c>
      <c r="E47" s="138" t="s">
        <v>776</v>
      </c>
      <c r="F47" s="139"/>
      <c r="G47" s="138" t="s">
        <v>756</v>
      </c>
      <c r="H47" s="138">
        <v>2018.0</v>
      </c>
      <c r="I47" s="138" t="s">
        <v>726</v>
      </c>
      <c r="J47" s="139"/>
      <c r="K47" s="138" t="s">
        <v>727</v>
      </c>
      <c r="L47" s="139"/>
      <c r="M47" s="139"/>
      <c r="N47" s="138" t="s">
        <v>727</v>
      </c>
      <c r="O47" s="140"/>
      <c r="P47" s="140"/>
      <c r="Q47" s="140"/>
      <c r="R47" s="140"/>
      <c r="S47" s="140"/>
      <c r="T47" s="140"/>
      <c r="U47" s="140" t="s">
        <v>699</v>
      </c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</row>
    <row r="48">
      <c r="A48" s="122" t="s">
        <v>647</v>
      </c>
      <c r="B48" s="123" t="s">
        <v>698</v>
      </c>
      <c r="C48" s="124" t="s">
        <v>801</v>
      </c>
      <c r="D48" s="123" t="str">
        <f t="shared" si="1"/>
        <v>S15 - Spinning / Rolling Machine</v>
      </c>
      <c r="E48" s="125" t="s">
        <v>776</v>
      </c>
      <c r="F48" s="123"/>
      <c r="G48" s="125" t="s">
        <v>756</v>
      </c>
      <c r="H48" s="125">
        <v>2018.0</v>
      </c>
      <c r="I48" s="125" t="s">
        <v>726</v>
      </c>
      <c r="J48" s="123"/>
      <c r="K48" s="125" t="s">
        <v>727</v>
      </c>
      <c r="L48" s="123"/>
      <c r="M48" s="128"/>
      <c r="N48" s="125" t="s">
        <v>727</v>
      </c>
      <c r="O48" s="110"/>
      <c r="P48" s="110"/>
      <c r="Q48" s="110"/>
      <c r="R48" s="110"/>
      <c r="S48" s="110"/>
      <c r="T48" s="110"/>
      <c r="U48" s="110" t="s">
        <v>698</v>
      </c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3"/>
    </row>
    <row r="49">
      <c r="A49" s="122" t="s">
        <v>647</v>
      </c>
      <c r="B49" s="123" t="s">
        <v>699</v>
      </c>
      <c r="C49" s="129" t="s">
        <v>783</v>
      </c>
      <c r="D49" s="123" t="str">
        <f t="shared" si="1"/>
        <v>S16 - Spinning / Rolling Machine</v>
      </c>
      <c r="E49" s="125" t="s">
        <v>776</v>
      </c>
      <c r="F49" s="123"/>
      <c r="G49" s="125" t="s">
        <v>756</v>
      </c>
      <c r="H49" s="125">
        <v>2018.0</v>
      </c>
      <c r="I49" s="125" t="s">
        <v>726</v>
      </c>
      <c r="J49" s="123"/>
      <c r="K49" s="125" t="s">
        <v>727</v>
      </c>
      <c r="L49" s="123"/>
      <c r="M49" s="128"/>
      <c r="N49" s="125" t="s">
        <v>727</v>
      </c>
      <c r="O49" s="110"/>
      <c r="P49" s="110"/>
      <c r="Q49" s="110"/>
      <c r="R49" s="110"/>
      <c r="S49" s="110"/>
      <c r="T49" s="110"/>
      <c r="U49" s="110" t="s">
        <v>699</v>
      </c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3"/>
    </row>
    <row r="50">
      <c r="A50" s="122" t="s">
        <v>647</v>
      </c>
      <c r="B50" s="125" t="s">
        <v>802</v>
      </c>
      <c r="C50" s="129"/>
      <c r="D50" s="123" t="str">
        <f t="shared" si="1"/>
        <v>S17 - Spinning / Rolling Machine</v>
      </c>
      <c r="E50" s="125" t="s">
        <v>776</v>
      </c>
      <c r="F50" s="123"/>
      <c r="G50" s="125" t="s">
        <v>756</v>
      </c>
      <c r="H50" s="125">
        <v>2018.0</v>
      </c>
      <c r="I50" s="125" t="s">
        <v>726</v>
      </c>
      <c r="J50" s="123"/>
      <c r="K50" s="125" t="s">
        <v>727</v>
      </c>
      <c r="L50" s="123"/>
      <c r="M50" s="128"/>
      <c r="N50" s="125" t="s">
        <v>727</v>
      </c>
      <c r="O50" s="110"/>
      <c r="P50" s="110"/>
      <c r="Q50" s="110"/>
      <c r="R50" s="110"/>
      <c r="S50" s="110"/>
      <c r="T50" s="110"/>
      <c r="U50" s="110" t="s">
        <v>699</v>
      </c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3"/>
    </row>
    <row r="51">
      <c r="A51" s="122" t="s">
        <v>647</v>
      </c>
      <c r="B51" s="125" t="s">
        <v>802</v>
      </c>
      <c r="C51" s="129" t="s">
        <v>803</v>
      </c>
      <c r="D51" s="123" t="str">
        <f t="shared" si="1"/>
        <v>S17 - Spinning / Rolling Machine</v>
      </c>
      <c r="E51" s="125" t="s">
        <v>776</v>
      </c>
      <c r="F51" s="123"/>
      <c r="G51" s="125" t="s">
        <v>756</v>
      </c>
      <c r="H51" s="125">
        <v>2018.0</v>
      </c>
      <c r="I51" s="125" t="s">
        <v>726</v>
      </c>
      <c r="J51" s="123"/>
      <c r="K51" s="125" t="s">
        <v>727</v>
      </c>
      <c r="L51" s="123"/>
      <c r="M51" s="128"/>
      <c r="N51" s="125" t="s">
        <v>727</v>
      </c>
      <c r="O51" s="110"/>
      <c r="P51" s="110"/>
      <c r="Q51" s="110"/>
      <c r="R51" s="110"/>
      <c r="S51" s="110"/>
      <c r="T51" s="110"/>
      <c r="U51" s="110" t="s">
        <v>699</v>
      </c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3"/>
    </row>
    <row r="52">
      <c r="A52" s="122" t="s">
        <v>647</v>
      </c>
      <c r="B52" s="125" t="s">
        <v>802</v>
      </c>
      <c r="C52" s="129" t="s">
        <v>796</v>
      </c>
      <c r="D52" s="123" t="str">
        <f t="shared" si="1"/>
        <v>S17 - Spinning / Rolling Machine</v>
      </c>
      <c r="E52" s="125" t="s">
        <v>776</v>
      </c>
      <c r="F52" s="123"/>
      <c r="G52" s="125" t="s">
        <v>756</v>
      </c>
      <c r="H52" s="125">
        <v>2025.0</v>
      </c>
      <c r="I52" s="125" t="s">
        <v>726</v>
      </c>
      <c r="J52" s="123"/>
      <c r="K52" s="125" t="s">
        <v>727</v>
      </c>
      <c r="L52" s="123"/>
      <c r="M52" s="128"/>
      <c r="N52" s="125" t="s">
        <v>727</v>
      </c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3"/>
    </row>
    <row r="53">
      <c r="A53" s="122" t="s">
        <v>648</v>
      </c>
      <c r="B53" s="123" t="s">
        <v>700</v>
      </c>
      <c r="C53" s="129" t="s">
        <v>764</v>
      </c>
      <c r="D53" s="123" t="str">
        <f t="shared" si="1"/>
        <v>C01 - Cutting Machine</v>
      </c>
      <c r="E53" s="125" t="s">
        <v>609</v>
      </c>
      <c r="F53" s="123"/>
      <c r="G53" s="125" t="s">
        <v>756</v>
      </c>
      <c r="H53" s="125">
        <v>2010.0</v>
      </c>
      <c r="I53" s="125" t="s">
        <v>726</v>
      </c>
      <c r="J53" s="123"/>
      <c r="K53" s="125" t="s">
        <v>727</v>
      </c>
      <c r="L53" s="123"/>
      <c r="M53" s="128"/>
      <c r="N53" s="125" t="s">
        <v>727</v>
      </c>
      <c r="O53" s="110"/>
      <c r="P53" s="110"/>
      <c r="Q53" s="110"/>
      <c r="R53" s="110"/>
      <c r="S53" s="110"/>
      <c r="T53" s="110"/>
      <c r="U53" s="110" t="s">
        <v>700</v>
      </c>
      <c r="V53" s="110" t="s">
        <v>788</v>
      </c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3"/>
    </row>
    <row r="54">
      <c r="A54" s="122" t="s">
        <v>648</v>
      </c>
      <c r="B54" s="123" t="s">
        <v>700</v>
      </c>
      <c r="C54" s="129" t="s">
        <v>804</v>
      </c>
      <c r="D54" s="123" t="str">
        <f t="shared" si="1"/>
        <v>C01 - Cutting Machine</v>
      </c>
      <c r="E54" s="125" t="s">
        <v>609</v>
      </c>
      <c r="F54" s="123"/>
      <c r="G54" s="125" t="s">
        <v>756</v>
      </c>
      <c r="H54" s="125">
        <v>2010.0</v>
      </c>
      <c r="I54" s="125" t="s">
        <v>726</v>
      </c>
      <c r="J54" s="123"/>
      <c r="K54" s="125" t="s">
        <v>727</v>
      </c>
      <c r="L54" s="123"/>
      <c r="M54" s="128"/>
      <c r="N54" s="125" t="s">
        <v>727</v>
      </c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3"/>
    </row>
    <row r="55">
      <c r="A55" s="122" t="s">
        <v>648</v>
      </c>
      <c r="B55" s="123" t="s">
        <v>700</v>
      </c>
      <c r="C55" s="129" t="s">
        <v>805</v>
      </c>
      <c r="D55" s="123" t="str">
        <f t="shared" si="1"/>
        <v>C01 - Cutting Machine</v>
      </c>
      <c r="E55" s="125" t="s">
        <v>609</v>
      </c>
      <c r="F55" s="123"/>
      <c r="G55" s="125" t="s">
        <v>756</v>
      </c>
      <c r="H55" s="125">
        <v>2010.0</v>
      </c>
      <c r="I55" s="125" t="s">
        <v>726</v>
      </c>
      <c r="J55" s="123"/>
      <c r="K55" s="125" t="s">
        <v>727</v>
      </c>
      <c r="L55" s="123"/>
      <c r="M55" s="128"/>
      <c r="N55" s="125" t="s">
        <v>727</v>
      </c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3"/>
    </row>
    <row r="56">
      <c r="A56" s="122" t="s">
        <v>648</v>
      </c>
      <c r="B56" s="123" t="s">
        <v>702</v>
      </c>
      <c r="C56" s="129" t="s">
        <v>806</v>
      </c>
      <c r="D56" s="123" t="str">
        <f t="shared" si="1"/>
        <v>C02 - Cutting Machine</v>
      </c>
      <c r="E56" s="125" t="s">
        <v>609</v>
      </c>
      <c r="F56" s="123"/>
      <c r="G56" s="125" t="s">
        <v>756</v>
      </c>
      <c r="H56" s="125">
        <v>2010.0</v>
      </c>
      <c r="I56" s="125" t="s">
        <v>726</v>
      </c>
      <c r="J56" s="123"/>
      <c r="K56" s="125" t="s">
        <v>727</v>
      </c>
      <c r="L56" s="123"/>
      <c r="M56" s="128"/>
      <c r="N56" s="125" t="s">
        <v>727</v>
      </c>
      <c r="O56" s="110"/>
      <c r="P56" s="110"/>
      <c r="Q56" s="110"/>
      <c r="R56" s="110"/>
      <c r="S56" s="110"/>
      <c r="T56" s="110"/>
      <c r="U56" s="110" t="s">
        <v>702</v>
      </c>
      <c r="V56" s="110" t="s">
        <v>790</v>
      </c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3"/>
    </row>
    <row r="57">
      <c r="A57" s="122" t="s">
        <v>648</v>
      </c>
      <c r="B57" s="123" t="s">
        <v>703</v>
      </c>
      <c r="C57" s="129" t="s">
        <v>807</v>
      </c>
      <c r="D57" s="123" t="str">
        <f t="shared" si="1"/>
        <v>C03 - Cutting Machine</v>
      </c>
      <c r="E57" s="125" t="s">
        <v>609</v>
      </c>
      <c r="F57" s="123"/>
      <c r="G57" s="125" t="s">
        <v>756</v>
      </c>
      <c r="H57" s="125">
        <v>2010.0</v>
      </c>
      <c r="I57" s="125" t="s">
        <v>726</v>
      </c>
      <c r="J57" s="123"/>
      <c r="K57" s="125" t="s">
        <v>727</v>
      </c>
      <c r="L57" s="123"/>
      <c r="M57" s="128"/>
      <c r="N57" s="125" t="s">
        <v>727</v>
      </c>
      <c r="O57" s="110"/>
      <c r="P57" s="110"/>
      <c r="Q57" s="110"/>
      <c r="R57" s="110"/>
      <c r="S57" s="110"/>
      <c r="T57" s="110"/>
      <c r="U57" s="110" t="s">
        <v>703</v>
      </c>
      <c r="V57" s="110" t="s">
        <v>791</v>
      </c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3"/>
    </row>
    <row r="58">
      <c r="A58" s="122" t="s">
        <v>648</v>
      </c>
      <c r="B58" s="123" t="s">
        <v>703</v>
      </c>
      <c r="C58" s="129" t="s">
        <v>808</v>
      </c>
      <c r="D58" s="123" t="str">
        <f t="shared" si="1"/>
        <v>C03 - Cutting Machine</v>
      </c>
      <c r="E58" s="125" t="s">
        <v>609</v>
      </c>
      <c r="F58" s="123"/>
      <c r="G58" s="125" t="s">
        <v>756</v>
      </c>
      <c r="H58" s="125">
        <v>2010.0</v>
      </c>
      <c r="I58" s="125" t="s">
        <v>726</v>
      </c>
      <c r="J58" s="123"/>
      <c r="K58" s="125" t="s">
        <v>727</v>
      </c>
      <c r="L58" s="123"/>
      <c r="M58" s="128"/>
      <c r="N58" s="125" t="s">
        <v>727</v>
      </c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3"/>
    </row>
    <row r="59">
      <c r="A59" s="122" t="s">
        <v>648</v>
      </c>
      <c r="B59" s="123" t="s">
        <v>703</v>
      </c>
      <c r="C59" s="129" t="s">
        <v>809</v>
      </c>
      <c r="D59" s="123" t="str">
        <f t="shared" si="1"/>
        <v>C03 - Cutting Machine</v>
      </c>
      <c r="E59" s="125" t="s">
        <v>609</v>
      </c>
      <c r="F59" s="123"/>
      <c r="G59" s="125" t="s">
        <v>756</v>
      </c>
      <c r="H59" s="125">
        <v>2010.0</v>
      </c>
      <c r="I59" s="125" t="s">
        <v>726</v>
      </c>
      <c r="J59" s="123"/>
      <c r="K59" s="125" t="s">
        <v>727</v>
      </c>
      <c r="L59" s="123"/>
      <c r="M59" s="128"/>
      <c r="N59" s="125" t="s">
        <v>727</v>
      </c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3"/>
    </row>
    <row r="60">
      <c r="A60" s="122" t="s">
        <v>648</v>
      </c>
      <c r="B60" s="123" t="s">
        <v>703</v>
      </c>
      <c r="C60" s="129" t="s">
        <v>810</v>
      </c>
      <c r="D60" s="123" t="str">
        <f t="shared" si="1"/>
        <v>C03 - Cutting Machine</v>
      </c>
      <c r="E60" s="125" t="s">
        <v>609</v>
      </c>
      <c r="F60" s="123"/>
      <c r="G60" s="125" t="s">
        <v>756</v>
      </c>
      <c r="H60" s="125">
        <v>2010.0</v>
      </c>
      <c r="I60" s="125" t="s">
        <v>726</v>
      </c>
      <c r="J60" s="123"/>
      <c r="K60" s="125" t="s">
        <v>727</v>
      </c>
      <c r="L60" s="123"/>
      <c r="M60" s="128"/>
      <c r="N60" s="125" t="s">
        <v>727</v>
      </c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3"/>
    </row>
    <row r="61">
      <c r="A61" s="122" t="s">
        <v>648</v>
      </c>
      <c r="B61" s="123" t="s">
        <v>703</v>
      </c>
      <c r="C61" s="129" t="s">
        <v>811</v>
      </c>
      <c r="D61" s="123" t="str">
        <f t="shared" si="1"/>
        <v>C03 - Cutting Machine</v>
      </c>
      <c r="E61" s="125" t="s">
        <v>609</v>
      </c>
      <c r="F61" s="123"/>
      <c r="G61" s="125" t="s">
        <v>756</v>
      </c>
      <c r="H61" s="125">
        <v>2010.0</v>
      </c>
      <c r="I61" s="125" t="s">
        <v>726</v>
      </c>
      <c r="J61" s="123"/>
      <c r="K61" s="125" t="s">
        <v>727</v>
      </c>
      <c r="L61" s="123"/>
      <c r="M61" s="128"/>
      <c r="N61" s="125" t="s">
        <v>727</v>
      </c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3"/>
    </row>
    <row r="62">
      <c r="A62" s="122" t="s">
        <v>648</v>
      </c>
      <c r="B62" s="123" t="s">
        <v>703</v>
      </c>
      <c r="C62" s="129" t="s">
        <v>812</v>
      </c>
      <c r="D62" s="123" t="str">
        <f t="shared" si="1"/>
        <v>C03 - Cutting Machine</v>
      </c>
      <c r="E62" s="125" t="s">
        <v>609</v>
      </c>
      <c r="F62" s="123"/>
      <c r="G62" s="125" t="s">
        <v>756</v>
      </c>
      <c r="H62" s="125">
        <v>2010.0</v>
      </c>
      <c r="I62" s="125" t="s">
        <v>726</v>
      </c>
      <c r="J62" s="123"/>
      <c r="K62" s="125" t="s">
        <v>727</v>
      </c>
      <c r="L62" s="123"/>
      <c r="M62" s="128"/>
      <c r="N62" s="125" t="s">
        <v>727</v>
      </c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3"/>
    </row>
    <row r="63">
      <c r="A63" s="122" t="s">
        <v>648</v>
      </c>
      <c r="B63" s="123" t="s">
        <v>704</v>
      </c>
      <c r="C63" s="129" t="s">
        <v>813</v>
      </c>
      <c r="D63" s="123" t="str">
        <f t="shared" si="1"/>
        <v>C04 - Cutting Machine</v>
      </c>
      <c r="E63" s="125" t="s">
        <v>609</v>
      </c>
      <c r="F63" s="123"/>
      <c r="G63" s="125" t="s">
        <v>756</v>
      </c>
      <c r="H63" s="125">
        <v>2010.0</v>
      </c>
      <c r="I63" s="125" t="s">
        <v>726</v>
      </c>
      <c r="J63" s="123"/>
      <c r="K63" s="125" t="s">
        <v>727</v>
      </c>
      <c r="L63" s="123"/>
      <c r="M63" s="128"/>
      <c r="N63" s="125" t="s">
        <v>727</v>
      </c>
      <c r="O63" s="110"/>
      <c r="P63" s="110"/>
      <c r="Q63" s="110"/>
      <c r="R63" s="110"/>
      <c r="S63" s="110"/>
      <c r="T63" s="110"/>
      <c r="U63" s="110" t="s">
        <v>704</v>
      </c>
      <c r="V63" s="110" t="s">
        <v>793</v>
      </c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3"/>
    </row>
    <row r="64">
      <c r="A64" s="122" t="s">
        <v>648</v>
      </c>
      <c r="B64" s="123" t="s">
        <v>704</v>
      </c>
      <c r="C64" s="129" t="s">
        <v>814</v>
      </c>
      <c r="D64" s="123" t="str">
        <f t="shared" si="1"/>
        <v>C04 - Cutting Machine</v>
      </c>
      <c r="E64" s="125" t="s">
        <v>609</v>
      </c>
      <c r="F64" s="125"/>
      <c r="G64" s="125" t="s">
        <v>756</v>
      </c>
      <c r="H64" s="125">
        <v>2010.0</v>
      </c>
      <c r="I64" s="125" t="s">
        <v>726</v>
      </c>
      <c r="J64" s="125"/>
      <c r="K64" s="125" t="s">
        <v>727</v>
      </c>
      <c r="L64" s="125"/>
      <c r="M64" s="130"/>
      <c r="N64" s="125" t="s">
        <v>727</v>
      </c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3"/>
    </row>
    <row r="65">
      <c r="A65" s="122" t="s">
        <v>648</v>
      </c>
      <c r="B65" s="125" t="s">
        <v>815</v>
      </c>
      <c r="C65" s="129" t="s">
        <v>816</v>
      </c>
      <c r="D65" s="123" t="str">
        <f t="shared" si="1"/>
        <v>C05 - Cutting Machine</v>
      </c>
      <c r="E65" s="125" t="s">
        <v>609</v>
      </c>
      <c r="F65" s="125"/>
      <c r="G65" s="125" t="s">
        <v>756</v>
      </c>
      <c r="H65" s="125">
        <v>2024.0</v>
      </c>
      <c r="I65" s="125" t="s">
        <v>726</v>
      </c>
      <c r="J65" s="125"/>
      <c r="K65" s="125" t="s">
        <v>727</v>
      </c>
      <c r="L65" s="125"/>
      <c r="M65" s="130"/>
      <c r="N65" s="125" t="s">
        <v>727</v>
      </c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3"/>
    </row>
    <row r="66">
      <c r="A66" s="122" t="s">
        <v>648</v>
      </c>
      <c r="B66" s="125" t="s">
        <v>815</v>
      </c>
      <c r="C66" s="129" t="s">
        <v>817</v>
      </c>
      <c r="D66" s="123" t="str">
        <f t="shared" si="1"/>
        <v>C05 - Cutting Machine</v>
      </c>
      <c r="E66" s="125" t="s">
        <v>609</v>
      </c>
      <c r="F66" s="125"/>
      <c r="G66" s="125" t="s">
        <v>756</v>
      </c>
      <c r="H66" s="125">
        <v>2024.0</v>
      </c>
      <c r="I66" s="125" t="s">
        <v>726</v>
      </c>
      <c r="J66" s="125"/>
      <c r="K66" s="125" t="s">
        <v>727</v>
      </c>
      <c r="L66" s="125"/>
      <c r="M66" s="130"/>
      <c r="N66" s="125" t="s">
        <v>727</v>
      </c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3"/>
    </row>
    <row r="67">
      <c r="A67" s="122" t="s">
        <v>648</v>
      </c>
      <c r="B67" s="125" t="s">
        <v>815</v>
      </c>
      <c r="C67" s="129" t="s">
        <v>818</v>
      </c>
      <c r="D67" s="123" t="str">
        <f t="shared" si="1"/>
        <v>C05 - Cutting Machine</v>
      </c>
      <c r="E67" s="125" t="s">
        <v>609</v>
      </c>
      <c r="F67" s="125"/>
      <c r="G67" s="125" t="s">
        <v>756</v>
      </c>
      <c r="H67" s="125">
        <v>2024.0</v>
      </c>
      <c r="I67" s="125" t="s">
        <v>726</v>
      </c>
      <c r="J67" s="125"/>
      <c r="K67" s="125" t="s">
        <v>727</v>
      </c>
      <c r="L67" s="125"/>
      <c r="M67" s="130"/>
      <c r="N67" s="125" t="s">
        <v>727</v>
      </c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3"/>
    </row>
    <row r="68">
      <c r="A68" s="122" t="s">
        <v>648</v>
      </c>
      <c r="B68" s="125" t="s">
        <v>815</v>
      </c>
      <c r="C68" s="129" t="s">
        <v>819</v>
      </c>
      <c r="D68" s="123" t="str">
        <f t="shared" si="1"/>
        <v>C05 - Cutting Machine</v>
      </c>
      <c r="E68" s="125" t="s">
        <v>609</v>
      </c>
      <c r="F68" s="125"/>
      <c r="G68" s="125" t="s">
        <v>756</v>
      </c>
      <c r="H68" s="125">
        <v>2024.0</v>
      </c>
      <c r="I68" s="125" t="s">
        <v>726</v>
      </c>
      <c r="J68" s="125"/>
      <c r="K68" s="125" t="s">
        <v>727</v>
      </c>
      <c r="L68" s="125"/>
      <c r="M68" s="130"/>
      <c r="N68" s="125" t="s">
        <v>727</v>
      </c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3"/>
    </row>
    <row r="69">
      <c r="A69" s="122" t="s">
        <v>648</v>
      </c>
      <c r="B69" s="125" t="s">
        <v>815</v>
      </c>
      <c r="C69" s="129" t="s">
        <v>820</v>
      </c>
      <c r="D69" s="123" t="str">
        <f t="shared" si="1"/>
        <v>C05 - Cutting Machine</v>
      </c>
      <c r="E69" s="125" t="s">
        <v>609</v>
      </c>
      <c r="F69" s="125"/>
      <c r="G69" s="125" t="s">
        <v>756</v>
      </c>
      <c r="H69" s="125">
        <v>2024.0</v>
      </c>
      <c r="I69" s="125" t="s">
        <v>726</v>
      </c>
      <c r="J69" s="125"/>
      <c r="K69" s="125" t="s">
        <v>727</v>
      </c>
      <c r="L69" s="125"/>
      <c r="M69" s="130"/>
      <c r="N69" s="125" t="s">
        <v>727</v>
      </c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3"/>
    </row>
    <row r="70">
      <c r="A70" s="122" t="s">
        <v>648</v>
      </c>
      <c r="B70" s="125" t="s">
        <v>815</v>
      </c>
      <c r="C70" s="129" t="s">
        <v>821</v>
      </c>
      <c r="D70" s="123" t="str">
        <f t="shared" si="1"/>
        <v>C05 - Cutting Machine</v>
      </c>
      <c r="E70" s="125" t="s">
        <v>609</v>
      </c>
      <c r="F70" s="125"/>
      <c r="G70" s="125" t="s">
        <v>756</v>
      </c>
      <c r="H70" s="125">
        <v>2024.0</v>
      </c>
      <c r="I70" s="125" t="s">
        <v>726</v>
      </c>
      <c r="J70" s="125"/>
      <c r="K70" s="125" t="s">
        <v>727</v>
      </c>
      <c r="L70" s="125"/>
      <c r="M70" s="130"/>
      <c r="N70" s="125" t="s">
        <v>727</v>
      </c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3"/>
    </row>
    <row r="71">
      <c r="A71" s="122" t="s">
        <v>648</v>
      </c>
      <c r="B71" s="125" t="s">
        <v>815</v>
      </c>
      <c r="C71" s="129" t="s">
        <v>822</v>
      </c>
      <c r="D71" s="123" t="str">
        <f t="shared" si="1"/>
        <v>C05 - Cutting Machine</v>
      </c>
      <c r="E71" s="125" t="s">
        <v>609</v>
      </c>
      <c r="F71" s="125"/>
      <c r="G71" s="125" t="s">
        <v>756</v>
      </c>
      <c r="H71" s="125">
        <v>2024.0</v>
      </c>
      <c r="I71" s="125" t="s">
        <v>726</v>
      </c>
      <c r="J71" s="125"/>
      <c r="K71" s="125" t="s">
        <v>727</v>
      </c>
      <c r="L71" s="125"/>
      <c r="M71" s="130"/>
      <c r="N71" s="125" t="s">
        <v>727</v>
      </c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3"/>
    </row>
    <row r="72">
      <c r="A72" s="122" t="s">
        <v>648</v>
      </c>
      <c r="B72" s="125" t="s">
        <v>815</v>
      </c>
      <c r="C72" s="129" t="s">
        <v>773</v>
      </c>
      <c r="D72" s="123" t="str">
        <f t="shared" si="1"/>
        <v>C05 - Cutting Machine</v>
      </c>
      <c r="E72" s="125" t="s">
        <v>609</v>
      </c>
      <c r="F72" s="125"/>
      <c r="G72" s="125" t="s">
        <v>756</v>
      </c>
      <c r="H72" s="125">
        <v>2024.0</v>
      </c>
      <c r="I72" s="125" t="s">
        <v>726</v>
      </c>
      <c r="J72" s="123"/>
      <c r="K72" s="125" t="s">
        <v>727</v>
      </c>
      <c r="L72" s="123"/>
      <c r="M72" s="128"/>
      <c r="N72" s="125" t="s">
        <v>727</v>
      </c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3"/>
    </row>
    <row r="73">
      <c r="A73" s="122" t="s">
        <v>648</v>
      </c>
      <c r="B73" s="125" t="s">
        <v>823</v>
      </c>
      <c r="C73" s="129" t="s">
        <v>824</v>
      </c>
      <c r="D73" s="123" t="str">
        <f t="shared" si="1"/>
        <v>C06 - Cutting Machine</v>
      </c>
      <c r="E73" s="125" t="s">
        <v>609</v>
      </c>
      <c r="F73" s="123"/>
      <c r="G73" s="125" t="s">
        <v>756</v>
      </c>
      <c r="H73" s="125">
        <v>2025.0</v>
      </c>
      <c r="I73" s="125" t="s">
        <v>726</v>
      </c>
      <c r="J73" s="123"/>
      <c r="K73" s="125" t="s">
        <v>727</v>
      </c>
      <c r="L73" s="123"/>
      <c r="M73" s="128"/>
      <c r="N73" s="125" t="s">
        <v>727</v>
      </c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3"/>
    </row>
    <row r="74">
      <c r="A74" s="122" t="s">
        <v>648</v>
      </c>
      <c r="B74" s="125" t="s">
        <v>823</v>
      </c>
      <c r="C74" s="129" t="s">
        <v>825</v>
      </c>
      <c r="D74" s="123" t="str">
        <f t="shared" si="1"/>
        <v>C06 - Cutting Machine</v>
      </c>
      <c r="E74" s="125" t="s">
        <v>609</v>
      </c>
      <c r="F74" s="123"/>
      <c r="G74" s="125" t="s">
        <v>756</v>
      </c>
      <c r="H74" s="125">
        <v>2025.0</v>
      </c>
      <c r="I74" s="125" t="s">
        <v>726</v>
      </c>
      <c r="J74" s="123"/>
      <c r="K74" s="125" t="s">
        <v>727</v>
      </c>
      <c r="L74" s="123"/>
      <c r="M74" s="128"/>
      <c r="N74" s="125" t="s">
        <v>727</v>
      </c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3"/>
    </row>
    <row r="75">
      <c r="A75" s="122" t="s">
        <v>648</v>
      </c>
      <c r="B75" s="125" t="s">
        <v>823</v>
      </c>
      <c r="C75" s="129" t="s">
        <v>826</v>
      </c>
      <c r="D75" s="123" t="str">
        <f t="shared" si="1"/>
        <v>C06 - Cutting Machine</v>
      </c>
      <c r="E75" s="125" t="s">
        <v>609</v>
      </c>
      <c r="F75" s="123"/>
      <c r="G75" s="125" t="s">
        <v>756</v>
      </c>
      <c r="H75" s="125">
        <v>2025.0</v>
      </c>
      <c r="I75" s="125" t="s">
        <v>726</v>
      </c>
      <c r="J75" s="123"/>
      <c r="K75" s="125" t="s">
        <v>727</v>
      </c>
      <c r="L75" s="123"/>
      <c r="M75" s="128"/>
      <c r="N75" s="125" t="s">
        <v>727</v>
      </c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3"/>
    </row>
    <row r="76">
      <c r="A76" s="122" t="s">
        <v>706</v>
      </c>
      <c r="B76" s="123" t="s">
        <v>705</v>
      </c>
      <c r="C76" s="129" t="s">
        <v>827</v>
      </c>
      <c r="D76" s="123" t="str">
        <f t="shared" si="1"/>
        <v>L01 - Lathe Machine</v>
      </c>
      <c r="E76" s="125" t="s">
        <v>828</v>
      </c>
      <c r="F76" s="123"/>
      <c r="G76" s="125" t="s">
        <v>756</v>
      </c>
      <c r="H76" s="125">
        <v>2010.0</v>
      </c>
      <c r="I76" s="125" t="s">
        <v>726</v>
      </c>
      <c r="J76" s="123"/>
      <c r="K76" s="125" t="s">
        <v>727</v>
      </c>
      <c r="L76" s="123"/>
      <c r="M76" s="128"/>
      <c r="N76" s="125" t="s">
        <v>727</v>
      </c>
      <c r="O76" s="110"/>
      <c r="P76" s="110"/>
      <c r="Q76" s="110"/>
      <c r="R76" s="110"/>
      <c r="S76" s="110"/>
      <c r="T76" s="110"/>
      <c r="U76" s="110" t="s">
        <v>705</v>
      </c>
      <c r="V76" s="110" t="s">
        <v>795</v>
      </c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3"/>
    </row>
    <row r="77">
      <c r="A77" s="122" t="s">
        <v>706</v>
      </c>
      <c r="B77" s="123" t="s">
        <v>708</v>
      </c>
      <c r="C77" s="129" t="s">
        <v>829</v>
      </c>
      <c r="D77" s="123" t="str">
        <f t="shared" si="1"/>
        <v>L02 - Lathe Machine</v>
      </c>
      <c r="E77" s="125" t="s">
        <v>828</v>
      </c>
      <c r="F77" s="123"/>
      <c r="G77" s="125" t="s">
        <v>772</v>
      </c>
      <c r="H77" s="125">
        <v>2011.0</v>
      </c>
      <c r="I77" s="125" t="s">
        <v>726</v>
      </c>
      <c r="J77" s="123"/>
      <c r="K77" s="125" t="s">
        <v>727</v>
      </c>
      <c r="L77" s="123"/>
      <c r="M77" s="128"/>
      <c r="N77" s="125" t="s">
        <v>727</v>
      </c>
      <c r="O77" s="110"/>
      <c r="P77" s="110"/>
      <c r="Q77" s="110"/>
      <c r="R77" s="110"/>
      <c r="S77" s="110"/>
      <c r="T77" s="110"/>
      <c r="U77" s="110" t="s">
        <v>708</v>
      </c>
      <c r="V77" s="110" t="s">
        <v>798</v>
      </c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3"/>
    </row>
    <row r="78">
      <c r="A78" s="122" t="s">
        <v>706</v>
      </c>
      <c r="B78" s="123" t="s">
        <v>709</v>
      </c>
      <c r="C78" s="129"/>
      <c r="D78" s="123" t="str">
        <f t="shared" si="1"/>
        <v>L03 - Lathe Machine</v>
      </c>
      <c r="E78" s="125" t="s">
        <v>828</v>
      </c>
      <c r="F78" s="123"/>
      <c r="G78" s="125" t="s">
        <v>756</v>
      </c>
      <c r="H78" s="125">
        <v>2012.0</v>
      </c>
      <c r="I78" s="125" t="s">
        <v>726</v>
      </c>
      <c r="J78" s="123"/>
      <c r="K78" s="125" t="s">
        <v>727</v>
      </c>
      <c r="L78" s="123"/>
      <c r="M78" s="128"/>
      <c r="N78" s="125" t="s">
        <v>727</v>
      </c>
      <c r="O78" s="110"/>
      <c r="P78" s="110"/>
      <c r="Q78" s="110"/>
      <c r="R78" s="110"/>
      <c r="S78" s="110"/>
      <c r="T78" s="110"/>
      <c r="U78" s="110" t="s">
        <v>709</v>
      </c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3"/>
    </row>
    <row r="79">
      <c r="A79" s="122" t="s">
        <v>650</v>
      </c>
      <c r="B79" s="125" t="s">
        <v>830</v>
      </c>
      <c r="C79" s="129"/>
      <c r="D79" s="123" t="str">
        <f t="shared" si="1"/>
        <v>BF01 - Buffing Motor</v>
      </c>
      <c r="E79" s="125" t="s">
        <v>831</v>
      </c>
      <c r="F79" s="123"/>
      <c r="G79" s="125" t="s">
        <v>832</v>
      </c>
      <c r="H79" s="125">
        <v>2010.0</v>
      </c>
      <c r="I79" s="125" t="s">
        <v>726</v>
      </c>
      <c r="J79" s="123"/>
      <c r="K79" s="125" t="s">
        <v>727</v>
      </c>
      <c r="L79" s="123"/>
      <c r="M79" s="128"/>
      <c r="N79" s="125" t="s">
        <v>727</v>
      </c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3"/>
    </row>
    <row r="80">
      <c r="A80" s="122" t="s">
        <v>650</v>
      </c>
      <c r="B80" s="125" t="s">
        <v>833</v>
      </c>
      <c r="C80" s="129"/>
      <c r="D80" s="123" t="str">
        <f t="shared" si="1"/>
        <v>BF02 - Buffing Motor</v>
      </c>
      <c r="E80" s="125" t="s">
        <v>831</v>
      </c>
      <c r="F80" s="123"/>
      <c r="G80" s="125" t="s">
        <v>756</v>
      </c>
      <c r="H80" s="125">
        <v>2010.0</v>
      </c>
      <c r="I80" s="125" t="s">
        <v>726</v>
      </c>
      <c r="J80" s="123"/>
      <c r="K80" s="125" t="s">
        <v>727</v>
      </c>
      <c r="L80" s="123"/>
      <c r="M80" s="128"/>
      <c r="N80" s="125" t="s">
        <v>727</v>
      </c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3"/>
    </row>
    <row r="81">
      <c r="A81" s="122" t="s">
        <v>650</v>
      </c>
      <c r="B81" s="125" t="s">
        <v>834</v>
      </c>
      <c r="C81" s="129"/>
      <c r="D81" s="123" t="str">
        <f t="shared" si="1"/>
        <v>BF03 - Buffing Motor</v>
      </c>
      <c r="E81" s="125" t="s">
        <v>831</v>
      </c>
      <c r="F81" s="123"/>
      <c r="G81" s="125" t="s">
        <v>756</v>
      </c>
      <c r="H81" s="125">
        <v>2010.0</v>
      </c>
      <c r="I81" s="125" t="s">
        <v>726</v>
      </c>
      <c r="J81" s="123"/>
      <c r="K81" s="125" t="s">
        <v>727</v>
      </c>
      <c r="L81" s="123"/>
      <c r="M81" s="128"/>
      <c r="N81" s="125" t="s">
        <v>727</v>
      </c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3"/>
    </row>
    <row r="82">
      <c r="A82" s="122" t="s">
        <v>650</v>
      </c>
      <c r="B82" s="125" t="s">
        <v>835</v>
      </c>
      <c r="C82" s="129"/>
      <c r="D82" s="123" t="str">
        <f t="shared" si="1"/>
        <v>BF04 - Buffing Motor</v>
      </c>
      <c r="E82" s="125" t="s">
        <v>831</v>
      </c>
      <c r="F82" s="123"/>
      <c r="G82" s="125" t="s">
        <v>756</v>
      </c>
      <c r="H82" s="125">
        <v>2010.0</v>
      </c>
      <c r="I82" s="125" t="s">
        <v>726</v>
      </c>
      <c r="J82" s="123"/>
      <c r="K82" s="125" t="s">
        <v>727</v>
      </c>
      <c r="L82" s="123"/>
      <c r="M82" s="128"/>
      <c r="N82" s="125" t="s">
        <v>727</v>
      </c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3"/>
    </row>
    <row r="83">
      <c r="A83" s="122" t="s">
        <v>650</v>
      </c>
      <c r="B83" s="125" t="s">
        <v>836</v>
      </c>
      <c r="C83" s="129"/>
      <c r="D83" s="123" t="str">
        <f t="shared" si="1"/>
        <v>BF05 - Buffing Motor</v>
      </c>
      <c r="E83" s="125" t="s">
        <v>831</v>
      </c>
      <c r="F83" s="123"/>
      <c r="G83" s="125" t="s">
        <v>756</v>
      </c>
      <c r="H83" s="125">
        <v>2010.0</v>
      </c>
      <c r="I83" s="125" t="s">
        <v>726</v>
      </c>
      <c r="J83" s="123"/>
      <c r="K83" s="125" t="s">
        <v>727</v>
      </c>
      <c r="L83" s="123"/>
      <c r="M83" s="128"/>
      <c r="N83" s="125" t="s">
        <v>727</v>
      </c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3"/>
    </row>
    <row r="84">
      <c r="A84" s="122" t="s">
        <v>650</v>
      </c>
      <c r="B84" s="125" t="s">
        <v>837</v>
      </c>
      <c r="C84" s="129"/>
      <c r="D84" s="123" t="str">
        <f t="shared" si="1"/>
        <v>BF06 - Buffing Motor</v>
      </c>
      <c r="E84" s="125" t="s">
        <v>831</v>
      </c>
      <c r="F84" s="123"/>
      <c r="G84" s="125" t="s">
        <v>756</v>
      </c>
      <c r="H84" s="125">
        <v>2010.0</v>
      </c>
      <c r="I84" s="125" t="s">
        <v>726</v>
      </c>
      <c r="J84" s="123"/>
      <c r="K84" s="125" t="s">
        <v>727</v>
      </c>
      <c r="L84" s="123"/>
      <c r="M84" s="128"/>
      <c r="N84" s="125" t="s">
        <v>727</v>
      </c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3"/>
    </row>
    <row r="85">
      <c r="A85" s="122" t="s">
        <v>650</v>
      </c>
      <c r="B85" s="125" t="s">
        <v>838</v>
      </c>
      <c r="C85" s="129"/>
      <c r="D85" s="123" t="str">
        <f t="shared" si="1"/>
        <v>BF07 - Buffing Motor</v>
      </c>
      <c r="E85" s="125" t="s">
        <v>831</v>
      </c>
      <c r="F85" s="123"/>
      <c r="G85" s="125" t="s">
        <v>756</v>
      </c>
      <c r="H85" s="125">
        <v>2010.0</v>
      </c>
      <c r="I85" s="125" t="s">
        <v>726</v>
      </c>
      <c r="J85" s="123"/>
      <c r="K85" s="125" t="s">
        <v>727</v>
      </c>
      <c r="L85" s="123"/>
      <c r="M85" s="128"/>
      <c r="N85" s="125" t="s">
        <v>727</v>
      </c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3"/>
    </row>
    <row r="86">
      <c r="A86" s="122" t="s">
        <v>650</v>
      </c>
      <c r="B86" s="125" t="s">
        <v>839</v>
      </c>
      <c r="C86" s="129"/>
      <c r="D86" s="123" t="str">
        <f t="shared" si="1"/>
        <v>BF08 - Buffing Motor</v>
      </c>
      <c r="E86" s="125" t="s">
        <v>831</v>
      </c>
      <c r="F86" s="123"/>
      <c r="G86" s="125" t="s">
        <v>756</v>
      </c>
      <c r="H86" s="125">
        <v>2010.0</v>
      </c>
      <c r="I86" s="125" t="s">
        <v>726</v>
      </c>
      <c r="J86" s="123"/>
      <c r="K86" s="125" t="s">
        <v>727</v>
      </c>
      <c r="L86" s="123"/>
      <c r="M86" s="128"/>
      <c r="N86" s="125" t="s">
        <v>727</v>
      </c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3"/>
    </row>
    <row r="87">
      <c r="A87" s="122" t="s">
        <v>650</v>
      </c>
      <c r="B87" s="125" t="s">
        <v>840</v>
      </c>
      <c r="C87" s="129"/>
      <c r="D87" s="123" t="str">
        <f t="shared" si="1"/>
        <v>BF09 - Buffing Motor</v>
      </c>
      <c r="E87" s="125" t="s">
        <v>831</v>
      </c>
      <c r="F87" s="123"/>
      <c r="G87" s="125" t="s">
        <v>756</v>
      </c>
      <c r="H87" s="125">
        <v>2017.0</v>
      </c>
      <c r="I87" s="125" t="s">
        <v>726</v>
      </c>
      <c r="J87" s="123"/>
      <c r="K87" s="125" t="s">
        <v>727</v>
      </c>
      <c r="L87" s="123"/>
      <c r="M87" s="126" t="s">
        <v>728</v>
      </c>
      <c r="N87" s="125" t="s">
        <v>727</v>
      </c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3"/>
    </row>
    <row r="88">
      <c r="A88" s="122" t="s">
        <v>650</v>
      </c>
      <c r="B88" s="125" t="s">
        <v>841</v>
      </c>
      <c r="C88" s="129"/>
      <c r="D88" s="123" t="str">
        <f t="shared" si="1"/>
        <v>BF10 - Buffing Motor</v>
      </c>
      <c r="E88" s="125" t="s">
        <v>831</v>
      </c>
      <c r="F88" s="123"/>
      <c r="G88" s="125" t="s">
        <v>756</v>
      </c>
      <c r="H88" s="125">
        <v>2017.0</v>
      </c>
      <c r="I88" s="125" t="s">
        <v>726</v>
      </c>
      <c r="J88" s="123"/>
      <c r="K88" s="125" t="s">
        <v>727</v>
      </c>
      <c r="L88" s="123"/>
      <c r="M88" s="128"/>
      <c r="N88" s="125" t="s">
        <v>727</v>
      </c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3"/>
    </row>
    <row r="89">
      <c r="A89" s="122" t="s">
        <v>650</v>
      </c>
      <c r="B89" s="125" t="s">
        <v>842</v>
      </c>
      <c r="C89" s="129" t="s">
        <v>843</v>
      </c>
      <c r="D89" s="123" t="str">
        <f t="shared" si="1"/>
        <v>BF11 - Buffing Motor</v>
      </c>
      <c r="E89" s="125" t="s">
        <v>617</v>
      </c>
      <c r="F89" s="123"/>
      <c r="G89" s="125" t="s">
        <v>756</v>
      </c>
      <c r="H89" s="125">
        <v>2022.0</v>
      </c>
      <c r="I89" s="125" t="s">
        <v>726</v>
      </c>
      <c r="J89" s="123"/>
      <c r="K89" s="125" t="s">
        <v>727</v>
      </c>
      <c r="L89" s="123"/>
      <c r="M89" s="128"/>
      <c r="N89" s="125" t="s">
        <v>727</v>
      </c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3"/>
    </row>
    <row r="90">
      <c r="A90" s="122" t="s">
        <v>650</v>
      </c>
      <c r="B90" s="125" t="s">
        <v>844</v>
      </c>
      <c r="C90" s="129" t="s">
        <v>845</v>
      </c>
      <c r="D90" s="123" t="str">
        <f t="shared" si="1"/>
        <v>BF12 - Buffing Motor</v>
      </c>
      <c r="E90" s="125" t="s">
        <v>617</v>
      </c>
      <c r="F90" s="123"/>
      <c r="G90" s="125" t="s">
        <v>756</v>
      </c>
      <c r="H90" s="125">
        <v>2022.0</v>
      </c>
      <c r="I90" s="125" t="s">
        <v>726</v>
      </c>
      <c r="J90" s="123"/>
      <c r="K90" s="125" t="s">
        <v>727</v>
      </c>
      <c r="L90" s="123"/>
      <c r="M90" s="128"/>
      <c r="N90" s="125" t="s">
        <v>727</v>
      </c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3"/>
    </row>
    <row r="91">
      <c r="A91" s="122" t="s">
        <v>650</v>
      </c>
      <c r="B91" s="125" t="s">
        <v>846</v>
      </c>
      <c r="C91" s="129" t="s">
        <v>847</v>
      </c>
      <c r="D91" s="123" t="str">
        <f t="shared" si="1"/>
        <v>BF13 - Buffing Motor</v>
      </c>
      <c r="E91" s="125" t="s">
        <v>617</v>
      </c>
      <c r="F91" s="123"/>
      <c r="G91" s="125" t="s">
        <v>756</v>
      </c>
      <c r="H91" s="125">
        <v>2022.0</v>
      </c>
      <c r="I91" s="125" t="s">
        <v>726</v>
      </c>
      <c r="J91" s="123"/>
      <c r="K91" s="125" t="s">
        <v>727</v>
      </c>
      <c r="L91" s="123"/>
      <c r="M91" s="128"/>
      <c r="N91" s="125" t="s">
        <v>727</v>
      </c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3"/>
    </row>
    <row r="92">
      <c r="A92" s="122" t="s">
        <v>650</v>
      </c>
      <c r="B92" s="125" t="s">
        <v>848</v>
      </c>
      <c r="C92" s="129" t="s">
        <v>849</v>
      </c>
      <c r="D92" s="123" t="str">
        <f t="shared" si="1"/>
        <v>BF14 - Buffing Motor</v>
      </c>
      <c r="E92" s="125" t="s">
        <v>617</v>
      </c>
      <c r="F92" s="123"/>
      <c r="G92" s="125" t="s">
        <v>756</v>
      </c>
      <c r="H92" s="125">
        <v>2022.0</v>
      </c>
      <c r="I92" s="125" t="s">
        <v>726</v>
      </c>
      <c r="J92" s="123"/>
      <c r="K92" s="125" t="s">
        <v>727</v>
      </c>
      <c r="L92" s="123"/>
      <c r="M92" s="128"/>
      <c r="N92" s="125" t="s">
        <v>727</v>
      </c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3"/>
    </row>
    <row r="93">
      <c r="A93" s="122" t="s">
        <v>650</v>
      </c>
      <c r="B93" s="125" t="s">
        <v>850</v>
      </c>
      <c r="C93" s="129"/>
      <c r="D93" s="123" t="str">
        <f t="shared" si="1"/>
        <v>BF15 - Buffing Motor</v>
      </c>
      <c r="E93" s="125" t="s">
        <v>617</v>
      </c>
      <c r="F93" s="123"/>
      <c r="G93" s="125" t="s">
        <v>756</v>
      </c>
      <c r="H93" s="125">
        <v>2022.0</v>
      </c>
      <c r="I93" s="125" t="s">
        <v>726</v>
      </c>
      <c r="J93" s="123"/>
      <c r="K93" s="125" t="s">
        <v>727</v>
      </c>
      <c r="L93" s="123"/>
      <c r="M93" s="128"/>
      <c r="N93" s="125" t="s">
        <v>727</v>
      </c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3"/>
    </row>
    <row r="94">
      <c r="A94" s="122" t="s">
        <v>650</v>
      </c>
      <c r="B94" s="125" t="s">
        <v>851</v>
      </c>
      <c r="C94" s="129"/>
      <c r="D94" s="123" t="str">
        <f t="shared" si="1"/>
        <v>BF16 - Buffing Motor</v>
      </c>
      <c r="E94" s="125" t="s">
        <v>617</v>
      </c>
      <c r="F94" s="123"/>
      <c r="G94" s="125" t="s">
        <v>756</v>
      </c>
      <c r="H94" s="125">
        <v>2022.0</v>
      </c>
      <c r="I94" s="125" t="s">
        <v>726</v>
      </c>
      <c r="J94" s="123"/>
      <c r="K94" s="125" t="s">
        <v>727</v>
      </c>
      <c r="L94" s="123"/>
      <c r="M94" s="128"/>
      <c r="N94" s="125" t="s">
        <v>727</v>
      </c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3"/>
    </row>
    <row r="95">
      <c r="A95" s="122" t="s">
        <v>650</v>
      </c>
      <c r="B95" s="125" t="s">
        <v>852</v>
      </c>
      <c r="C95" s="129" t="s">
        <v>853</v>
      </c>
      <c r="D95" s="123" t="str">
        <f t="shared" si="1"/>
        <v>BF17 - Buffing Motor</v>
      </c>
      <c r="E95" s="125" t="s">
        <v>621</v>
      </c>
      <c r="F95" s="123"/>
      <c r="G95" s="125" t="s">
        <v>756</v>
      </c>
      <c r="H95" s="125">
        <v>2022.0</v>
      </c>
      <c r="I95" s="125" t="s">
        <v>726</v>
      </c>
      <c r="J95" s="123"/>
      <c r="K95" s="125" t="s">
        <v>727</v>
      </c>
      <c r="L95" s="123"/>
      <c r="M95" s="128"/>
      <c r="N95" s="125" t="s">
        <v>727</v>
      </c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3"/>
    </row>
    <row r="96">
      <c r="A96" s="122" t="s">
        <v>650</v>
      </c>
      <c r="B96" s="125" t="s">
        <v>854</v>
      </c>
      <c r="C96" s="129" t="s">
        <v>855</v>
      </c>
      <c r="D96" s="123" t="str">
        <f t="shared" si="1"/>
        <v>BF18 - Buffing Motor</v>
      </c>
      <c r="E96" s="125" t="s">
        <v>621</v>
      </c>
      <c r="F96" s="123"/>
      <c r="G96" s="125" t="s">
        <v>756</v>
      </c>
      <c r="H96" s="125">
        <v>2022.0</v>
      </c>
      <c r="I96" s="125" t="s">
        <v>726</v>
      </c>
      <c r="J96" s="123"/>
      <c r="K96" s="125" t="s">
        <v>727</v>
      </c>
      <c r="L96" s="123"/>
      <c r="M96" s="128"/>
      <c r="N96" s="125" t="s">
        <v>727</v>
      </c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3"/>
    </row>
    <row r="97">
      <c r="A97" s="122" t="s">
        <v>650</v>
      </c>
      <c r="B97" s="125" t="s">
        <v>856</v>
      </c>
      <c r="C97" s="129" t="s">
        <v>857</v>
      </c>
      <c r="D97" s="123" t="str">
        <f t="shared" si="1"/>
        <v>BF19 - Buffing Motor</v>
      </c>
      <c r="E97" s="125" t="s">
        <v>621</v>
      </c>
      <c r="F97" s="123"/>
      <c r="G97" s="125" t="s">
        <v>756</v>
      </c>
      <c r="H97" s="125">
        <v>2022.0</v>
      </c>
      <c r="I97" s="125" t="s">
        <v>726</v>
      </c>
      <c r="J97" s="123"/>
      <c r="K97" s="125" t="s">
        <v>727</v>
      </c>
      <c r="L97" s="123"/>
      <c r="M97" s="128"/>
      <c r="N97" s="125" t="s">
        <v>727</v>
      </c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3"/>
    </row>
    <row r="98">
      <c r="A98" s="122" t="s">
        <v>650</v>
      </c>
      <c r="B98" s="125" t="s">
        <v>858</v>
      </c>
      <c r="C98" s="141" t="s">
        <v>859</v>
      </c>
      <c r="D98" s="123" t="str">
        <f t="shared" si="1"/>
        <v>BF20 - Buffing Motor</v>
      </c>
      <c r="E98" s="125" t="s">
        <v>621</v>
      </c>
      <c r="F98" s="123"/>
      <c r="G98" s="125" t="s">
        <v>756</v>
      </c>
      <c r="H98" s="125">
        <v>2022.0</v>
      </c>
      <c r="I98" s="125" t="s">
        <v>726</v>
      </c>
      <c r="J98" s="123"/>
      <c r="K98" s="125" t="s">
        <v>727</v>
      </c>
      <c r="L98" s="123"/>
      <c r="M98" s="128"/>
      <c r="N98" s="125" t="s">
        <v>727</v>
      </c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3"/>
    </row>
    <row r="99" ht="15.75" customHeight="1">
      <c r="A99" s="122" t="s">
        <v>650</v>
      </c>
      <c r="B99" s="125" t="s">
        <v>860</v>
      </c>
      <c r="C99" s="129" t="s">
        <v>861</v>
      </c>
      <c r="D99" s="123" t="str">
        <f t="shared" si="1"/>
        <v>BF21 - Buffing Motor</v>
      </c>
      <c r="E99" s="125" t="s">
        <v>621</v>
      </c>
      <c r="F99" s="123"/>
      <c r="G99" s="125" t="s">
        <v>756</v>
      </c>
      <c r="H99" s="125">
        <v>2017.0</v>
      </c>
      <c r="I99" s="125" t="s">
        <v>726</v>
      </c>
      <c r="J99" s="123"/>
      <c r="K99" s="125" t="s">
        <v>727</v>
      </c>
      <c r="L99" s="123"/>
      <c r="M99" s="128"/>
      <c r="N99" s="125" t="s">
        <v>727</v>
      </c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3"/>
    </row>
    <row r="100" ht="15.75" customHeight="1">
      <c r="A100" s="122" t="s">
        <v>650</v>
      </c>
      <c r="B100" s="125" t="s">
        <v>860</v>
      </c>
      <c r="C100" s="129" t="s">
        <v>862</v>
      </c>
      <c r="D100" s="123" t="str">
        <f t="shared" si="1"/>
        <v>BF21 - Buffing Motor</v>
      </c>
      <c r="E100" s="125" t="s">
        <v>621</v>
      </c>
      <c r="F100" s="123"/>
      <c r="G100" s="125" t="s">
        <v>756</v>
      </c>
      <c r="H100" s="125">
        <v>2017.0</v>
      </c>
      <c r="I100" s="125" t="s">
        <v>726</v>
      </c>
      <c r="J100" s="123"/>
      <c r="K100" s="125" t="s">
        <v>727</v>
      </c>
      <c r="L100" s="123"/>
      <c r="M100" s="128"/>
      <c r="N100" s="125" t="s">
        <v>727</v>
      </c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3"/>
    </row>
    <row r="101">
      <c r="A101" s="122" t="s">
        <v>650</v>
      </c>
      <c r="B101" s="125" t="s">
        <v>863</v>
      </c>
      <c r="C101" s="129" t="s">
        <v>864</v>
      </c>
      <c r="D101" s="123" t="str">
        <f t="shared" si="1"/>
        <v>BF22 - Buffing Motor</v>
      </c>
      <c r="E101" s="125" t="s">
        <v>621</v>
      </c>
      <c r="F101" s="123"/>
      <c r="G101" s="125" t="s">
        <v>756</v>
      </c>
      <c r="H101" s="125">
        <v>2017.0</v>
      </c>
      <c r="I101" s="125" t="s">
        <v>726</v>
      </c>
      <c r="J101" s="123"/>
      <c r="K101" s="125" t="s">
        <v>727</v>
      </c>
      <c r="L101" s="123"/>
      <c r="M101" s="128"/>
      <c r="N101" s="125" t="s">
        <v>727</v>
      </c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3"/>
    </row>
    <row r="102">
      <c r="A102" s="122" t="s">
        <v>650</v>
      </c>
      <c r="B102" s="125" t="s">
        <v>865</v>
      </c>
      <c r="C102" s="129" t="s">
        <v>866</v>
      </c>
      <c r="D102" s="123" t="str">
        <f t="shared" si="1"/>
        <v>BF23 - Buffing Motor</v>
      </c>
      <c r="E102" s="125" t="s">
        <v>619</v>
      </c>
      <c r="F102" s="123"/>
      <c r="G102" s="125" t="s">
        <v>756</v>
      </c>
      <c r="H102" s="125">
        <v>2022.0</v>
      </c>
      <c r="I102" s="125" t="s">
        <v>726</v>
      </c>
      <c r="J102" s="123"/>
      <c r="K102" s="125" t="s">
        <v>727</v>
      </c>
      <c r="L102" s="123"/>
      <c r="M102" s="128"/>
      <c r="N102" s="125" t="s">
        <v>727</v>
      </c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3"/>
    </row>
    <row r="103">
      <c r="A103" s="122" t="s">
        <v>650</v>
      </c>
      <c r="B103" s="125" t="s">
        <v>867</v>
      </c>
      <c r="C103" s="129" t="s">
        <v>868</v>
      </c>
      <c r="D103" s="123" t="str">
        <f t="shared" si="1"/>
        <v>BF24 - Buffing Motor</v>
      </c>
      <c r="E103" s="125" t="s">
        <v>619</v>
      </c>
      <c r="F103" s="123"/>
      <c r="G103" s="125" t="s">
        <v>756</v>
      </c>
      <c r="H103" s="125">
        <v>2022.0</v>
      </c>
      <c r="I103" s="125" t="s">
        <v>726</v>
      </c>
      <c r="J103" s="123"/>
      <c r="K103" s="125" t="s">
        <v>727</v>
      </c>
      <c r="L103" s="123"/>
      <c r="M103" s="128"/>
      <c r="N103" s="125" t="s">
        <v>727</v>
      </c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3"/>
    </row>
    <row r="104">
      <c r="A104" s="122" t="s">
        <v>650</v>
      </c>
      <c r="B104" s="125" t="s">
        <v>867</v>
      </c>
      <c r="C104" s="129" t="s">
        <v>869</v>
      </c>
      <c r="D104" s="123" t="str">
        <f t="shared" si="1"/>
        <v>BF24 - Buffing Motor</v>
      </c>
      <c r="E104" s="125" t="s">
        <v>619</v>
      </c>
      <c r="F104" s="123"/>
      <c r="G104" s="125" t="s">
        <v>756</v>
      </c>
      <c r="H104" s="125">
        <v>2022.0</v>
      </c>
      <c r="I104" s="125" t="s">
        <v>726</v>
      </c>
      <c r="J104" s="123"/>
      <c r="K104" s="125" t="s">
        <v>727</v>
      </c>
      <c r="L104" s="123"/>
      <c r="M104" s="128"/>
      <c r="N104" s="125" t="s">
        <v>727</v>
      </c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3"/>
    </row>
    <row r="105">
      <c r="A105" s="122" t="s">
        <v>650</v>
      </c>
      <c r="B105" s="125" t="s">
        <v>867</v>
      </c>
      <c r="C105" s="129" t="s">
        <v>870</v>
      </c>
      <c r="D105" s="123" t="str">
        <f t="shared" si="1"/>
        <v>BF24 - Buffing Motor</v>
      </c>
      <c r="E105" s="125" t="s">
        <v>619</v>
      </c>
      <c r="F105" s="123"/>
      <c r="G105" s="125" t="s">
        <v>756</v>
      </c>
      <c r="H105" s="125">
        <v>2022.0</v>
      </c>
      <c r="I105" s="125" t="s">
        <v>726</v>
      </c>
      <c r="J105" s="123"/>
      <c r="K105" s="125" t="s">
        <v>727</v>
      </c>
      <c r="L105" s="123"/>
      <c r="M105" s="128"/>
      <c r="N105" s="125" t="s">
        <v>727</v>
      </c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3"/>
    </row>
    <row r="106">
      <c r="A106" s="122" t="s">
        <v>650</v>
      </c>
      <c r="B106" s="125" t="s">
        <v>867</v>
      </c>
      <c r="C106" s="142" t="s">
        <v>871</v>
      </c>
      <c r="D106" s="123" t="str">
        <f t="shared" si="1"/>
        <v>BF24 - Buffing Motor</v>
      </c>
      <c r="E106" s="125" t="s">
        <v>619</v>
      </c>
      <c r="F106" s="143"/>
      <c r="G106" s="125" t="s">
        <v>756</v>
      </c>
      <c r="H106" s="125">
        <v>2022.0</v>
      </c>
      <c r="I106" s="125" t="s">
        <v>726</v>
      </c>
      <c r="J106" s="123"/>
      <c r="K106" s="125" t="s">
        <v>727</v>
      </c>
      <c r="L106" s="123"/>
      <c r="M106" s="128"/>
      <c r="N106" s="125" t="s">
        <v>727</v>
      </c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3"/>
    </row>
    <row r="107">
      <c r="A107" s="122"/>
      <c r="B107" s="125"/>
      <c r="C107" s="142" t="s">
        <v>872</v>
      </c>
      <c r="D107" s="123"/>
      <c r="E107" s="125" t="s">
        <v>7</v>
      </c>
      <c r="F107" s="143"/>
      <c r="G107" s="125"/>
      <c r="H107" s="125"/>
      <c r="I107" s="125" t="s">
        <v>726</v>
      </c>
      <c r="J107" s="123"/>
      <c r="K107" s="125"/>
      <c r="L107" s="123"/>
      <c r="M107" s="128"/>
      <c r="N107" s="125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3"/>
    </row>
    <row r="108">
      <c r="A108" s="122"/>
      <c r="B108" s="125"/>
      <c r="C108" s="142" t="s">
        <v>873</v>
      </c>
      <c r="D108" s="123"/>
      <c r="E108" s="125" t="s">
        <v>7</v>
      </c>
      <c r="F108" s="143"/>
      <c r="G108" s="125"/>
      <c r="H108" s="125"/>
      <c r="I108" s="125" t="s">
        <v>726</v>
      </c>
      <c r="J108" s="123"/>
      <c r="K108" s="125"/>
      <c r="L108" s="123"/>
      <c r="M108" s="128"/>
      <c r="N108" s="125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3"/>
    </row>
    <row r="109">
      <c r="A109" s="122"/>
      <c r="B109" s="125"/>
      <c r="C109" s="142" t="s">
        <v>874</v>
      </c>
      <c r="D109" s="123"/>
      <c r="E109" s="125" t="s">
        <v>7</v>
      </c>
      <c r="F109" s="143"/>
      <c r="G109" s="125"/>
      <c r="H109" s="125"/>
      <c r="I109" s="125" t="s">
        <v>726</v>
      </c>
      <c r="J109" s="123"/>
      <c r="K109" s="125"/>
      <c r="L109" s="123"/>
      <c r="M109" s="128"/>
      <c r="N109" s="125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3"/>
    </row>
    <row r="110">
      <c r="A110" s="122"/>
      <c r="B110" s="125"/>
      <c r="C110" s="142" t="s">
        <v>875</v>
      </c>
      <c r="D110" s="123"/>
      <c r="E110" s="125" t="s">
        <v>7</v>
      </c>
      <c r="F110" s="143"/>
      <c r="G110" s="125"/>
      <c r="H110" s="125"/>
      <c r="I110" s="125" t="s">
        <v>726</v>
      </c>
      <c r="J110" s="123"/>
      <c r="K110" s="125"/>
      <c r="L110" s="123"/>
      <c r="M110" s="128"/>
      <c r="N110" s="125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3"/>
    </row>
    <row r="111">
      <c r="A111" s="122"/>
      <c r="B111" s="125"/>
      <c r="C111" s="142" t="s">
        <v>876</v>
      </c>
      <c r="D111" s="123"/>
      <c r="E111" s="125" t="s">
        <v>7</v>
      </c>
      <c r="F111" s="143"/>
      <c r="G111" s="125"/>
      <c r="H111" s="125"/>
      <c r="I111" s="125" t="s">
        <v>726</v>
      </c>
      <c r="J111" s="123"/>
      <c r="K111" s="125"/>
      <c r="L111" s="123"/>
      <c r="M111" s="128"/>
      <c r="N111" s="125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3"/>
    </row>
    <row r="112">
      <c r="A112" s="122"/>
      <c r="B112" s="125"/>
      <c r="C112" s="142" t="s">
        <v>877</v>
      </c>
      <c r="D112" s="123"/>
      <c r="E112" s="125" t="s">
        <v>7</v>
      </c>
      <c r="F112" s="143"/>
      <c r="G112" s="125"/>
      <c r="H112" s="125"/>
      <c r="I112" s="125" t="s">
        <v>726</v>
      </c>
      <c r="J112" s="123"/>
      <c r="K112" s="125"/>
      <c r="L112" s="123"/>
      <c r="M112" s="128"/>
      <c r="N112" s="125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3"/>
    </row>
    <row r="113">
      <c r="A113" s="122"/>
      <c r="B113" s="125"/>
      <c r="C113" s="142" t="s">
        <v>878</v>
      </c>
      <c r="D113" s="123"/>
      <c r="E113" s="125" t="s">
        <v>7</v>
      </c>
      <c r="F113" s="143"/>
      <c r="G113" s="125"/>
      <c r="H113" s="125"/>
      <c r="I113" s="125" t="s">
        <v>726</v>
      </c>
      <c r="J113" s="123"/>
      <c r="K113" s="125"/>
      <c r="L113" s="123"/>
      <c r="M113" s="128"/>
      <c r="N113" s="125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3"/>
    </row>
    <row r="114">
      <c r="A114" s="122"/>
      <c r="B114" s="125"/>
      <c r="C114" s="142" t="s">
        <v>876</v>
      </c>
      <c r="D114" s="123" t="str">
        <f t="shared" ref="D114:D117" si="2">if(A114="","", B114&amp;" - "&amp;A114)</f>
        <v/>
      </c>
      <c r="E114" s="125" t="s">
        <v>7</v>
      </c>
      <c r="F114" s="143"/>
      <c r="G114" s="125"/>
      <c r="H114" s="125"/>
      <c r="I114" s="125" t="s">
        <v>726</v>
      </c>
      <c r="J114" s="123"/>
      <c r="K114" s="125"/>
      <c r="L114" s="123"/>
      <c r="M114" s="128"/>
      <c r="N114" s="125" t="s">
        <v>727</v>
      </c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3"/>
    </row>
    <row r="115">
      <c r="A115" s="122"/>
      <c r="B115" s="125"/>
      <c r="C115" s="142"/>
      <c r="D115" s="123" t="str">
        <f t="shared" si="2"/>
        <v/>
      </c>
      <c r="E115" s="125" t="s">
        <v>7</v>
      </c>
      <c r="F115" s="143"/>
      <c r="G115" s="125"/>
      <c r="H115" s="125"/>
      <c r="I115" s="125" t="s">
        <v>726</v>
      </c>
      <c r="J115" s="123"/>
      <c r="K115" s="125"/>
      <c r="L115" s="123"/>
      <c r="M115" s="128"/>
      <c r="N115" s="125" t="s">
        <v>727</v>
      </c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3"/>
    </row>
    <row r="116">
      <c r="A116" s="122"/>
      <c r="B116" s="125"/>
      <c r="C116" s="142"/>
      <c r="D116" s="123" t="str">
        <f t="shared" si="2"/>
        <v/>
      </c>
      <c r="E116" s="125" t="s">
        <v>7</v>
      </c>
      <c r="F116" s="143"/>
      <c r="G116" s="125"/>
      <c r="H116" s="125"/>
      <c r="I116" s="125" t="s">
        <v>726</v>
      </c>
      <c r="J116" s="123"/>
      <c r="K116" s="125"/>
      <c r="L116" s="123"/>
      <c r="M116" s="128"/>
      <c r="N116" s="125" t="s">
        <v>727</v>
      </c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3"/>
    </row>
    <row r="117">
      <c r="A117" s="122"/>
      <c r="B117" s="125"/>
      <c r="C117" s="142"/>
      <c r="D117" s="123" t="str">
        <f t="shared" si="2"/>
        <v/>
      </c>
      <c r="E117" s="125" t="s">
        <v>7</v>
      </c>
      <c r="F117" s="143"/>
      <c r="G117" s="125"/>
      <c r="H117" s="125"/>
      <c r="I117" s="125" t="s">
        <v>726</v>
      </c>
      <c r="J117" s="123"/>
      <c r="K117" s="125"/>
      <c r="L117" s="123"/>
      <c r="M117" s="128"/>
      <c r="N117" s="125" t="s">
        <v>727</v>
      </c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3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44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3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44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3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44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3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44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3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44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3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44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3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44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3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44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3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44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3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44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3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44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3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44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3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44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3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44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3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44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3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44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3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44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3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44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3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44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3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44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3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44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3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44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3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44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3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44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3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44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3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44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3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44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3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44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3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44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3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44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3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44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3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44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3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44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3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44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3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44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3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44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3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44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3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44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3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44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3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44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3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44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3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44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3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44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3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44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3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44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3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44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3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44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3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44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3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44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3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44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3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44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3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44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3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44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3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44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3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44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3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44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3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44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3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44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3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44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3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44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3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44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3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44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3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44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3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44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3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44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3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44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3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44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3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44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3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44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3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44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3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44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3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44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3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44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3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44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3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44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3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44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3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44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3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44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3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44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3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44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3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44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3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44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3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44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3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44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3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44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3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44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3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44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3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44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3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44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3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44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3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44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3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44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3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44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3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44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3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44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3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44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3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44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3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44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3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44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3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44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3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44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3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44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3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44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3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44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3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44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3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44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3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44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3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44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3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44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3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44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3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44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3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44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3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44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3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44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3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44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3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44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3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44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3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44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3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44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3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44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3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44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3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44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3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44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3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44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3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44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3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44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3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44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3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44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3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44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3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44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3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44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3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44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3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44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3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44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3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44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3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44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3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44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3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44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3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44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3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44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3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44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3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44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3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44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3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44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3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44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3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44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3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44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3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44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3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44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3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44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3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44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3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44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3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44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3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44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3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44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3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44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3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44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3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44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3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44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3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44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3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44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3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44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3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44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3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44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3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44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3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44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3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44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3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44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3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44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3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44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3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44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3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44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3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44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3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44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3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44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3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44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3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44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3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44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3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44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3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44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3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44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3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44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3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44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3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44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3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44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3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44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3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44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3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44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3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44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3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44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3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44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3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44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3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44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3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44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3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44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3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44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3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44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3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44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3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44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3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44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3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44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3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44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3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44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3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44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3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44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3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44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3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44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3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44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3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44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3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44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3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44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3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44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3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44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3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44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3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44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3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44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3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44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3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44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3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44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3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44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3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44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3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44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3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44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3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44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3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44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3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44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3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44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3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44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3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44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3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44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3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44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3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44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3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44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3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44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3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44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3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44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3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44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3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44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3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44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3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44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3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44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3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44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3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44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3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44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3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44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3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44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3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44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3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44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3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44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3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44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3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44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3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44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3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44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3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44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3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44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3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44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3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44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3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44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3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44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3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44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3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44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3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44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3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44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3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44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3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44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3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44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3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44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3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44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3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44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3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44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3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44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3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44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3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44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3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44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3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44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3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44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3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44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3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44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3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44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3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44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3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44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3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44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3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44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3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44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3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44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3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44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3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44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3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44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3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44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3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44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3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44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3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44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3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44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3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44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3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44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3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44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3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44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3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44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3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44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3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44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3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44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3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44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3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44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3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44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3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44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3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44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3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44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3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44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3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44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3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44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3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44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3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44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3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44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3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44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3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44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3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44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3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44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3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44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3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44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3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44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3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44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3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44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3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44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3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44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3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44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3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44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3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44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3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44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3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44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3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44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3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44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3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44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3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44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3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44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3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44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3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44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3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44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3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44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3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44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3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44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3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44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3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44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3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44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3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44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3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44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3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44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3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44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3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44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3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44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3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44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3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44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3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44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3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44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3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44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3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44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3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44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3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44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3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44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3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44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3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44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3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44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3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44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3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44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3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44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3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44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3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44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3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44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3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44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3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44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3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44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3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44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3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44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3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44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3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44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3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44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3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44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3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44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3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44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3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44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3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44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3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44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3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44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3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44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3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44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3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44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3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44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3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44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3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44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3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44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3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44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3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44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3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44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3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44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3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44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3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44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3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44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3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44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3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44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3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44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3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44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3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44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3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44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3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44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3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44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3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44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3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44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3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44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3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44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3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44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3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44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3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44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3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44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3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44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3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44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3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44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3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44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3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44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3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44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3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44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3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44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3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44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3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44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3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44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3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44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3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44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3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44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3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44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3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44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3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44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3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44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3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44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3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44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3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44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3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44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3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44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3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44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3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44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3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44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3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44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3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44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3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44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3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44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3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44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3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44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3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44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3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44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3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44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3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44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3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44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3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44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3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44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3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44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3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44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3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44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3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44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3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44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3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44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3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44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3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44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3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44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3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44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3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44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3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44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3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44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3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44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3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44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3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44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3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44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3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44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3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44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3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44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3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44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3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44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3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44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3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44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3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44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3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44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3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44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3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44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3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44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3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44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3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44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3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44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3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44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3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44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3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44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3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44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3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44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3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44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3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44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3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44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3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44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3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44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3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44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3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44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3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44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3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44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3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44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3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44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3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44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3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44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3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44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3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44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3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44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3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44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3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44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3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44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3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44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3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44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3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44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3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44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3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44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3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44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3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44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3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44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3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44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3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44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3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44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3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44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3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44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3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44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3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44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3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44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3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44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3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44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3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44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3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44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3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44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3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44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3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44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3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44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3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44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3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44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3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44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3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44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3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44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3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44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3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44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3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44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3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44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3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44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3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44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3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44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3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44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3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44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3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44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3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44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3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44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3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44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3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44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3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44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3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44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3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44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3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44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3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44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3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44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3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44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3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44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3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44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3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44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3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44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3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44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3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44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3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44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3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44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3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44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3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44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3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44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3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44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3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44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3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44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3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44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3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44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3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44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3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44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3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44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3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44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3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44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3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44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3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44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3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44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3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44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3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44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3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44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3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44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3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44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3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44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3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44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3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44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3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44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3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44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3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44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3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44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3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44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3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44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3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44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3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44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3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44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3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44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3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44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3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44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3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44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3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44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3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44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3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44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3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44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3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44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3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44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3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44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3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44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3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44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3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44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3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44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3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44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3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44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3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44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3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44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3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44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3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44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3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44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3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44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3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44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3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44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3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44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3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44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3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44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3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44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3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44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3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44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3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44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3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44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3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44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3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44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3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44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3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44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3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44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3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44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3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44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3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44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3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44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3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44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3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44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3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44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3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44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3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44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3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44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3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44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3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44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3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44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3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44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3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44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3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44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3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44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3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44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3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44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3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44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3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44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3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44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3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44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3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44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3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44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3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44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3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44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3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44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3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44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3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44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3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44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3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44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3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44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3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44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3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44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3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44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3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44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3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44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3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44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3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44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3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44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3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44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3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44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3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44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3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44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3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44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3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44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3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44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3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44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3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44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3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44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3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44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3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44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3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44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3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44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3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44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3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44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3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44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3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44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3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44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3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44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3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44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3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44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3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44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3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44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3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44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3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44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3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44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3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44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3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44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3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44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3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44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3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44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3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44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3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44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3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44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3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44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3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44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3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44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3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44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3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44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3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44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3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44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3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44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3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44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3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44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3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44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3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44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3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44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3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44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3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44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3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44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3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44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3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44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3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44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3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44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3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44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3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44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3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44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3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44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3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44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3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44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3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44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3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44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3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44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3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44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3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44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3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44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3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44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3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44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3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44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3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44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3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44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3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44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3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44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3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44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3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44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3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44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3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44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3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44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3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44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3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44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3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44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3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44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3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44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3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44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3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44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3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44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3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44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3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44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3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44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3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44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3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44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3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44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3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44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3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44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3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44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3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44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3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44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3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44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3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44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3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44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3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44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3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44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3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44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3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44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3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44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3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44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3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44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3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44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3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44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3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44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3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44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3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44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3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44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3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44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3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44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3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44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3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44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3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44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3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44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3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44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3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44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3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44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3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44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3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44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3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44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3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44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3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44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3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44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3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44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3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44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3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44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3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44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3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44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3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44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3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44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3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44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3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44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3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44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3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44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3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44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3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44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3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44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3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44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3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44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3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44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3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44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3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44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3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44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3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44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3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44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3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44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3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44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3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44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3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44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3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44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3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44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3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44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3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44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3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44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3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44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3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44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3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44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3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44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3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44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3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44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3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44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3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44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3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44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3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44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3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44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3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44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3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44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3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44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3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44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3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44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3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44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3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44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3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44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3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44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3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44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3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44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3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44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3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44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3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44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3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44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3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44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3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44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3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44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3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44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3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44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3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44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3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44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3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44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3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44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3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44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3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44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3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44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3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44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3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44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3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44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3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44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3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44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3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44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3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44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3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44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3"/>
    </row>
    <row r="100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10"/>
      <c r="L1001" s="110"/>
      <c r="M1001" s="144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  <c r="AC1001" s="110"/>
      <c r="AD1001" s="110"/>
      <c r="AE1001" s="110"/>
      <c r="AF1001" s="110"/>
      <c r="AG1001" s="110"/>
      <c r="AH1001" s="110"/>
      <c r="AI1001" s="110"/>
      <c r="AJ1001" s="110"/>
      <c r="AK1001" s="110"/>
      <c r="AL1001" s="13"/>
    </row>
    <row r="1002">
      <c r="A1002" s="110"/>
      <c r="B1002" s="110"/>
      <c r="C1002" s="110"/>
      <c r="D1002" s="110"/>
      <c r="E1002" s="110"/>
      <c r="F1002" s="110"/>
      <c r="G1002" s="110"/>
      <c r="H1002" s="110"/>
      <c r="I1002" s="110"/>
      <c r="J1002" s="110"/>
      <c r="K1002" s="110"/>
      <c r="L1002" s="110"/>
      <c r="M1002" s="144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  <c r="AA1002" s="110"/>
      <c r="AB1002" s="110"/>
      <c r="AC1002" s="110"/>
      <c r="AD1002" s="110"/>
      <c r="AE1002" s="110"/>
      <c r="AF1002" s="110"/>
      <c r="AG1002" s="110"/>
      <c r="AH1002" s="110"/>
      <c r="AI1002" s="110"/>
      <c r="AJ1002" s="110"/>
      <c r="AK1002" s="110"/>
      <c r="AL1002" s="13"/>
    </row>
    <row r="1003">
      <c r="A1003" s="110"/>
      <c r="B1003" s="110"/>
      <c r="C1003" s="110"/>
      <c r="D1003" s="110"/>
      <c r="E1003" s="110"/>
      <c r="F1003" s="110"/>
      <c r="G1003" s="110"/>
      <c r="H1003" s="110"/>
      <c r="I1003" s="110"/>
      <c r="J1003" s="110"/>
      <c r="K1003" s="110"/>
      <c r="L1003" s="110"/>
      <c r="M1003" s="144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  <c r="AA1003" s="110"/>
      <c r="AB1003" s="110"/>
      <c r="AC1003" s="110"/>
      <c r="AD1003" s="110"/>
      <c r="AE1003" s="110"/>
      <c r="AF1003" s="110"/>
      <c r="AG1003" s="110"/>
      <c r="AH1003" s="110"/>
      <c r="AI1003" s="110"/>
      <c r="AJ1003" s="110"/>
      <c r="AK1003" s="110"/>
      <c r="AL1003" s="13"/>
    </row>
    <row r="1004">
      <c r="A1004" s="110"/>
      <c r="B1004" s="110"/>
      <c r="C1004" s="110"/>
      <c r="D1004" s="110"/>
      <c r="E1004" s="110"/>
      <c r="F1004" s="110"/>
      <c r="G1004" s="110"/>
      <c r="H1004" s="110"/>
      <c r="I1004" s="110"/>
      <c r="J1004" s="110"/>
      <c r="K1004" s="110"/>
      <c r="L1004" s="110"/>
      <c r="M1004" s="144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  <c r="AA1004" s="110"/>
      <c r="AB1004" s="110"/>
      <c r="AC1004" s="110"/>
      <c r="AD1004" s="110"/>
      <c r="AE1004" s="110"/>
      <c r="AF1004" s="110"/>
      <c r="AG1004" s="110"/>
      <c r="AH1004" s="110"/>
      <c r="AI1004" s="110"/>
      <c r="AJ1004" s="110"/>
      <c r="AK1004" s="110"/>
      <c r="AL1004" s="13"/>
    </row>
    <row r="1005">
      <c r="A1005" s="110"/>
      <c r="B1005" s="110"/>
      <c r="C1005" s="110"/>
      <c r="D1005" s="110"/>
      <c r="E1005" s="110"/>
      <c r="F1005" s="110"/>
      <c r="G1005" s="110"/>
      <c r="H1005" s="110"/>
      <c r="I1005" s="110"/>
      <c r="J1005" s="110"/>
      <c r="K1005" s="110"/>
      <c r="L1005" s="110"/>
      <c r="M1005" s="144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  <c r="AA1005" s="110"/>
      <c r="AB1005" s="110"/>
      <c r="AC1005" s="110"/>
      <c r="AD1005" s="110"/>
      <c r="AE1005" s="110"/>
      <c r="AF1005" s="110"/>
      <c r="AG1005" s="110"/>
      <c r="AH1005" s="110"/>
      <c r="AI1005" s="110"/>
      <c r="AJ1005" s="110"/>
      <c r="AK1005" s="110"/>
      <c r="AL1005" s="13"/>
    </row>
    <row r="1006">
      <c r="A1006" s="110"/>
      <c r="B1006" s="110"/>
      <c r="C1006" s="110"/>
      <c r="D1006" s="110"/>
      <c r="E1006" s="110"/>
      <c r="F1006" s="110"/>
      <c r="G1006" s="110"/>
      <c r="H1006" s="110"/>
      <c r="I1006" s="110"/>
      <c r="J1006" s="110"/>
      <c r="K1006" s="110"/>
      <c r="L1006" s="110"/>
      <c r="M1006" s="144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  <c r="AA1006" s="110"/>
      <c r="AB1006" s="110"/>
      <c r="AC1006" s="110"/>
      <c r="AD1006" s="110"/>
      <c r="AE1006" s="110"/>
      <c r="AF1006" s="110"/>
      <c r="AG1006" s="110"/>
      <c r="AH1006" s="110"/>
      <c r="AI1006" s="110"/>
      <c r="AJ1006" s="110"/>
      <c r="AK1006" s="110"/>
      <c r="AL1006" s="13"/>
    </row>
    <row r="1007">
      <c r="A1007" s="110"/>
      <c r="B1007" s="110"/>
      <c r="C1007" s="110"/>
      <c r="D1007" s="110"/>
      <c r="E1007" s="110"/>
      <c r="F1007" s="110"/>
      <c r="G1007" s="110"/>
      <c r="H1007" s="110"/>
      <c r="I1007" s="110"/>
      <c r="J1007" s="110"/>
      <c r="K1007" s="110"/>
      <c r="L1007" s="110"/>
      <c r="M1007" s="144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  <c r="AA1007" s="110"/>
      <c r="AB1007" s="110"/>
      <c r="AC1007" s="110"/>
      <c r="AD1007" s="110"/>
      <c r="AE1007" s="110"/>
      <c r="AF1007" s="110"/>
      <c r="AG1007" s="110"/>
      <c r="AH1007" s="110"/>
      <c r="AI1007" s="110"/>
      <c r="AJ1007" s="110"/>
      <c r="AK1007" s="110"/>
      <c r="AL1007" s="13"/>
    </row>
    <row r="1008">
      <c r="A1008" s="110"/>
      <c r="B1008" s="110"/>
      <c r="C1008" s="110"/>
      <c r="D1008" s="110"/>
      <c r="E1008" s="110"/>
      <c r="F1008" s="110"/>
      <c r="G1008" s="110"/>
      <c r="H1008" s="110"/>
      <c r="I1008" s="110"/>
      <c r="J1008" s="110"/>
      <c r="K1008" s="110"/>
      <c r="L1008" s="110"/>
      <c r="M1008" s="144"/>
      <c r="N1008" s="110"/>
      <c r="O1008" s="110"/>
      <c r="P1008" s="110"/>
      <c r="Q1008" s="110"/>
      <c r="R1008" s="110"/>
      <c r="S1008" s="110"/>
      <c r="T1008" s="110"/>
      <c r="U1008" s="110"/>
      <c r="V1008" s="110"/>
      <c r="W1008" s="110"/>
      <c r="X1008" s="110"/>
      <c r="Y1008" s="110"/>
      <c r="Z1008" s="110"/>
      <c r="AA1008" s="110"/>
      <c r="AB1008" s="110"/>
      <c r="AC1008" s="110"/>
      <c r="AD1008" s="110"/>
      <c r="AE1008" s="110"/>
      <c r="AF1008" s="110"/>
      <c r="AG1008" s="110"/>
      <c r="AH1008" s="110"/>
      <c r="AI1008" s="110"/>
      <c r="AJ1008" s="110"/>
      <c r="AK1008" s="110"/>
      <c r="AL1008" s="13"/>
    </row>
    <row r="1009">
      <c r="A1009" s="110"/>
      <c r="B1009" s="110"/>
      <c r="C1009" s="110"/>
      <c r="D1009" s="110"/>
      <c r="E1009" s="110"/>
      <c r="F1009" s="110"/>
      <c r="G1009" s="110"/>
      <c r="H1009" s="110"/>
      <c r="I1009" s="110"/>
      <c r="J1009" s="110"/>
      <c r="K1009" s="110"/>
      <c r="L1009" s="110"/>
      <c r="M1009" s="144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  <c r="AA1009" s="110"/>
      <c r="AB1009" s="110"/>
      <c r="AC1009" s="110"/>
      <c r="AD1009" s="110"/>
      <c r="AE1009" s="110"/>
      <c r="AF1009" s="110"/>
      <c r="AG1009" s="110"/>
      <c r="AH1009" s="110"/>
      <c r="AI1009" s="110"/>
      <c r="AJ1009" s="110"/>
      <c r="AK1009" s="110"/>
      <c r="AL1009" s="13"/>
    </row>
    <row r="1010">
      <c r="A1010" s="110"/>
      <c r="B1010" s="110"/>
      <c r="C1010" s="110"/>
      <c r="D1010" s="110"/>
      <c r="E1010" s="110"/>
      <c r="F1010" s="110"/>
      <c r="G1010" s="110"/>
      <c r="H1010" s="110"/>
      <c r="I1010" s="110"/>
      <c r="J1010" s="110"/>
      <c r="K1010" s="110"/>
      <c r="L1010" s="110"/>
      <c r="M1010" s="144"/>
      <c r="N1010" s="110"/>
      <c r="O1010" s="110"/>
      <c r="P1010" s="110"/>
      <c r="Q1010" s="110"/>
      <c r="R1010" s="110"/>
      <c r="S1010" s="110"/>
      <c r="T1010" s="110"/>
      <c r="U1010" s="110"/>
      <c r="V1010" s="110"/>
      <c r="W1010" s="110"/>
      <c r="X1010" s="110"/>
      <c r="Y1010" s="110"/>
      <c r="Z1010" s="110"/>
      <c r="AA1010" s="110"/>
      <c r="AB1010" s="110"/>
      <c r="AC1010" s="110"/>
      <c r="AD1010" s="110"/>
      <c r="AE1010" s="110"/>
      <c r="AF1010" s="110"/>
      <c r="AG1010" s="110"/>
      <c r="AH1010" s="110"/>
      <c r="AI1010" s="110"/>
      <c r="AJ1010" s="110"/>
      <c r="AK1010" s="110"/>
      <c r="AL1010" s="13"/>
    </row>
    <row r="1011">
      <c r="A1011" s="110"/>
      <c r="B1011" s="110"/>
      <c r="C1011" s="110"/>
      <c r="D1011" s="110"/>
      <c r="E1011" s="110"/>
      <c r="F1011" s="110"/>
      <c r="G1011" s="110"/>
      <c r="H1011" s="110"/>
      <c r="I1011" s="110"/>
      <c r="J1011" s="110"/>
      <c r="K1011" s="110"/>
      <c r="L1011" s="110"/>
      <c r="M1011" s="144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  <c r="AA1011" s="110"/>
      <c r="AB1011" s="110"/>
      <c r="AC1011" s="110"/>
      <c r="AD1011" s="110"/>
      <c r="AE1011" s="110"/>
      <c r="AF1011" s="110"/>
      <c r="AG1011" s="110"/>
      <c r="AH1011" s="110"/>
      <c r="AI1011" s="110"/>
      <c r="AJ1011" s="110"/>
      <c r="AK1011" s="110"/>
      <c r="AL1011" s="13"/>
    </row>
    <row r="1012">
      <c r="A1012" s="110"/>
      <c r="B1012" s="110"/>
      <c r="C1012" s="110"/>
      <c r="D1012" s="110"/>
      <c r="E1012" s="110"/>
      <c r="F1012" s="110"/>
      <c r="G1012" s="110"/>
      <c r="H1012" s="110"/>
      <c r="I1012" s="110"/>
      <c r="J1012" s="110"/>
      <c r="K1012" s="110"/>
      <c r="L1012" s="110"/>
      <c r="M1012" s="144"/>
      <c r="N1012" s="110"/>
      <c r="O1012" s="110"/>
      <c r="P1012" s="110"/>
      <c r="Q1012" s="110"/>
      <c r="R1012" s="110"/>
      <c r="S1012" s="110"/>
      <c r="T1012" s="110"/>
      <c r="U1012" s="110"/>
      <c r="V1012" s="110"/>
      <c r="W1012" s="110"/>
      <c r="X1012" s="110"/>
      <c r="Y1012" s="110"/>
      <c r="Z1012" s="110"/>
      <c r="AA1012" s="110"/>
      <c r="AB1012" s="110"/>
      <c r="AC1012" s="110"/>
      <c r="AD1012" s="110"/>
      <c r="AE1012" s="110"/>
      <c r="AF1012" s="110"/>
      <c r="AG1012" s="110"/>
      <c r="AH1012" s="110"/>
      <c r="AI1012" s="110"/>
      <c r="AJ1012" s="110"/>
      <c r="AK1012" s="110"/>
      <c r="AL1012" s="13"/>
    </row>
    <row r="1013">
      <c r="A1013" s="110"/>
      <c r="B1013" s="110"/>
      <c r="C1013" s="110"/>
      <c r="D1013" s="110"/>
      <c r="E1013" s="110"/>
      <c r="F1013" s="110"/>
      <c r="G1013" s="110"/>
      <c r="H1013" s="110"/>
      <c r="I1013" s="110"/>
      <c r="J1013" s="110"/>
      <c r="K1013" s="110"/>
      <c r="L1013" s="110"/>
      <c r="M1013" s="144"/>
      <c r="N1013" s="110"/>
      <c r="O1013" s="110"/>
      <c r="P1013" s="110"/>
      <c r="Q1013" s="110"/>
      <c r="R1013" s="110"/>
      <c r="S1013" s="110"/>
      <c r="T1013" s="110"/>
      <c r="U1013" s="110"/>
      <c r="V1013" s="110"/>
      <c r="W1013" s="110"/>
      <c r="X1013" s="110"/>
      <c r="Y1013" s="110"/>
      <c r="Z1013" s="110"/>
      <c r="AA1013" s="110"/>
      <c r="AB1013" s="110"/>
      <c r="AC1013" s="110"/>
      <c r="AD1013" s="110"/>
      <c r="AE1013" s="110"/>
      <c r="AF1013" s="110"/>
      <c r="AG1013" s="110"/>
      <c r="AH1013" s="110"/>
      <c r="AI1013" s="110"/>
      <c r="AJ1013" s="110"/>
      <c r="AK1013" s="110"/>
      <c r="AL1013" s="13"/>
    </row>
    <row r="1014">
      <c r="A1014" s="110"/>
      <c r="B1014" s="110"/>
      <c r="C1014" s="110"/>
      <c r="D1014" s="110"/>
      <c r="E1014" s="110"/>
      <c r="F1014" s="110"/>
      <c r="G1014" s="110"/>
      <c r="H1014" s="110"/>
      <c r="I1014" s="110"/>
      <c r="J1014" s="110"/>
      <c r="K1014" s="110"/>
      <c r="L1014" s="110"/>
      <c r="M1014" s="144"/>
      <c r="N1014" s="110"/>
      <c r="O1014" s="110"/>
      <c r="P1014" s="110"/>
      <c r="Q1014" s="110"/>
      <c r="R1014" s="110"/>
      <c r="S1014" s="110"/>
      <c r="T1014" s="110"/>
      <c r="U1014" s="110"/>
      <c r="V1014" s="110"/>
      <c r="W1014" s="110"/>
      <c r="X1014" s="110"/>
      <c r="Y1014" s="110"/>
      <c r="Z1014" s="110"/>
      <c r="AA1014" s="110"/>
      <c r="AB1014" s="110"/>
      <c r="AC1014" s="110"/>
      <c r="AD1014" s="110"/>
      <c r="AE1014" s="110"/>
      <c r="AF1014" s="110"/>
      <c r="AG1014" s="110"/>
      <c r="AH1014" s="110"/>
      <c r="AI1014" s="110"/>
      <c r="AJ1014" s="110"/>
      <c r="AK1014" s="110"/>
      <c r="AL1014" s="13"/>
    </row>
    <row r="1015">
      <c r="A1015" s="110"/>
      <c r="B1015" s="110"/>
      <c r="C1015" s="110"/>
      <c r="D1015" s="110"/>
      <c r="E1015" s="110"/>
      <c r="F1015" s="110"/>
      <c r="G1015" s="110"/>
      <c r="H1015" s="110"/>
      <c r="I1015" s="110"/>
      <c r="J1015" s="110"/>
      <c r="K1015" s="110"/>
      <c r="L1015" s="110"/>
      <c r="M1015" s="144"/>
      <c r="N1015" s="110"/>
      <c r="O1015" s="110"/>
      <c r="P1015" s="110"/>
      <c r="Q1015" s="110"/>
      <c r="R1015" s="110"/>
      <c r="S1015" s="110"/>
      <c r="T1015" s="110"/>
      <c r="U1015" s="110"/>
      <c r="V1015" s="110"/>
      <c r="W1015" s="110"/>
      <c r="X1015" s="110"/>
      <c r="Y1015" s="110"/>
      <c r="Z1015" s="110"/>
      <c r="AA1015" s="110"/>
      <c r="AB1015" s="110"/>
      <c r="AC1015" s="110"/>
      <c r="AD1015" s="110"/>
      <c r="AE1015" s="110"/>
      <c r="AF1015" s="110"/>
      <c r="AG1015" s="110"/>
      <c r="AH1015" s="110"/>
      <c r="AI1015" s="110"/>
      <c r="AJ1015" s="110"/>
      <c r="AK1015" s="110"/>
      <c r="AL1015" s="13"/>
    </row>
    <row r="1016">
      <c r="A1016" s="110"/>
      <c r="B1016" s="110"/>
      <c r="C1016" s="110"/>
      <c r="D1016" s="110"/>
      <c r="E1016" s="110"/>
      <c r="F1016" s="110"/>
      <c r="G1016" s="110"/>
      <c r="H1016" s="110"/>
      <c r="I1016" s="110"/>
      <c r="J1016" s="110"/>
      <c r="K1016" s="110"/>
      <c r="L1016" s="110"/>
      <c r="M1016" s="144"/>
      <c r="N1016" s="110"/>
      <c r="O1016" s="110"/>
      <c r="P1016" s="110"/>
      <c r="Q1016" s="110"/>
      <c r="R1016" s="110"/>
      <c r="S1016" s="110"/>
      <c r="T1016" s="110"/>
      <c r="U1016" s="110"/>
      <c r="V1016" s="110"/>
      <c r="W1016" s="110"/>
      <c r="X1016" s="110"/>
      <c r="Y1016" s="110"/>
      <c r="Z1016" s="110"/>
      <c r="AA1016" s="110"/>
      <c r="AB1016" s="110"/>
      <c r="AC1016" s="110"/>
      <c r="AD1016" s="110"/>
      <c r="AE1016" s="110"/>
      <c r="AF1016" s="110"/>
      <c r="AG1016" s="110"/>
      <c r="AH1016" s="110"/>
      <c r="AI1016" s="110"/>
      <c r="AJ1016" s="110"/>
      <c r="AK1016" s="110"/>
      <c r="AL1016" s="13"/>
    </row>
    <row r="1017">
      <c r="A1017" s="110"/>
      <c r="B1017" s="110"/>
      <c r="C1017" s="110"/>
      <c r="D1017" s="110"/>
      <c r="E1017" s="110"/>
      <c r="F1017" s="110"/>
      <c r="G1017" s="110"/>
      <c r="H1017" s="110"/>
      <c r="I1017" s="110"/>
      <c r="J1017" s="110"/>
      <c r="K1017" s="110"/>
      <c r="L1017" s="110"/>
      <c r="M1017" s="144"/>
      <c r="N1017" s="110"/>
      <c r="O1017" s="110"/>
      <c r="P1017" s="110"/>
      <c r="Q1017" s="110"/>
      <c r="R1017" s="110"/>
      <c r="S1017" s="110"/>
      <c r="T1017" s="110"/>
      <c r="U1017" s="110"/>
      <c r="V1017" s="110"/>
      <c r="W1017" s="110"/>
      <c r="X1017" s="110"/>
      <c r="Y1017" s="110"/>
      <c r="Z1017" s="110"/>
      <c r="AA1017" s="110"/>
      <c r="AB1017" s="110"/>
      <c r="AC1017" s="110"/>
      <c r="AD1017" s="110"/>
      <c r="AE1017" s="110"/>
      <c r="AF1017" s="110"/>
      <c r="AG1017" s="110"/>
      <c r="AH1017" s="110"/>
      <c r="AI1017" s="110"/>
      <c r="AJ1017" s="110"/>
      <c r="AK1017" s="110"/>
      <c r="AL1017" s="13"/>
    </row>
    <row r="1018">
      <c r="A1018" s="110"/>
      <c r="B1018" s="110"/>
      <c r="C1018" s="110"/>
      <c r="D1018" s="110"/>
      <c r="E1018" s="110"/>
      <c r="F1018" s="110"/>
      <c r="G1018" s="110"/>
      <c r="H1018" s="110"/>
      <c r="I1018" s="110"/>
      <c r="J1018" s="110"/>
      <c r="K1018" s="110"/>
      <c r="L1018" s="110"/>
      <c r="M1018" s="144"/>
      <c r="N1018" s="110"/>
      <c r="O1018" s="110"/>
      <c r="P1018" s="110"/>
      <c r="Q1018" s="110"/>
      <c r="R1018" s="110"/>
      <c r="S1018" s="110"/>
      <c r="T1018" s="110"/>
      <c r="U1018" s="110"/>
      <c r="V1018" s="110"/>
      <c r="W1018" s="110"/>
      <c r="X1018" s="110"/>
      <c r="Y1018" s="110"/>
      <c r="Z1018" s="110"/>
      <c r="AA1018" s="110"/>
      <c r="AB1018" s="110"/>
      <c r="AC1018" s="110"/>
      <c r="AD1018" s="110"/>
      <c r="AE1018" s="110"/>
      <c r="AF1018" s="110"/>
      <c r="AG1018" s="110"/>
      <c r="AH1018" s="110"/>
      <c r="AI1018" s="110"/>
      <c r="AJ1018" s="110"/>
      <c r="AK1018" s="110"/>
      <c r="AL1018" s="13"/>
    </row>
    <row r="1019">
      <c r="A1019" s="110"/>
      <c r="B1019" s="110"/>
      <c r="C1019" s="110"/>
      <c r="D1019" s="110"/>
      <c r="E1019" s="110"/>
      <c r="F1019" s="110"/>
      <c r="G1019" s="110"/>
      <c r="H1019" s="110"/>
      <c r="I1019" s="110"/>
      <c r="J1019" s="110"/>
      <c r="K1019" s="110"/>
      <c r="L1019" s="110"/>
      <c r="M1019" s="144"/>
      <c r="N1019" s="110"/>
      <c r="O1019" s="110"/>
      <c r="P1019" s="110"/>
      <c r="Q1019" s="110"/>
      <c r="R1019" s="110"/>
      <c r="S1019" s="110"/>
      <c r="T1019" s="110"/>
      <c r="U1019" s="110"/>
      <c r="V1019" s="110"/>
      <c r="W1019" s="110"/>
      <c r="X1019" s="110"/>
      <c r="Y1019" s="110"/>
      <c r="Z1019" s="110"/>
      <c r="AA1019" s="110"/>
      <c r="AB1019" s="110"/>
      <c r="AC1019" s="110"/>
      <c r="AD1019" s="110"/>
      <c r="AE1019" s="110"/>
      <c r="AF1019" s="110"/>
      <c r="AG1019" s="110"/>
      <c r="AH1019" s="110"/>
      <c r="AI1019" s="110"/>
      <c r="AJ1019" s="110"/>
      <c r="AK1019" s="110"/>
      <c r="AL1019" s="13"/>
    </row>
    <row r="1020">
      <c r="A1020" s="110"/>
      <c r="B1020" s="110"/>
      <c r="C1020" s="110"/>
      <c r="D1020" s="110"/>
      <c r="E1020" s="110"/>
      <c r="F1020" s="110"/>
      <c r="G1020" s="110"/>
      <c r="H1020" s="110"/>
      <c r="I1020" s="110"/>
      <c r="J1020" s="110"/>
      <c r="K1020" s="110"/>
      <c r="L1020" s="110"/>
      <c r="M1020" s="144"/>
      <c r="N1020" s="110"/>
      <c r="O1020" s="110"/>
      <c r="P1020" s="110"/>
      <c r="Q1020" s="110"/>
      <c r="R1020" s="110"/>
      <c r="S1020" s="110"/>
      <c r="T1020" s="110"/>
      <c r="U1020" s="110"/>
      <c r="V1020" s="110"/>
      <c r="W1020" s="110"/>
      <c r="X1020" s="110"/>
      <c r="Y1020" s="110"/>
      <c r="Z1020" s="110"/>
      <c r="AA1020" s="110"/>
      <c r="AB1020" s="110"/>
      <c r="AC1020" s="110"/>
      <c r="AD1020" s="110"/>
      <c r="AE1020" s="110"/>
      <c r="AF1020" s="110"/>
      <c r="AG1020" s="110"/>
      <c r="AH1020" s="110"/>
      <c r="AI1020" s="110"/>
      <c r="AJ1020" s="110"/>
      <c r="AK1020" s="110"/>
      <c r="AL1020" s="13"/>
    </row>
    <row r="1021">
      <c r="A1021" s="110"/>
      <c r="B1021" s="110"/>
      <c r="C1021" s="110"/>
      <c r="D1021" s="110"/>
      <c r="E1021" s="110"/>
      <c r="F1021" s="110"/>
      <c r="G1021" s="110"/>
      <c r="H1021" s="110"/>
      <c r="I1021" s="110"/>
      <c r="J1021" s="110"/>
      <c r="K1021" s="110"/>
      <c r="L1021" s="110"/>
      <c r="M1021" s="144"/>
      <c r="N1021" s="110"/>
      <c r="O1021" s="110"/>
      <c r="P1021" s="110"/>
      <c r="Q1021" s="110"/>
      <c r="R1021" s="110"/>
      <c r="S1021" s="110"/>
      <c r="T1021" s="110"/>
      <c r="U1021" s="110"/>
      <c r="V1021" s="110"/>
      <c r="W1021" s="110"/>
      <c r="X1021" s="110"/>
      <c r="Y1021" s="110"/>
      <c r="Z1021" s="110"/>
      <c r="AA1021" s="110"/>
      <c r="AB1021" s="110"/>
      <c r="AC1021" s="110"/>
      <c r="AD1021" s="110"/>
      <c r="AE1021" s="110"/>
      <c r="AF1021" s="110"/>
      <c r="AG1021" s="110"/>
      <c r="AH1021" s="110"/>
      <c r="AI1021" s="110"/>
      <c r="AJ1021" s="110"/>
      <c r="AK1021" s="110"/>
      <c r="AL1021" s="13"/>
    </row>
    <row r="1022">
      <c r="A1022" s="110"/>
      <c r="B1022" s="110"/>
      <c r="C1022" s="110"/>
      <c r="D1022" s="110"/>
      <c r="E1022" s="110"/>
      <c r="F1022" s="110"/>
      <c r="G1022" s="110"/>
      <c r="H1022" s="110"/>
      <c r="I1022" s="110"/>
      <c r="J1022" s="110"/>
      <c r="K1022" s="110"/>
      <c r="L1022" s="110"/>
      <c r="M1022" s="144"/>
      <c r="N1022" s="110"/>
      <c r="O1022" s="110"/>
      <c r="P1022" s="110"/>
      <c r="Q1022" s="110"/>
      <c r="R1022" s="110"/>
      <c r="S1022" s="110"/>
      <c r="T1022" s="110"/>
      <c r="U1022" s="110"/>
      <c r="V1022" s="110"/>
      <c r="W1022" s="110"/>
      <c r="X1022" s="110"/>
      <c r="Y1022" s="110"/>
      <c r="Z1022" s="110"/>
      <c r="AA1022" s="110"/>
      <c r="AB1022" s="110"/>
      <c r="AC1022" s="110"/>
      <c r="AD1022" s="110"/>
      <c r="AE1022" s="110"/>
      <c r="AF1022" s="110"/>
      <c r="AG1022" s="110"/>
      <c r="AH1022" s="110"/>
      <c r="AI1022" s="110"/>
      <c r="AJ1022" s="110"/>
      <c r="AK1022" s="110"/>
      <c r="AL1022" s="13"/>
    </row>
    <row r="1023">
      <c r="A1023" s="110"/>
      <c r="B1023" s="110"/>
      <c r="C1023" s="110"/>
      <c r="D1023" s="110"/>
      <c r="E1023" s="110"/>
      <c r="F1023" s="110"/>
      <c r="G1023" s="110"/>
      <c r="H1023" s="110"/>
      <c r="I1023" s="110"/>
      <c r="J1023" s="110"/>
      <c r="K1023" s="110"/>
      <c r="L1023" s="110"/>
      <c r="M1023" s="144"/>
      <c r="N1023" s="110"/>
      <c r="O1023" s="110"/>
      <c r="P1023" s="110"/>
      <c r="Q1023" s="110"/>
      <c r="R1023" s="110"/>
      <c r="S1023" s="110"/>
      <c r="T1023" s="110"/>
      <c r="U1023" s="110"/>
      <c r="V1023" s="110"/>
      <c r="W1023" s="110"/>
      <c r="X1023" s="110"/>
      <c r="Y1023" s="110"/>
      <c r="Z1023" s="110"/>
      <c r="AA1023" s="110"/>
      <c r="AB1023" s="110"/>
      <c r="AC1023" s="110"/>
      <c r="AD1023" s="110"/>
      <c r="AE1023" s="110"/>
      <c r="AF1023" s="110"/>
      <c r="AG1023" s="110"/>
      <c r="AH1023" s="110"/>
      <c r="AI1023" s="110"/>
      <c r="AJ1023" s="110"/>
      <c r="AK1023" s="110"/>
      <c r="AL1023" s="13"/>
    </row>
    <row r="1024">
      <c r="A1024" s="110"/>
      <c r="B1024" s="110"/>
      <c r="C1024" s="110"/>
      <c r="D1024" s="110"/>
      <c r="E1024" s="110"/>
      <c r="F1024" s="110"/>
      <c r="G1024" s="110"/>
      <c r="H1024" s="110"/>
      <c r="I1024" s="110"/>
      <c r="J1024" s="110"/>
      <c r="K1024" s="110"/>
      <c r="L1024" s="110"/>
      <c r="M1024" s="144"/>
      <c r="N1024" s="110"/>
      <c r="O1024" s="110"/>
      <c r="P1024" s="110"/>
      <c r="Q1024" s="110"/>
      <c r="R1024" s="110"/>
      <c r="S1024" s="110"/>
      <c r="T1024" s="110"/>
      <c r="U1024" s="110"/>
      <c r="V1024" s="110"/>
      <c r="W1024" s="110"/>
      <c r="X1024" s="110"/>
      <c r="Y1024" s="110"/>
      <c r="Z1024" s="110"/>
      <c r="AA1024" s="110"/>
      <c r="AB1024" s="110"/>
      <c r="AC1024" s="110"/>
      <c r="AD1024" s="110"/>
      <c r="AE1024" s="110"/>
      <c r="AF1024" s="110"/>
      <c r="AG1024" s="110"/>
      <c r="AH1024" s="110"/>
      <c r="AI1024" s="110"/>
      <c r="AJ1024" s="110"/>
      <c r="AK1024" s="110"/>
      <c r="AL1024" s="13"/>
    </row>
    <row r="1025">
      <c r="A1025" s="110"/>
      <c r="B1025" s="110"/>
      <c r="C1025" s="110"/>
      <c r="D1025" s="110"/>
      <c r="E1025" s="110"/>
      <c r="F1025" s="110"/>
      <c r="G1025" s="110"/>
      <c r="H1025" s="110"/>
      <c r="I1025" s="110"/>
      <c r="J1025" s="110"/>
      <c r="K1025" s="110"/>
      <c r="L1025" s="110"/>
      <c r="M1025" s="144"/>
      <c r="N1025" s="110"/>
      <c r="O1025" s="110"/>
      <c r="P1025" s="110"/>
      <c r="Q1025" s="110"/>
      <c r="R1025" s="110"/>
      <c r="S1025" s="110"/>
      <c r="T1025" s="110"/>
      <c r="U1025" s="110"/>
      <c r="V1025" s="110"/>
      <c r="W1025" s="110"/>
      <c r="X1025" s="110"/>
      <c r="Y1025" s="110"/>
      <c r="Z1025" s="110"/>
      <c r="AA1025" s="110"/>
      <c r="AB1025" s="110"/>
      <c r="AC1025" s="110"/>
      <c r="AD1025" s="110"/>
      <c r="AE1025" s="110"/>
      <c r="AF1025" s="110"/>
      <c r="AG1025" s="110"/>
      <c r="AH1025" s="110"/>
      <c r="AI1025" s="110"/>
      <c r="AJ1025" s="110"/>
      <c r="AK1025" s="110"/>
      <c r="AL1025" s="13"/>
    </row>
    <row r="1026">
      <c r="A1026" s="110"/>
      <c r="B1026" s="110"/>
      <c r="C1026" s="110"/>
      <c r="D1026" s="110"/>
      <c r="E1026" s="110"/>
      <c r="F1026" s="110"/>
      <c r="G1026" s="110"/>
      <c r="H1026" s="110"/>
      <c r="I1026" s="110"/>
      <c r="J1026" s="110"/>
      <c r="K1026" s="110"/>
      <c r="L1026" s="110"/>
      <c r="M1026" s="144"/>
      <c r="N1026" s="110"/>
      <c r="O1026" s="110"/>
      <c r="P1026" s="110"/>
      <c r="Q1026" s="110"/>
      <c r="R1026" s="110"/>
      <c r="S1026" s="110"/>
      <c r="T1026" s="110"/>
      <c r="U1026" s="110"/>
      <c r="V1026" s="110"/>
      <c r="W1026" s="110"/>
      <c r="X1026" s="110"/>
      <c r="Y1026" s="110"/>
      <c r="Z1026" s="110"/>
      <c r="AA1026" s="110"/>
      <c r="AB1026" s="110"/>
      <c r="AC1026" s="110"/>
      <c r="AD1026" s="110"/>
      <c r="AE1026" s="110"/>
      <c r="AF1026" s="110"/>
      <c r="AG1026" s="110"/>
      <c r="AH1026" s="110"/>
      <c r="AI1026" s="110"/>
      <c r="AJ1026" s="110"/>
      <c r="AK1026" s="110"/>
      <c r="AL1026" s="13"/>
    </row>
    <row r="1027">
      <c r="A1027" s="110"/>
      <c r="B1027" s="110"/>
      <c r="C1027" s="110"/>
      <c r="D1027" s="110"/>
      <c r="E1027" s="110"/>
      <c r="F1027" s="110"/>
      <c r="G1027" s="110"/>
      <c r="H1027" s="110"/>
      <c r="I1027" s="110"/>
      <c r="J1027" s="110"/>
      <c r="K1027" s="110"/>
      <c r="L1027" s="110"/>
      <c r="M1027" s="144"/>
      <c r="N1027" s="110"/>
      <c r="O1027" s="110"/>
      <c r="P1027" s="110"/>
      <c r="Q1027" s="110"/>
      <c r="R1027" s="110"/>
      <c r="S1027" s="110"/>
      <c r="T1027" s="110"/>
      <c r="U1027" s="110"/>
      <c r="V1027" s="110"/>
      <c r="W1027" s="110"/>
      <c r="X1027" s="110"/>
      <c r="Y1027" s="110"/>
      <c r="Z1027" s="110"/>
      <c r="AA1027" s="110"/>
      <c r="AB1027" s="110"/>
      <c r="AC1027" s="110"/>
      <c r="AD1027" s="110"/>
      <c r="AE1027" s="110"/>
      <c r="AF1027" s="110"/>
      <c r="AG1027" s="110"/>
      <c r="AH1027" s="110"/>
      <c r="AI1027" s="110"/>
      <c r="AJ1027" s="110"/>
      <c r="AK1027" s="110"/>
      <c r="AL1027" s="13"/>
    </row>
    <row r="1028">
      <c r="A1028" s="110"/>
      <c r="B1028" s="110"/>
      <c r="C1028" s="110"/>
      <c r="D1028" s="110"/>
      <c r="E1028" s="110"/>
      <c r="F1028" s="110"/>
      <c r="G1028" s="110"/>
      <c r="H1028" s="110"/>
      <c r="I1028" s="110"/>
      <c r="J1028" s="110"/>
      <c r="K1028" s="110"/>
      <c r="L1028" s="110"/>
      <c r="M1028" s="144"/>
      <c r="N1028" s="110"/>
      <c r="O1028" s="110"/>
      <c r="P1028" s="110"/>
      <c r="Q1028" s="110"/>
      <c r="R1028" s="110"/>
      <c r="S1028" s="110"/>
      <c r="T1028" s="110"/>
      <c r="U1028" s="110"/>
      <c r="V1028" s="110"/>
      <c r="W1028" s="110"/>
      <c r="X1028" s="110"/>
      <c r="Y1028" s="110"/>
      <c r="Z1028" s="110"/>
      <c r="AA1028" s="110"/>
      <c r="AB1028" s="110"/>
      <c r="AC1028" s="110"/>
      <c r="AD1028" s="110"/>
      <c r="AE1028" s="110"/>
      <c r="AF1028" s="110"/>
      <c r="AG1028" s="110"/>
      <c r="AH1028" s="110"/>
      <c r="AI1028" s="110"/>
      <c r="AJ1028" s="110"/>
      <c r="AK1028" s="110"/>
      <c r="AL1028" s="13"/>
    </row>
    <row r="1029">
      <c r="A1029" s="110"/>
      <c r="B1029" s="110"/>
      <c r="C1029" s="110"/>
      <c r="D1029" s="110"/>
      <c r="E1029" s="110"/>
      <c r="F1029" s="110"/>
      <c r="G1029" s="110"/>
      <c r="H1029" s="110"/>
      <c r="I1029" s="110"/>
      <c r="J1029" s="110"/>
      <c r="K1029" s="110"/>
      <c r="L1029" s="110"/>
      <c r="M1029" s="144"/>
      <c r="N1029" s="110"/>
      <c r="O1029" s="110"/>
      <c r="P1029" s="110"/>
      <c r="Q1029" s="110"/>
      <c r="R1029" s="110"/>
      <c r="S1029" s="110"/>
      <c r="T1029" s="110"/>
      <c r="U1029" s="110"/>
      <c r="V1029" s="110"/>
      <c r="W1029" s="110"/>
      <c r="X1029" s="110"/>
      <c r="Y1029" s="110"/>
      <c r="Z1029" s="110"/>
      <c r="AA1029" s="110"/>
      <c r="AB1029" s="110"/>
      <c r="AC1029" s="110"/>
      <c r="AD1029" s="110"/>
      <c r="AE1029" s="110"/>
      <c r="AF1029" s="110"/>
      <c r="AG1029" s="110"/>
      <c r="AH1029" s="110"/>
      <c r="AI1029" s="110"/>
      <c r="AJ1029" s="110"/>
      <c r="AK1029" s="110"/>
      <c r="AL1029" s="13"/>
    </row>
    <row r="1030">
      <c r="A1030" s="110"/>
      <c r="B1030" s="110"/>
      <c r="C1030" s="110"/>
      <c r="D1030" s="110"/>
      <c r="E1030" s="110"/>
      <c r="F1030" s="110"/>
      <c r="G1030" s="110"/>
      <c r="H1030" s="110"/>
      <c r="I1030" s="110"/>
      <c r="J1030" s="110"/>
      <c r="K1030" s="110"/>
      <c r="L1030" s="110"/>
      <c r="M1030" s="144"/>
      <c r="N1030" s="110"/>
      <c r="O1030" s="110"/>
      <c r="P1030" s="110"/>
      <c r="Q1030" s="110"/>
      <c r="R1030" s="110"/>
      <c r="S1030" s="110"/>
      <c r="T1030" s="110"/>
      <c r="U1030" s="110"/>
      <c r="V1030" s="110"/>
      <c r="W1030" s="110"/>
      <c r="X1030" s="110"/>
      <c r="Y1030" s="110"/>
      <c r="Z1030" s="110"/>
      <c r="AA1030" s="110"/>
      <c r="AB1030" s="110"/>
      <c r="AC1030" s="110"/>
      <c r="AD1030" s="110"/>
      <c r="AE1030" s="110"/>
      <c r="AF1030" s="110"/>
      <c r="AG1030" s="110"/>
      <c r="AH1030" s="110"/>
      <c r="AI1030" s="110"/>
      <c r="AJ1030" s="110"/>
      <c r="AK1030" s="110"/>
      <c r="AL1030" s="13"/>
    </row>
    <row r="1031">
      <c r="A1031" s="110"/>
      <c r="B1031" s="110"/>
      <c r="C1031" s="110"/>
      <c r="D1031" s="110"/>
      <c r="E1031" s="110"/>
      <c r="F1031" s="110"/>
      <c r="G1031" s="110"/>
      <c r="H1031" s="110"/>
      <c r="I1031" s="110"/>
      <c r="J1031" s="110"/>
      <c r="K1031" s="110"/>
      <c r="L1031" s="110"/>
      <c r="M1031" s="144"/>
      <c r="N1031" s="110"/>
      <c r="O1031" s="110"/>
      <c r="P1031" s="110"/>
      <c r="Q1031" s="110"/>
      <c r="R1031" s="110"/>
      <c r="S1031" s="110"/>
      <c r="T1031" s="110"/>
      <c r="U1031" s="110"/>
      <c r="V1031" s="110"/>
      <c r="W1031" s="110"/>
      <c r="X1031" s="110"/>
      <c r="Y1031" s="110"/>
      <c r="Z1031" s="110"/>
      <c r="AA1031" s="110"/>
      <c r="AB1031" s="110"/>
      <c r="AC1031" s="110"/>
      <c r="AD1031" s="110"/>
      <c r="AE1031" s="110"/>
      <c r="AF1031" s="110"/>
      <c r="AG1031" s="110"/>
      <c r="AH1031" s="110"/>
      <c r="AI1031" s="110"/>
      <c r="AJ1031" s="110"/>
      <c r="AK1031" s="110"/>
      <c r="AL1031" s="13"/>
    </row>
    <row r="1032">
      <c r="A1032" s="110"/>
      <c r="B1032" s="110"/>
      <c r="C1032" s="110"/>
      <c r="D1032" s="110"/>
      <c r="E1032" s="110"/>
      <c r="F1032" s="110"/>
      <c r="G1032" s="110"/>
      <c r="H1032" s="110"/>
      <c r="I1032" s="110"/>
      <c r="J1032" s="110"/>
      <c r="K1032" s="110"/>
      <c r="L1032" s="110"/>
      <c r="M1032" s="144"/>
      <c r="N1032" s="110"/>
      <c r="O1032" s="110"/>
      <c r="P1032" s="110"/>
      <c r="Q1032" s="110"/>
      <c r="R1032" s="110"/>
      <c r="S1032" s="110"/>
      <c r="T1032" s="110"/>
      <c r="U1032" s="110"/>
      <c r="V1032" s="110"/>
      <c r="W1032" s="110"/>
      <c r="X1032" s="110"/>
      <c r="Y1032" s="110"/>
      <c r="Z1032" s="110"/>
      <c r="AA1032" s="110"/>
      <c r="AB1032" s="110"/>
      <c r="AC1032" s="110"/>
      <c r="AD1032" s="110"/>
      <c r="AE1032" s="110"/>
      <c r="AF1032" s="110"/>
      <c r="AG1032" s="110"/>
      <c r="AH1032" s="110"/>
      <c r="AI1032" s="110"/>
      <c r="AJ1032" s="110"/>
      <c r="AK1032" s="110"/>
      <c r="AL1032" s="13"/>
    </row>
    <row r="1033">
      <c r="A1033" s="110"/>
      <c r="B1033" s="110"/>
      <c r="C1033" s="110"/>
      <c r="D1033" s="110"/>
      <c r="E1033" s="110"/>
      <c r="F1033" s="110"/>
      <c r="G1033" s="110"/>
      <c r="H1033" s="110"/>
      <c r="I1033" s="110"/>
      <c r="J1033" s="110"/>
      <c r="K1033" s="110"/>
      <c r="L1033" s="110"/>
      <c r="M1033" s="144"/>
      <c r="N1033" s="110"/>
      <c r="O1033" s="110"/>
      <c r="P1033" s="110"/>
      <c r="Q1033" s="110"/>
      <c r="R1033" s="110"/>
      <c r="S1033" s="110"/>
      <c r="T1033" s="110"/>
      <c r="U1033" s="110"/>
      <c r="V1033" s="110"/>
      <c r="W1033" s="110"/>
      <c r="X1033" s="110"/>
      <c r="Y1033" s="110"/>
      <c r="Z1033" s="110"/>
      <c r="AA1033" s="110"/>
      <c r="AB1033" s="110"/>
      <c r="AC1033" s="110"/>
      <c r="AD1033" s="110"/>
      <c r="AE1033" s="110"/>
      <c r="AF1033" s="110"/>
      <c r="AG1033" s="110"/>
      <c r="AH1033" s="110"/>
      <c r="AI1033" s="110"/>
      <c r="AJ1033" s="110"/>
      <c r="AK1033" s="110"/>
      <c r="AL1033" s="13"/>
    </row>
    <row r="1034">
      <c r="A1034" s="110"/>
      <c r="B1034" s="110"/>
      <c r="C1034" s="110"/>
      <c r="D1034" s="110"/>
      <c r="E1034" s="110"/>
      <c r="F1034" s="110"/>
      <c r="G1034" s="110"/>
      <c r="H1034" s="110"/>
      <c r="I1034" s="110"/>
      <c r="J1034" s="110"/>
      <c r="K1034" s="110"/>
      <c r="L1034" s="110"/>
      <c r="M1034" s="144"/>
      <c r="N1034" s="110"/>
      <c r="O1034" s="110"/>
      <c r="P1034" s="110"/>
      <c r="Q1034" s="110"/>
      <c r="R1034" s="110"/>
      <c r="S1034" s="110"/>
      <c r="T1034" s="110"/>
      <c r="U1034" s="110"/>
      <c r="V1034" s="110"/>
      <c r="W1034" s="110"/>
      <c r="X1034" s="110"/>
      <c r="Y1034" s="110"/>
      <c r="Z1034" s="110"/>
      <c r="AA1034" s="110"/>
      <c r="AB1034" s="110"/>
      <c r="AC1034" s="110"/>
      <c r="AD1034" s="110"/>
      <c r="AE1034" s="110"/>
      <c r="AF1034" s="110"/>
      <c r="AG1034" s="110"/>
      <c r="AH1034" s="110"/>
      <c r="AI1034" s="110"/>
      <c r="AJ1034" s="110"/>
      <c r="AK1034" s="110"/>
      <c r="AL1034" s="13"/>
    </row>
    <row r="1035">
      <c r="A1035" s="110"/>
      <c r="B1035" s="110"/>
      <c r="C1035" s="110"/>
      <c r="D1035" s="110"/>
      <c r="E1035" s="110"/>
      <c r="F1035" s="110"/>
      <c r="G1035" s="110"/>
      <c r="H1035" s="110"/>
      <c r="I1035" s="110"/>
      <c r="J1035" s="110"/>
      <c r="K1035" s="110"/>
      <c r="L1035" s="110"/>
      <c r="M1035" s="144"/>
      <c r="N1035" s="110"/>
      <c r="O1035" s="110"/>
      <c r="P1035" s="110"/>
      <c r="Q1035" s="110"/>
      <c r="R1035" s="110"/>
      <c r="S1035" s="110"/>
      <c r="T1035" s="110"/>
      <c r="U1035" s="110"/>
      <c r="V1035" s="110"/>
      <c r="W1035" s="110"/>
      <c r="X1035" s="110"/>
      <c r="Y1035" s="110"/>
      <c r="Z1035" s="110"/>
      <c r="AA1035" s="110"/>
      <c r="AB1035" s="110"/>
      <c r="AC1035" s="110"/>
      <c r="AD1035" s="110"/>
      <c r="AE1035" s="110"/>
      <c r="AF1035" s="110"/>
      <c r="AG1035" s="110"/>
      <c r="AH1035" s="110"/>
      <c r="AI1035" s="110"/>
      <c r="AJ1035" s="110"/>
      <c r="AK1035" s="110"/>
      <c r="AL1035" s="13"/>
    </row>
    <row r="1036">
      <c r="A1036" s="110"/>
      <c r="B1036" s="110"/>
      <c r="C1036" s="110"/>
      <c r="D1036" s="110"/>
      <c r="E1036" s="110"/>
      <c r="F1036" s="110"/>
      <c r="G1036" s="110"/>
      <c r="H1036" s="110"/>
      <c r="I1036" s="110"/>
      <c r="J1036" s="110"/>
      <c r="K1036" s="110"/>
      <c r="L1036" s="110"/>
      <c r="M1036" s="144"/>
      <c r="N1036" s="110"/>
      <c r="O1036" s="110"/>
      <c r="P1036" s="110"/>
      <c r="Q1036" s="110"/>
      <c r="R1036" s="110"/>
      <c r="S1036" s="110"/>
      <c r="T1036" s="110"/>
      <c r="U1036" s="110"/>
      <c r="V1036" s="110"/>
      <c r="W1036" s="110"/>
      <c r="X1036" s="110"/>
      <c r="Y1036" s="110"/>
      <c r="Z1036" s="110"/>
      <c r="AA1036" s="110"/>
      <c r="AB1036" s="110"/>
      <c r="AC1036" s="110"/>
      <c r="AD1036" s="110"/>
      <c r="AE1036" s="110"/>
      <c r="AF1036" s="110"/>
      <c r="AG1036" s="110"/>
      <c r="AH1036" s="110"/>
      <c r="AI1036" s="110"/>
      <c r="AJ1036" s="110"/>
      <c r="AK1036" s="110"/>
      <c r="AL1036" s="13"/>
    </row>
    <row r="1037">
      <c r="A1037" s="110"/>
      <c r="B1037" s="110"/>
      <c r="C1037" s="110"/>
      <c r="D1037" s="110"/>
      <c r="E1037" s="110"/>
      <c r="F1037" s="110"/>
      <c r="G1037" s="110"/>
      <c r="H1037" s="110"/>
      <c r="I1037" s="110"/>
      <c r="J1037" s="110"/>
      <c r="K1037" s="110"/>
      <c r="L1037" s="110"/>
      <c r="M1037" s="144"/>
      <c r="N1037" s="110"/>
      <c r="O1037" s="110"/>
      <c r="P1037" s="110"/>
      <c r="Q1037" s="110"/>
      <c r="R1037" s="110"/>
      <c r="S1037" s="110"/>
      <c r="T1037" s="110"/>
      <c r="U1037" s="110"/>
      <c r="V1037" s="110"/>
      <c r="W1037" s="110"/>
      <c r="X1037" s="110"/>
      <c r="Y1037" s="110"/>
      <c r="Z1037" s="110"/>
      <c r="AA1037" s="110"/>
      <c r="AB1037" s="110"/>
      <c r="AC1037" s="110"/>
      <c r="AD1037" s="110"/>
      <c r="AE1037" s="110"/>
      <c r="AF1037" s="110"/>
      <c r="AG1037" s="110"/>
      <c r="AH1037" s="110"/>
      <c r="AI1037" s="110"/>
      <c r="AJ1037" s="110"/>
      <c r="AK1037" s="110"/>
      <c r="AL1037" s="13"/>
    </row>
    <row r="1038">
      <c r="A1038" s="110"/>
      <c r="B1038" s="110"/>
      <c r="C1038" s="110"/>
      <c r="D1038" s="110"/>
      <c r="E1038" s="110"/>
      <c r="F1038" s="110"/>
      <c r="G1038" s="110"/>
      <c r="H1038" s="110"/>
      <c r="I1038" s="110"/>
      <c r="J1038" s="110"/>
      <c r="K1038" s="110"/>
      <c r="L1038" s="110"/>
      <c r="M1038" s="144"/>
      <c r="N1038" s="110"/>
      <c r="O1038" s="110"/>
      <c r="P1038" s="110"/>
      <c r="Q1038" s="110"/>
      <c r="R1038" s="110"/>
      <c r="S1038" s="110"/>
      <c r="T1038" s="110"/>
      <c r="U1038" s="110"/>
      <c r="V1038" s="110"/>
      <c r="W1038" s="110"/>
      <c r="X1038" s="110"/>
      <c r="Y1038" s="110"/>
      <c r="Z1038" s="110"/>
      <c r="AA1038" s="110"/>
      <c r="AB1038" s="110"/>
      <c r="AC1038" s="110"/>
      <c r="AD1038" s="110"/>
      <c r="AE1038" s="110"/>
      <c r="AF1038" s="110"/>
      <c r="AG1038" s="110"/>
      <c r="AH1038" s="110"/>
      <c r="AI1038" s="110"/>
      <c r="AJ1038" s="110"/>
      <c r="AK1038" s="110"/>
      <c r="AL1038" s="13"/>
    </row>
    <row r="1039">
      <c r="A1039" s="110"/>
      <c r="B1039" s="110"/>
      <c r="C1039" s="110"/>
      <c r="D1039" s="110"/>
      <c r="E1039" s="110"/>
      <c r="F1039" s="110"/>
      <c r="G1039" s="110"/>
      <c r="H1039" s="110"/>
      <c r="I1039" s="110"/>
      <c r="J1039" s="110"/>
      <c r="K1039" s="110"/>
      <c r="L1039" s="110"/>
      <c r="M1039" s="144"/>
      <c r="N1039" s="110"/>
      <c r="O1039" s="110"/>
      <c r="P1039" s="110"/>
      <c r="Q1039" s="110"/>
      <c r="R1039" s="110"/>
      <c r="S1039" s="110"/>
      <c r="T1039" s="110"/>
      <c r="U1039" s="110"/>
      <c r="V1039" s="110"/>
      <c r="W1039" s="110"/>
      <c r="X1039" s="110"/>
      <c r="Y1039" s="110"/>
      <c r="Z1039" s="110"/>
      <c r="AA1039" s="110"/>
      <c r="AB1039" s="110"/>
      <c r="AC1039" s="110"/>
      <c r="AD1039" s="110"/>
      <c r="AE1039" s="110"/>
      <c r="AF1039" s="110"/>
      <c r="AG1039" s="110"/>
      <c r="AH1039" s="110"/>
      <c r="AI1039" s="110"/>
      <c r="AJ1039" s="110"/>
      <c r="AK1039" s="110"/>
      <c r="AL1039" s="13"/>
    </row>
    <row r="1040">
      <c r="A1040" s="110"/>
      <c r="B1040" s="110"/>
      <c r="C1040" s="110"/>
      <c r="D1040" s="110"/>
      <c r="E1040" s="110"/>
      <c r="F1040" s="110"/>
      <c r="G1040" s="110"/>
      <c r="H1040" s="110"/>
      <c r="I1040" s="110"/>
      <c r="J1040" s="110"/>
      <c r="K1040" s="110"/>
      <c r="L1040" s="110"/>
      <c r="M1040" s="144"/>
      <c r="N1040" s="110"/>
      <c r="O1040" s="110"/>
      <c r="P1040" s="110"/>
      <c r="Q1040" s="110"/>
      <c r="R1040" s="110"/>
      <c r="S1040" s="110"/>
      <c r="T1040" s="110"/>
      <c r="U1040" s="110"/>
      <c r="V1040" s="110"/>
      <c r="W1040" s="110"/>
      <c r="X1040" s="110"/>
      <c r="Y1040" s="110"/>
      <c r="Z1040" s="110"/>
      <c r="AA1040" s="110"/>
      <c r="AB1040" s="110"/>
      <c r="AC1040" s="110"/>
      <c r="AD1040" s="110"/>
      <c r="AE1040" s="110"/>
      <c r="AF1040" s="110"/>
      <c r="AG1040" s="110"/>
      <c r="AH1040" s="110"/>
      <c r="AI1040" s="110"/>
      <c r="AJ1040" s="110"/>
      <c r="AK1040" s="110"/>
      <c r="AL1040" s="13"/>
    </row>
    <row r="1041">
      <c r="A1041" s="110"/>
      <c r="B1041" s="110"/>
      <c r="C1041" s="110"/>
      <c r="D1041" s="110"/>
      <c r="E1041" s="110"/>
      <c r="F1041" s="110"/>
      <c r="G1041" s="110"/>
      <c r="H1041" s="110"/>
      <c r="I1041" s="110"/>
      <c r="J1041" s="110"/>
      <c r="K1041" s="110"/>
      <c r="L1041" s="110"/>
      <c r="M1041" s="144"/>
      <c r="N1041" s="110"/>
      <c r="O1041" s="110"/>
      <c r="P1041" s="110"/>
      <c r="Q1041" s="110"/>
      <c r="R1041" s="110"/>
      <c r="S1041" s="110"/>
      <c r="T1041" s="110"/>
      <c r="U1041" s="110"/>
      <c r="V1041" s="110"/>
      <c r="W1041" s="110"/>
      <c r="X1041" s="110"/>
      <c r="Y1041" s="110"/>
      <c r="Z1041" s="110"/>
      <c r="AA1041" s="110"/>
      <c r="AB1041" s="110"/>
      <c r="AC1041" s="110"/>
      <c r="AD1041" s="110"/>
      <c r="AE1041" s="110"/>
      <c r="AF1041" s="110"/>
      <c r="AG1041" s="110"/>
      <c r="AH1041" s="110"/>
      <c r="AI1041" s="110"/>
      <c r="AJ1041" s="110"/>
      <c r="AK1041" s="110"/>
      <c r="AL1041" s="13"/>
    </row>
    <row r="1042">
      <c r="A1042" s="110"/>
      <c r="B1042" s="110"/>
      <c r="C1042" s="110"/>
      <c r="D1042" s="110"/>
      <c r="E1042" s="110"/>
      <c r="F1042" s="110"/>
      <c r="G1042" s="110"/>
      <c r="H1042" s="110"/>
      <c r="I1042" s="110"/>
      <c r="J1042" s="110"/>
      <c r="K1042" s="110"/>
      <c r="L1042" s="110"/>
      <c r="M1042" s="144"/>
      <c r="N1042" s="110"/>
      <c r="O1042" s="110"/>
      <c r="P1042" s="110"/>
      <c r="Q1042" s="110"/>
      <c r="R1042" s="110"/>
      <c r="S1042" s="110"/>
      <c r="T1042" s="110"/>
      <c r="U1042" s="110"/>
      <c r="V1042" s="110"/>
      <c r="W1042" s="110"/>
      <c r="X1042" s="110"/>
      <c r="Y1042" s="110"/>
      <c r="Z1042" s="110"/>
      <c r="AA1042" s="110"/>
      <c r="AB1042" s="110"/>
      <c r="AC1042" s="110"/>
      <c r="AD1042" s="110"/>
      <c r="AE1042" s="110"/>
      <c r="AF1042" s="110"/>
      <c r="AG1042" s="110"/>
      <c r="AH1042" s="110"/>
      <c r="AI1042" s="110"/>
      <c r="AJ1042" s="110"/>
      <c r="AK1042" s="110"/>
      <c r="AL1042" s="13"/>
    </row>
    <row r="1043">
      <c r="A1043" s="110"/>
      <c r="B1043" s="110"/>
      <c r="C1043" s="110"/>
      <c r="D1043" s="110"/>
      <c r="E1043" s="110"/>
      <c r="F1043" s="110"/>
      <c r="G1043" s="110"/>
      <c r="H1043" s="110"/>
      <c r="I1043" s="110"/>
      <c r="J1043" s="110"/>
      <c r="K1043" s="110"/>
      <c r="L1043" s="110"/>
      <c r="M1043" s="144"/>
      <c r="N1043" s="110"/>
      <c r="O1043" s="110"/>
      <c r="P1043" s="110"/>
      <c r="Q1043" s="110"/>
      <c r="R1043" s="110"/>
      <c r="S1043" s="110"/>
      <c r="T1043" s="110"/>
      <c r="U1043" s="110"/>
      <c r="V1043" s="110"/>
      <c r="W1043" s="110"/>
      <c r="X1043" s="110"/>
      <c r="Y1043" s="110"/>
      <c r="Z1043" s="110"/>
      <c r="AA1043" s="110"/>
      <c r="AB1043" s="110"/>
      <c r="AC1043" s="110"/>
      <c r="AD1043" s="110"/>
      <c r="AE1043" s="110"/>
      <c r="AF1043" s="110"/>
      <c r="AG1043" s="110"/>
      <c r="AH1043" s="110"/>
      <c r="AI1043" s="110"/>
      <c r="AJ1043" s="110"/>
      <c r="AK1043" s="110"/>
      <c r="AL1043" s="13"/>
    </row>
    <row r="1044">
      <c r="A1044" s="110"/>
      <c r="B1044" s="110"/>
      <c r="C1044" s="110"/>
      <c r="D1044" s="110"/>
      <c r="E1044" s="110"/>
      <c r="F1044" s="110"/>
      <c r="G1044" s="110"/>
      <c r="H1044" s="110"/>
      <c r="I1044" s="110"/>
      <c r="J1044" s="110"/>
      <c r="K1044" s="110"/>
      <c r="L1044" s="110"/>
      <c r="M1044" s="144"/>
      <c r="N1044" s="110"/>
      <c r="O1044" s="110"/>
      <c r="P1044" s="110"/>
      <c r="Q1044" s="110"/>
      <c r="R1044" s="110"/>
      <c r="S1044" s="110"/>
      <c r="T1044" s="110"/>
      <c r="U1044" s="110"/>
      <c r="V1044" s="110"/>
      <c r="W1044" s="110"/>
      <c r="X1044" s="110"/>
      <c r="Y1044" s="110"/>
      <c r="Z1044" s="110"/>
      <c r="AA1044" s="110"/>
      <c r="AB1044" s="110"/>
      <c r="AC1044" s="110"/>
      <c r="AD1044" s="110"/>
      <c r="AE1044" s="110"/>
      <c r="AF1044" s="110"/>
      <c r="AG1044" s="110"/>
      <c r="AH1044" s="110"/>
      <c r="AI1044" s="110"/>
      <c r="AJ1044" s="110"/>
      <c r="AK1044" s="110"/>
      <c r="AL1044" s="13"/>
    </row>
    <row r="1045">
      <c r="A1045" s="110"/>
      <c r="B1045" s="110"/>
      <c r="C1045" s="110"/>
      <c r="D1045" s="110"/>
      <c r="E1045" s="110"/>
      <c r="F1045" s="110"/>
      <c r="G1045" s="110"/>
      <c r="H1045" s="110"/>
      <c r="I1045" s="110"/>
      <c r="J1045" s="110"/>
      <c r="K1045" s="110"/>
      <c r="L1045" s="110"/>
      <c r="M1045" s="144"/>
      <c r="N1045" s="110"/>
      <c r="O1045" s="110"/>
      <c r="P1045" s="110"/>
      <c r="Q1045" s="110"/>
      <c r="R1045" s="110"/>
      <c r="S1045" s="110"/>
      <c r="T1045" s="110"/>
      <c r="U1045" s="110"/>
      <c r="V1045" s="110"/>
      <c r="W1045" s="110"/>
      <c r="X1045" s="110"/>
      <c r="Y1045" s="110"/>
      <c r="Z1045" s="110"/>
      <c r="AA1045" s="110"/>
      <c r="AB1045" s="110"/>
      <c r="AC1045" s="110"/>
      <c r="AD1045" s="110"/>
      <c r="AE1045" s="110"/>
      <c r="AF1045" s="110"/>
      <c r="AG1045" s="110"/>
      <c r="AH1045" s="110"/>
      <c r="AI1045" s="110"/>
      <c r="AJ1045" s="110"/>
      <c r="AK1045" s="110"/>
      <c r="AL1045" s="13"/>
    </row>
    <row r="1046">
      <c r="A1046" s="110"/>
      <c r="B1046" s="110"/>
      <c r="C1046" s="110"/>
      <c r="D1046" s="110"/>
      <c r="E1046" s="110"/>
      <c r="F1046" s="110"/>
      <c r="G1046" s="110"/>
      <c r="H1046" s="110"/>
      <c r="I1046" s="110"/>
      <c r="J1046" s="110"/>
      <c r="K1046" s="110"/>
      <c r="L1046" s="110"/>
      <c r="M1046" s="144"/>
      <c r="N1046" s="110"/>
      <c r="O1046" s="110"/>
      <c r="P1046" s="110"/>
      <c r="Q1046" s="110"/>
      <c r="R1046" s="110"/>
      <c r="S1046" s="110"/>
      <c r="T1046" s="110"/>
      <c r="U1046" s="110"/>
      <c r="V1046" s="110"/>
      <c r="W1046" s="110"/>
      <c r="X1046" s="110"/>
      <c r="Y1046" s="110"/>
      <c r="Z1046" s="110"/>
      <c r="AA1046" s="110"/>
      <c r="AB1046" s="110"/>
      <c r="AC1046" s="110"/>
      <c r="AD1046" s="110"/>
      <c r="AE1046" s="110"/>
      <c r="AF1046" s="110"/>
      <c r="AG1046" s="110"/>
      <c r="AH1046" s="110"/>
      <c r="AI1046" s="110"/>
      <c r="AJ1046" s="110"/>
      <c r="AK1046" s="110"/>
      <c r="AL1046" s="13"/>
    </row>
    <row r="1047">
      <c r="A1047" s="110"/>
      <c r="B1047" s="110"/>
      <c r="C1047" s="110"/>
      <c r="D1047" s="110"/>
      <c r="E1047" s="110"/>
      <c r="F1047" s="110"/>
      <c r="G1047" s="110"/>
      <c r="H1047" s="110"/>
      <c r="I1047" s="110"/>
      <c r="J1047" s="110"/>
      <c r="K1047" s="110"/>
      <c r="L1047" s="110"/>
      <c r="M1047" s="144"/>
      <c r="N1047" s="110"/>
      <c r="O1047" s="110"/>
      <c r="P1047" s="110"/>
      <c r="Q1047" s="110"/>
      <c r="R1047" s="110"/>
      <c r="S1047" s="110"/>
      <c r="T1047" s="110"/>
      <c r="U1047" s="110"/>
      <c r="V1047" s="110"/>
      <c r="W1047" s="110"/>
      <c r="X1047" s="110"/>
      <c r="Y1047" s="110"/>
      <c r="Z1047" s="110"/>
      <c r="AA1047" s="110"/>
      <c r="AB1047" s="110"/>
      <c r="AC1047" s="110"/>
      <c r="AD1047" s="110"/>
      <c r="AE1047" s="110"/>
      <c r="AF1047" s="110"/>
      <c r="AG1047" s="110"/>
      <c r="AH1047" s="110"/>
      <c r="AI1047" s="110"/>
      <c r="AJ1047" s="110"/>
      <c r="AK1047" s="110"/>
      <c r="AL1047" s="13"/>
    </row>
    <row r="1048">
      <c r="A1048" s="110"/>
      <c r="B1048" s="110"/>
      <c r="C1048" s="110"/>
      <c r="D1048" s="110"/>
      <c r="E1048" s="110"/>
      <c r="F1048" s="110"/>
      <c r="G1048" s="110"/>
      <c r="H1048" s="110"/>
      <c r="I1048" s="110"/>
      <c r="J1048" s="110"/>
      <c r="K1048" s="110"/>
      <c r="L1048" s="110"/>
      <c r="M1048" s="144"/>
      <c r="N1048" s="110"/>
      <c r="O1048" s="110"/>
      <c r="P1048" s="110"/>
      <c r="Q1048" s="110"/>
      <c r="R1048" s="110"/>
      <c r="S1048" s="110"/>
      <c r="T1048" s="110"/>
      <c r="U1048" s="110"/>
      <c r="V1048" s="110"/>
      <c r="W1048" s="110"/>
      <c r="X1048" s="110"/>
      <c r="Y1048" s="110"/>
      <c r="Z1048" s="110"/>
      <c r="AA1048" s="110"/>
      <c r="AB1048" s="110"/>
      <c r="AC1048" s="110"/>
      <c r="AD1048" s="110"/>
      <c r="AE1048" s="110"/>
      <c r="AF1048" s="110"/>
      <c r="AG1048" s="110"/>
      <c r="AH1048" s="110"/>
      <c r="AI1048" s="110"/>
      <c r="AJ1048" s="110"/>
      <c r="AK1048" s="110"/>
      <c r="AL1048" s="13"/>
    </row>
    <row r="1049">
      <c r="A1049" s="110"/>
      <c r="B1049" s="110"/>
      <c r="C1049" s="110"/>
      <c r="D1049" s="110"/>
      <c r="E1049" s="110"/>
      <c r="F1049" s="110"/>
      <c r="G1049" s="110"/>
      <c r="H1049" s="110"/>
      <c r="I1049" s="110"/>
      <c r="J1049" s="110"/>
      <c r="K1049" s="110"/>
      <c r="L1049" s="110"/>
      <c r="M1049" s="144"/>
      <c r="N1049" s="110"/>
      <c r="O1049" s="110"/>
      <c r="P1049" s="110"/>
      <c r="Q1049" s="110"/>
      <c r="R1049" s="110"/>
      <c r="S1049" s="110"/>
      <c r="T1049" s="110"/>
      <c r="U1049" s="110"/>
      <c r="V1049" s="110"/>
      <c r="W1049" s="110"/>
      <c r="X1049" s="110"/>
      <c r="Y1049" s="110"/>
      <c r="Z1049" s="110"/>
      <c r="AA1049" s="110"/>
      <c r="AB1049" s="110"/>
      <c r="AC1049" s="110"/>
      <c r="AD1049" s="110"/>
      <c r="AE1049" s="110"/>
      <c r="AF1049" s="110"/>
      <c r="AG1049" s="110"/>
      <c r="AH1049" s="110"/>
      <c r="AI1049" s="110"/>
      <c r="AJ1049" s="110"/>
      <c r="AK1049" s="110"/>
      <c r="AL1049" s="13"/>
    </row>
    <row r="1050">
      <c r="A1050" s="110"/>
      <c r="B1050" s="110"/>
      <c r="C1050" s="110"/>
      <c r="D1050" s="110"/>
      <c r="E1050" s="110"/>
      <c r="F1050" s="110"/>
      <c r="G1050" s="110"/>
      <c r="H1050" s="110"/>
      <c r="I1050" s="110"/>
      <c r="J1050" s="110"/>
      <c r="K1050" s="110"/>
      <c r="L1050" s="110"/>
      <c r="M1050" s="144"/>
      <c r="N1050" s="110"/>
      <c r="O1050" s="110"/>
      <c r="P1050" s="110"/>
      <c r="Q1050" s="110"/>
      <c r="R1050" s="110"/>
      <c r="S1050" s="110"/>
      <c r="T1050" s="110"/>
      <c r="U1050" s="110"/>
      <c r="V1050" s="110"/>
      <c r="W1050" s="110"/>
      <c r="X1050" s="110"/>
      <c r="Y1050" s="110"/>
      <c r="Z1050" s="110"/>
      <c r="AA1050" s="110"/>
      <c r="AB1050" s="110"/>
      <c r="AC1050" s="110"/>
      <c r="AD1050" s="110"/>
      <c r="AE1050" s="110"/>
      <c r="AF1050" s="110"/>
      <c r="AG1050" s="110"/>
      <c r="AH1050" s="110"/>
      <c r="AI1050" s="110"/>
      <c r="AJ1050" s="110"/>
      <c r="AK1050" s="110"/>
      <c r="AL1050" s="13"/>
    </row>
    <row r="1051">
      <c r="A1051" s="110"/>
      <c r="B1051" s="110"/>
      <c r="C1051" s="110"/>
      <c r="D1051" s="110"/>
      <c r="E1051" s="110"/>
      <c r="F1051" s="110"/>
      <c r="G1051" s="110"/>
      <c r="H1051" s="110"/>
      <c r="I1051" s="110"/>
      <c r="J1051" s="110"/>
      <c r="K1051" s="110"/>
      <c r="L1051" s="110"/>
      <c r="M1051" s="144"/>
      <c r="N1051" s="110"/>
      <c r="O1051" s="110"/>
      <c r="P1051" s="110"/>
      <c r="Q1051" s="110"/>
      <c r="R1051" s="110"/>
      <c r="S1051" s="110"/>
      <c r="T1051" s="110"/>
      <c r="U1051" s="110"/>
      <c r="V1051" s="110"/>
      <c r="W1051" s="110"/>
      <c r="X1051" s="110"/>
      <c r="Y1051" s="110"/>
      <c r="Z1051" s="110"/>
      <c r="AA1051" s="110"/>
      <c r="AB1051" s="110"/>
      <c r="AC1051" s="110"/>
      <c r="AD1051" s="110"/>
      <c r="AE1051" s="110"/>
      <c r="AF1051" s="110"/>
      <c r="AG1051" s="110"/>
      <c r="AH1051" s="110"/>
      <c r="AI1051" s="110"/>
      <c r="AJ1051" s="110"/>
      <c r="AK1051" s="110"/>
      <c r="AL1051" s="13"/>
    </row>
    <row r="1052">
      <c r="A1052" s="110"/>
      <c r="B1052" s="110"/>
      <c r="C1052" s="110"/>
      <c r="D1052" s="110"/>
      <c r="E1052" s="110"/>
      <c r="F1052" s="110"/>
      <c r="G1052" s="110"/>
      <c r="H1052" s="110"/>
      <c r="I1052" s="110"/>
      <c r="J1052" s="110"/>
      <c r="K1052" s="110"/>
      <c r="L1052" s="110"/>
      <c r="M1052" s="144"/>
      <c r="N1052" s="110"/>
      <c r="O1052" s="110"/>
      <c r="P1052" s="110"/>
      <c r="Q1052" s="110"/>
      <c r="R1052" s="110"/>
      <c r="S1052" s="110"/>
      <c r="T1052" s="110"/>
      <c r="U1052" s="110"/>
      <c r="V1052" s="110"/>
      <c r="W1052" s="110"/>
      <c r="X1052" s="110"/>
      <c r="Y1052" s="110"/>
      <c r="Z1052" s="110"/>
      <c r="AA1052" s="110"/>
      <c r="AB1052" s="110"/>
      <c r="AC1052" s="110"/>
      <c r="AD1052" s="110"/>
      <c r="AE1052" s="110"/>
      <c r="AF1052" s="110"/>
      <c r="AG1052" s="110"/>
      <c r="AH1052" s="110"/>
      <c r="AI1052" s="110"/>
      <c r="AJ1052" s="110"/>
      <c r="AK1052" s="110"/>
      <c r="AL1052" s="13"/>
    </row>
    <row r="1053">
      <c r="A1053" s="110"/>
      <c r="B1053" s="110"/>
      <c r="C1053" s="110"/>
      <c r="D1053" s="110"/>
      <c r="E1053" s="110"/>
      <c r="F1053" s="110"/>
      <c r="G1053" s="110"/>
      <c r="H1053" s="110"/>
      <c r="I1053" s="110"/>
      <c r="J1053" s="110"/>
      <c r="K1053" s="110"/>
      <c r="L1053" s="110"/>
      <c r="M1053" s="144"/>
      <c r="N1053" s="110"/>
      <c r="O1053" s="110"/>
      <c r="P1053" s="110"/>
      <c r="Q1053" s="110"/>
      <c r="R1053" s="110"/>
      <c r="S1053" s="110"/>
      <c r="T1053" s="110"/>
      <c r="U1053" s="110"/>
      <c r="V1053" s="110"/>
      <c r="W1053" s="110"/>
      <c r="X1053" s="110"/>
      <c r="Y1053" s="110"/>
      <c r="Z1053" s="110"/>
      <c r="AA1053" s="110"/>
      <c r="AB1053" s="110"/>
      <c r="AC1053" s="110"/>
      <c r="AD1053" s="110"/>
      <c r="AE1053" s="110"/>
      <c r="AF1053" s="110"/>
      <c r="AG1053" s="110"/>
      <c r="AH1053" s="110"/>
      <c r="AI1053" s="110"/>
      <c r="AJ1053" s="110"/>
      <c r="AK1053" s="110"/>
      <c r="AL1053" s="13"/>
    </row>
    <row r="1054">
      <c r="A1054" s="110"/>
      <c r="B1054" s="110"/>
      <c r="C1054" s="110"/>
      <c r="D1054" s="110"/>
      <c r="E1054" s="110"/>
      <c r="F1054" s="110"/>
      <c r="G1054" s="110"/>
      <c r="H1054" s="110"/>
      <c r="I1054" s="110"/>
      <c r="J1054" s="110"/>
      <c r="K1054" s="110"/>
      <c r="L1054" s="110"/>
      <c r="M1054" s="144"/>
      <c r="N1054" s="110"/>
      <c r="O1054" s="110"/>
      <c r="P1054" s="110"/>
      <c r="Q1054" s="110"/>
      <c r="R1054" s="110"/>
      <c r="S1054" s="110"/>
      <c r="T1054" s="110"/>
      <c r="U1054" s="110"/>
      <c r="V1054" s="110"/>
      <c r="W1054" s="110"/>
      <c r="X1054" s="110"/>
      <c r="Y1054" s="110"/>
      <c r="Z1054" s="110"/>
      <c r="AA1054" s="110"/>
      <c r="AB1054" s="110"/>
      <c r="AC1054" s="110"/>
      <c r="AD1054" s="110"/>
      <c r="AE1054" s="110"/>
      <c r="AF1054" s="110"/>
      <c r="AG1054" s="110"/>
      <c r="AH1054" s="110"/>
      <c r="AI1054" s="110"/>
      <c r="AJ1054" s="110"/>
      <c r="AK1054" s="110"/>
      <c r="AL1054" s="13"/>
    </row>
    <row r="1055">
      <c r="A1055" s="110"/>
      <c r="B1055" s="110"/>
      <c r="C1055" s="110"/>
      <c r="D1055" s="110"/>
      <c r="E1055" s="110"/>
      <c r="F1055" s="110"/>
      <c r="G1055" s="110"/>
      <c r="H1055" s="110"/>
      <c r="I1055" s="110"/>
      <c r="J1055" s="110"/>
      <c r="K1055" s="110"/>
      <c r="L1055" s="110"/>
      <c r="M1055" s="144"/>
      <c r="N1055" s="110"/>
      <c r="O1055" s="110"/>
      <c r="P1055" s="110"/>
      <c r="Q1055" s="110"/>
      <c r="R1055" s="110"/>
      <c r="S1055" s="110"/>
      <c r="T1055" s="110"/>
      <c r="U1055" s="110"/>
      <c r="V1055" s="110"/>
      <c r="W1055" s="110"/>
      <c r="X1055" s="110"/>
      <c r="Y1055" s="110"/>
      <c r="Z1055" s="110"/>
      <c r="AA1055" s="110"/>
      <c r="AB1055" s="110"/>
      <c r="AC1055" s="110"/>
      <c r="AD1055" s="110"/>
      <c r="AE1055" s="110"/>
      <c r="AF1055" s="110"/>
      <c r="AG1055" s="110"/>
      <c r="AH1055" s="110"/>
      <c r="AI1055" s="110"/>
      <c r="AJ1055" s="110"/>
      <c r="AK1055" s="110"/>
      <c r="AL1055" s="13"/>
    </row>
    <row r="1056">
      <c r="A1056" s="110"/>
      <c r="B1056" s="110"/>
      <c r="C1056" s="110"/>
      <c r="D1056" s="110"/>
      <c r="E1056" s="110"/>
      <c r="F1056" s="110"/>
      <c r="G1056" s="110"/>
      <c r="H1056" s="110"/>
      <c r="I1056" s="110"/>
      <c r="J1056" s="110"/>
      <c r="K1056" s="110"/>
      <c r="L1056" s="110"/>
      <c r="M1056" s="144"/>
      <c r="N1056" s="110"/>
      <c r="O1056" s="110"/>
      <c r="P1056" s="110"/>
      <c r="Q1056" s="110"/>
      <c r="R1056" s="110"/>
      <c r="S1056" s="110"/>
      <c r="T1056" s="110"/>
      <c r="U1056" s="110"/>
      <c r="V1056" s="110"/>
      <c r="W1056" s="110"/>
      <c r="X1056" s="110"/>
      <c r="Y1056" s="110"/>
      <c r="Z1056" s="110"/>
      <c r="AA1056" s="110"/>
      <c r="AB1056" s="110"/>
      <c r="AC1056" s="110"/>
      <c r="AD1056" s="110"/>
      <c r="AE1056" s="110"/>
      <c r="AF1056" s="110"/>
      <c r="AG1056" s="110"/>
      <c r="AH1056" s="110"/>
      <c r="AI1056" s="110"/>
      <c r="AJ1056" s="110"/>
      <c r="AK1056" s="110"/>
      <c r="AL1056" s="13"/>
    </row>
    <row r="1057">
      <c r="A1057" s="110"/>
      <c r="B1057" s="110"/>
      <c r="C1057" s="110"/>
      <c r="D1057" s="110"/>
      <c r="E1057" s="110"/>
      <c r="F1057" s="110"/>
      <c r="G1057" s="110"/>
      <c r="H1057" s="110"/>
      <c r="I1057" s="110"/>
      <c r="J1057" s="110"/>
      <c r="K1057" s="110"/>
      <c r="L1057" s="110"/>
      <c r="M1057" s="144"/>
      <c r="N1057" s="110"/>
      <c r="O1057" s="110"/>
      <c r="P1057" s="110"/>
      <c r="Q1057" s="110"/>
      <c r="R1057" s="110"/>
      <c r="S1057" s="110"/>
      <c r="T1057" s="110"/>
      <c r="U1057" s="110"/>
      <c r="V1057" s="110"/>
      <c r="W1057" s="110"/>
      <c r="X1057" s="110"/>
      <c r="Y1057" s="110"/>
      <c r="Z1057" s="110"/>
      <c r="AA1057" s="110"/>
      <c r="AB1057" s="110"/>
      <c r="AC1057" s="110"/>
      <c r="AD1057" s="110"/>
      <c r="AE1057" s="110"/>
      <c r="AF1057" s="110"/>
      <c r="AG1057" s="110"/>
      <c r="AH1057" s="110"/>
      <c r="AI1057" s="110"/>
      <c r="AJ1057" s="110"/>
      <c r="AK1057" s="110"/>
      <c r="AL1057" s="13"/>
    </row>
    <row r="1058">
      <c r="A1058" s="110"/>
      <c r="B1058" s="110"/>
      <c r="C1058" s="110"/>
      <c r="D1058" s="110"/>
      <c r="E1058" s="110"/>
      <c r="F1058" s="110"/>
      <c r="G1058" s="110"/>
      <c r="H1058" s="110"/>
      <c r="I1058" s="110"/>
      <c r="J1058" s="110"/>
      <c r="K1058" s="110"/>
      <c r="L1058" s="110"/>
      <c r="M1058" s="144"/>
      <c r="N1058" s="110"/>
      <c r="O1058" s="110"/>
      <c r="P1058" s="110"/>
      <c r="Q1058" s="110"/>
      <c r="R1058" s="110"/>
      <c r="S1058" s="110"/>
      <c r="T1058" s="110"/>
      <c r="U1058" s="110"/>
      <c r="V1058" s="110"/>
      <c r="W1058" s="110"/>
      <c r="X1058" s="110"/>
      <c r="Y1058" s="110"/>
      <c r="Z1058" s="110"/>
      <c r="AA1058" s="110"/>
      <c r="AB1058" s="110"/>
      <c r="AC1058" s="110"/>
      <c r="AD1058" s="110"/>
      <c r="AE1058" s="110"/>
      <c r="AF1058" s="110"/>
      <c r="AG1058" s="110"/>
      <c r="AH1058" s="110"/>
      <c r="AI1058" s="110"/>
      <c r="AJ1058" s="110"/>
      <c r="AK1058" s="110"/>
      <c r="AL1058" s="13"/>
    </row>
    <row r="1059">
      <c r="A1059" s="110"/>
      <c r="B1059" s="110"/>
      <c r="C1059" s="110"/>
      <c r="D1059" s="110"/>
      <c r="E1059" s="110"/>
      <c r="F1059" s="110"/>
      <c r="G1059" s="110"/>
      <c r="H1059" s="110"/>
      <c r="I1059" s="110"/>
      <c r="J1059" s="110"/>
      <c r="K1059" s="110"/>
      <c r="L1059" s="110"/>
      <c r="M1059" s="144"/>
      <c r="N1059" s="110"/>
      <c r="O1059" s="110"/>
      <c r="P1059" s="110"/>
      <c r="Q1059" s="110"/>
      <c r="R1059" s="110"/>
      <c r="S1059" s="110"/>
      <c r="T1059" s="110"/>
      <c r="U1059" s="110"/>
      <c r="V1059" s="110"/>
      <c r="W1059" s="110"/>
      <c r="X1059" s="110"/>
      <c r="Y1059" s="110"/>
      <c r="Z1059" s="110"/>
      <c r="AA1059" s="110"/>
      <c r="AB1059" s="110"/>
      <c r="AC1059" s="110"/>
      <c r="AD1059" s="110"/>
      <c r="AE1059" s="110"/>
      <c r="AF1059" s="110"/>
      <c r="AG1059" s="110"/>
      <c r="AH1059" s="110"/>
      <c r="AI1059" s="110"/>
      <c r="AJ1059" s="110"/>
      <c r="AK1059" s="110"/>
      <c r="AL1059" s="13"/>
    </row>
    <row r="1060">
      <c r="A1060" s="110"/>
      <c r="B1060" s="110"/>
      <c r="C1060" s="110"/>
      <c r="D1060" s="110"/>
      <c r="E1060" s="110"/>
      <c r="F1060" s="110"/>
      <c r="G1060" s="110"/>
      <c r="H1060" s="110"/>
      <c r="I1060" s="110"/>
      <c r="J1060" s="110"/>
      <c r="K1060" s="110"/>
      <c r="L1060" s="110"/>
      <c r="M1060" s="144"/>
      <c r="N1060" s="110"/>
      <c r="O1060" s="110"/>
      <c r="P1060" s="110"/>
      <c r="Q1060" s="110"/>
      <c r="R1060" s="110"/>
      <c r="S1060" s="110"/>
      <c r="T1060" s="110"/>
      <c r="U1060" s="110"/>
      <c r="V1060" s="110"/>
      <c r="W1060" s="110"/>
      <c r="X1060" s="110"/>
      <c r="Y1060" s="110"/>
      <c r="Z1060" s="110"/>
      <c r="AA1060" s="110"/>
      <c r="AB1060" s="110"/>
      <c r="AC1060" s="110"/>
      <c r="AD1060" s="110"/>
      <c r="AE1060" s="110"/>
      <c r="AF1060" s="110"/>
      <c r="AG1060" s="110"/>
      <c r="AH1060" s="110"/>
      <c r="AI1060" s="110"/>
      <c r="AJ1060" s="110"/>
      <c r="AK1060" s="110"/>
      <c r="AL1060" s="13"/>
    </row>
    <row r="1061">
      <c r="A1061" s="110"/>
      <c r="B1061" s="110"/>
      <c r="C1061" s="110"/>
      <c r="D1061" s="110"/>
      <c r="E1061" s="110"/>
      <c r="F1061" s="110"/>
      <c r="G1061" s="110"/>
      <c r="H1061" s="110"/>
      <c r="I1061" s="110"/>
      <c r="J1061" s="110"/>
      <c r="K1061" s="110"/>
      <c r="L1061" s="110"/>
      <c r="M1061" s="144"/>
      <c r="N1061" s="110"/>
      <c r="O1061" s="110"/>
      <c r="P1061" s="110"/>
      <c r="Q1061" s="110"/>
      <c r="R1061" s="110"/>
      <c r="S1061" s="110"/>
      <c r="T1061" s="110"/>
      <c r="U1061" s="110"/>
      <c r="V1061" s="110"/>
      <c r="W1061" s="110"/>
      <c r="X1061" s="110"/>
      <c r="Y1061" s="110"/>
      <c r="Z1061" s="110"/>
      <c r="AA1061" s="110"/>
      <c r="AB1061" s="110"/>
      <c r="AC1061" s="110"/>
      <c r="AD1061" s="110"/>
      <c r="AE1061" s="110"/>
      <c r="AF1061" s="110"/>
      <c r="AG1061" s="110"/>
      <c r="AH1061" s="110"/>
      <c r="AI1061" s="110"/>
      <c r="AJ1061" s="110"/>
      <c r="AK1061" s="110"/>
      <c r="AL1061" s="13"/>
    </row>
    <row r="1062">
      <c r="A1062" s="110"/>
      <c r="B1062" s="110"/>
      <c r="C1062" s="110"/>
      <c r="D1062" s="110"/>
      <c r="E1062" s="110"/>
      <c r="F1062" s="110"/>
      <c r="G1062" s="110"/>
      <c r="H1062" s="110"/>
      <c r="I1062" s="110"/>
      <c r="J1062" s="110"/>
      <c r="K1062" s="110"/>
      <c r="L1062" s="110"/>
      <c r="M1062" s="144"/>
      <c r="N1062" s="110"/>
      <c r="O1062" s="110"/>
      <c r="P1062" s="110"/>
      <c r="Q1062" s="110"/>
      <c r="R1062" s="110"/>
      <c r="S1062" s="110"/>
      <c r="T1062" s="110"/>
      <c r="U1062" s="110"/>
      <c r="V1062" s="110"/>
      <c r="W1062" s="110"/>
      <c r="X1062" s="110"/>
      <c r="Y1062" s="110"/>
      <c r="Z1062" s="110"/>
      <c r="AA1062" s="110"/>
      <c r="AB1062" s="110"/>
      <c r="AC1062" s="110"/>
      <c r="AD1062" s="110"/>
      <c r="AE1062" s="110"/>
      <c r="AF1062" s="110"/>
      <c r="AG1062" s="110"/>
      <c r="AH1062" s="110"/>
      <c r="AI1062" s="110"/>
      <c r="AJ1062" s="110"/>
      <c r="AK1062" s="110"/>
      <c r="AL1062" s="13"/>
    </row>
  </sheetData>
  <hyperlinks>
    <hyperlink r:id="rId2" location="gid=0" ref="M2"/>
    <hyperlink r:id="rId3" location="gid=0" ref="M87"/>
  </hyperlinks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63"/>
    <col customWidth="1" min="2" max="2" width="13.88"/>
    <col customWidth="1" min="3" max="3" width="13.25"/>
    <col customWidth="1" min="4" max="4" width="12.88"/>
    <col customWidth="1" min="5" max="5" width="13.75"/>
    <col customWidth="1" min="6" max="6" width="26.38"/>
  </cols>
  <sheetData>
    <row r="1">
      <c r="A1" s="145" t="s">
        <v>879</v>
      </c>
      <c r="B1" s="145" t="s">
        <v>880</v>
      </c>
      <c r="C1" s="145" t="s">
        <v>881</v>
      </c>
      <c r="D1" s="145" t="s">
        <v>882</v>
      </c>
      <c r="E1" s="145" t="s">
        <v>883</v>
      </c>
      <c r="F1" s="145" t="s">
        <v>884</v>
      </c>
      <c r="G1" s="145" t="s">
        <v>885</v>
      </c>
      <c r="H1" s="145" t="s">
        <v>886</v>
      </c>
      <c r="I1" s="145" t="s">
        <v>887</v>
      </c>
    </row>
    <row r="2">
      <c r="A2" s="146" t="str">
        <f t="shared" ref="A2:A12" si="1">B2&amp;"/"&amp;E2&amp;"/"&amp;C2&amp;"-"&amp;D2</f>
        <v>Grinder Jar/CC/RK1-1</v>
      </c>
      <c r="B2" s="147" t="s">
        <v>463</v>
      </c>
      <c r="C2" s="148" t="s">
        <v>888</v>
      </c>
      <c r="D2" s="148">
        <v>1.0</v>
      </c>
      <c r="E2" s="149" t="s">
        <v>889</v>
      </c>
      <c r="F2" s="150" t="s">
        <v>890</v>
      </c>
      <c r="G2" s="8"/>
      <c r="H2" s="8"/>
      <c r="I2" s="8"/>
    </row>
    <row r="3">
      <c r="A3" s="146" t="str">
        <f t="shared" si="1"/>
        <v>Grinder Jar/PR1/RK3-15</v>
      </c>
      <c r="B3" s="147" t="s">
        <v>463</v>
      </c>
      <c r="C3" s="148" t="s">
        <v>891</v>
      </c>
      <c r="D3" s="148">
        <v>15.0</v>
      </c>
      <c r="E3" s="149" t="s">
        <v>892</v>
      </c>
      <c r="F3" s="151" t="s">
        <v>893</v>
      </c>
      <c r="G3" s="148">
        <v>350000.0</v>
      </c>
      <c r="H3" s="148">
        <v>250000.0</v>
      </c>
      <c r="I3" s="148" t="s">
        <v>894</v>
      </c>
    </row>
    <row r="4">
      <c r="A4" s="146" t="str">
        <f t="shared" si="1"/>
        <v>Grinder Jar/SX/RK6-1</v>
      </c>
      <c r="B4" s="147" t="s">
        <v>463</v>
      </c>
      <c r="C4" s="148" t="s">
        <v>895</v>
      </c>
      <c r="D4" s="148">
        <v>1.0</v>
      </c>
      <c r="E4" s="149" t="s">
        <v>896</v>
      </c>
      <c r="F4" s="151" t="s">
        <v>897</v>
      </c>
      <c r="G4" s="148">
        <v>350000.0</v>
      </c>
      <c r="H4" s="148">
        <v>2000.0</v>
      </c>
      <c r="I4" s="148" t="s">
        <v>894</v>
      </c>
    </row>
    <row r="5">
      <c r="A5" s="146" t="str">
        <f t="shared" si="1"/>
        <v>Grinder Jar/SX/RK6-2</v>
      </c>
      <c r="B5" s="147" t="s">
        <v>463</v>
      </c>
      <c r="C5" s="148" t="s">
        <v>895</v>
      </c>
      <c r="D5" s="148">
        <v>2.0</v>
      </c>
      <c r="E5" s="149" t="s">
        <v>896</v>
      </c>
      <c r="F5" s="151" t="s">
        <v>897</v>
      </c>
      <c r="G5" s="8"/>
      <c r="H5" s="8"/>
      <c r="I5" s="8"/>
    </row>
    <row r="6">
      <c r="A6" s="146" t="str">
        <f t="shared" si="1"/>
        <v>Grinder Jar/SX/RK6-3</v>
      </c>
      <c r="B6" s="147" t="s">
        <v>463</v>
      </c>
      <c r="C6" s="148" t="s">
        <v>895</v>
      </c>
      <c r="D6" s="148">
        <v>3.0</v>
      </c>
      <c r="E6" s="149" t="s">
        <v>896</v>
      </c>
      <c r="F6" s="151" t="s">
        <v>897</v>
      </c>
      <c r="G6" s="8"/>
      <c r="H6" s="8"/>
      <c r="I6" s="8"/>
    </row>
    <row r="7">
      <c r="A7" s="146" t="str">
        <f t="shared" si="1"/>
        <v>Grinder Jar/SX/RK6-4</v>
      </c>
      <c r="B7" s="147" t="s">
        <v>463</v>
      </c>
      <c r="C7" s="148" t="s">
        <v>895</v>
      </c>
      <c r="D7" s="148">
        <v>4.0</v>
      </c>
      <c r="E7" s="149" t="s">
        <v>896</v>
      </c>
      <c r="F7" s="151" t="s">
        <v>897</v>
      </c>
      <c r="G7" s="8"/>
      <c r="H7" s="8"/>
      <c r="I7" s="8"/>
    </row>
    <row r="8">
      <c r="A8" s="146" t="str">
        <f t="shared" si="1"/>
        <v>Grinder Jar/SX/RK6-36</v>
      </c>
      <c r="B8" s="147" t="s">
        <v>463</v>
      </c>
      <c r="C8" s="148" t="s">
        <v>895</v>
      </c>
      <c r="D8" s="148">
        <v>36.0</v>
      </c>
      <c r="E8" s="149" t="s">
        <v>896</v>
      </c>
      <c r="F8" s="151" t="s">
        <v>897</v>
      </c>
      <c r="G8" s="8"/>
      <c r="H8" s="8"/>
      <c r="I8" s="8"/>
    </row>
    <row r="9">
      <c r="A9" s="146" t="str">
        <f t="shared" si="1"/>
        <v>Grinder Jar/SX/RK6-37</v>
      </c>
      <c r="B9" s="147" t="s">
        <v>463</v>
      </c>
      <c r="C9" s="148" t="s">
        <v>895</v>
      </c>
      <c r="D9" s="148">
        <v>37.0</v>
      </c>
      <c r="E9" s="149" t="s">
        <v>896</v>
      </c>
      <c r="F9" s="151" t="s">
        <v>897</v>
      </c>
      <c r="G9" s="8"/>
      <c r="H9" s="8"/>
      <c r="I9" s="8"/>
    </row>
    <row r="10">
      <c r="A10" s="146" t="str">
        <f t="shared" si="1"/>
        <v>Grinder Jar/CU/RK8-1</v>
      </c>
      <c r="B10" s="147" t="s">
        <v>463</v>
      </c>
      <c r="C10" s="148" t="s">
        <v>898</v>
      </c>
      <c r="D10" s="148">
        <v>1.0</v>
      </c>
      <c r="E10" s="149" t="s">
        <v>899</v>
      </c>
      <c r="F10" s="151" t="s">
        <v>900</v>
      </c>
      <c r="G10" s="8"/>
      <c r="H10" s="8"/>
      <c r="I10" s="8"/>
    </row>
    <row r="11">
      <c r="A11" s="146" t="str">
        <f t="shared" si="1"/>
        <v>Grinder Jar/GB/RK5-1</v>
      </c>
      <c r="B11" s="147" t="s">
        <v>463</v>
      </c>
      <c r="C11" s="148" t="s">
        <v>901</v>
      </c>
      <c r="D11" s="148">
        <v>1.0</v>
      </c>
      <c r="E11" s="149" t="s">
        <v>902</v>
      </c>
      <c r="F11" s="151" t="s">
        <v>903</v>
      </c>
      <c r="G11" s="8"/>
      <c r="H11" s="8"/>
      <c r="I11" s="8"/>
    </row>
    <row r="12">
      <c r="A12" s="146" t="str">
        <f t="shared" si="1"/>
        <v>Grinder Jar/SI/RK5-2</v>
      </c>
      <c r="B12" s="147" t="s">
        <v>463</v>
      </c>
      <c r="C12" s="148" t="s">
        <v>901</v>
      </c>
      <c r="D12" s="148">
        <v>2.0</v>
      </c>
      <c r="E12" s="149" t="s">
        <v>904</v>
      </c>
      <c r="F12" s="151" t="s">
        <v>905</v>
      </c>
      <c r="G12" s="8"/>
      <c r="H12" s="8"/>
      <c r="I12" s="8"/>
    </row>
    <row r="13">
      <c r="B13" s="152"/>
      <c r="C13" s="148"/>
      <c r="D13" s="8"/>
      <c r="E13" s="149" t="s">
        <v>906</v>
      </c>
      <c r="F13" s="146" t="s">
        <v>907</v>
      </c>
      <c r="G13" s="8"/>
      <c r="H13" s="8"/>
      <c r="I13" s="8"/>
    </row>
    <row r="14">
      <c r="B14" s="152"/>
      <c r="C14" s="148"/>
      <c r="D14" s="8"/>
      <c r="E14" s="146" t="s">
        <v>908</v>
      </c>
      <c r="F14" s="146" t="s">
        <v>909</v>
      </c>
      <c r="G14" s="8"/>
      <c r="H14" s="8"/>
      <c r="I14" s="8"/>
    </row>
    <row r="15">
      <c r="B15" s="152"/>
      <c r="C15" s="148"/>
      <c r="D15" s="8"/>
      <c r="E15" s="149" t="s">
        <v>910</v>
      </c>
      <c r="F15" s="146" t="s">
        <v>911</v>
      </c>
      <c r="G15" s="8"/>
      <c r="H15" s="8"/>
      <c r="I15" s="8"/>
    </row>
    <row r="16">
      <c r="B16" s="152"/>
      <c r="C16" s="148"/>
      <c r="D16" s="8"/>
      <c r="E16" s="146" t="s">
        <v>912</v>
      </c>
      <c r="F16" s="146" t="s">
        <v>913</v>
      </c>
      <c r="G16" s="8"/>
      <c r="H16" s="8"/>
      <c r="I16" s="8"/>
    </row>
    <row r="17">
      <c r="A17" s="146" t="str">
        <f t="shared" ref="A17:A21" si="2">B17&amp;"/"&amp;E17&amp;"/"&amp;C17&amp;"-"&amp;D17</f>
        <v>Grinder Jar/HH/RK1-1</v>
      </c>
      <c r="B17" s="147" t="s">
        <v>463</v>
      </c>
      <c r="C17" s="148" t="s">
        <v>888</v>
      </c>
      <c r="D17" s="148">
        <v>1.0</v>
      </c>
      <c r="E17" s="146" t="s">
        <v>914</v>
      </c>
      <c r="F17" s="151" t="s">
        <v>915</v>
      </c>
      <c r="G17" s="8"/>
      <c r="H17" s="8"/>
      <c r="I17" s="8"/>
    </row>
    <row r="18">
      <c r="A18" s="146" t="str">
        <f t="shared" si="2"/>
        <v>Grinder Jar/HH/RK1-2</v>
      </c>
      <c r="B18" s="147" t="s">
        <v>463</v>
      </c>
      <c r="C18" s="148" t="s">
        <v>888</v>
      </c>
      <c r="D18" s="148">
        <v>2.0</v>
      </c>
      <c r="E18" s="146" t="s">
        <v>914</v>
      </c>
      <c r="F18" s="151" t="s">
        <v>915</v>
      </c>
      <c r="G18" s="8"/>
      <c r="H18" s="8"/>
      <c r="I18" s="8"/>
    </row>
    <row r="19">
      <c r="A19" s="146" t="str">
        <f t="shared" si="2"/>
        <v>Grinder Jar/HH/RK1-3</v>
      </c>
      <c r="B19" s="147" t="s">
        <v>463</v>
      </c>
      <c r="C19" s="148" t="s">
        <v>888</v>
      </c>
      <c r="D19" s="148">
        <v>3.0</v>
      </c>
      <c r="E19" s="146" t="s">
        <v>914</v>
      </c>
      <c r="F19" s="151" t="s">
        <v>915</v>
      </c>
      <c r="G19" s="8"/>
      <c r="H19" s="8"/>
      <c r="I19" s="8"/>
    </row>
    <row r="20">
      <c r="A20" s="146" t="str">
        <f t="shared" si="2"/>
        <v>Grinder Jar/BH/RK1-4</v>
      </c>
      <c r="B20" s="147" t="s">
        <v>463</v>
      </c>
      <c r="C20" s="148" t="s">
        <v>888</v>
      </c>
      <c r="D20" s="148">
        <v>4.0</v>
      </c>
      <c r="E20" s="146" t="s">
        <v>916</v>
      </c>
      <c r="F20" s="151" t="s">
        <v>917</v>
      </c>
      <c r="G20" s="8"/>
      <c r="H20" s="8"/>
      <c r="I20" s="8"/>
    </row>
    <row r="21">
      <c r="A21" s="146" t="str">
        <f t="shared" si="2"/>
        <v>Grinder Jar/BH/RK1-5</v>
      </c>
      <c r="B21" s="147" t="s">
        <v>463</v>
      </c>
      <c r="C21" s="148" t="s">
        <v>888</v>
      </c>
      <c r="D21" s="148">
        <v>5.0</v>
      </c>
      <c r="E21" s="146" t="s">
        <v>916</v>
      </c>
      <c r="F21" s="151" t="s">
        <v>917</v>
      </c>
      <c r="G21" s="8"/>
      <c r="H21" s="8"/>
      <c r="I21" s="8"/>
    </row>
    <row r="22">
      <c r="B22" s="147"/>
      <c r="C22" s="148"/>
      <c r="D22" s="148"/>
      <c r="E22" s="146" t="s">
        <v>918</v>
      </c>
      <c r="F22" s="146" t="s">
        <v>919</v>
      </c>
      <c r="G22" s="8"/>
      <c r="H22" s="8"/>
      <c r="I22" s="8"/>
    </row>
    <row r="23">
      <c r="B23" s="152"/>
      <c r="C23" s="148"/>
      <c r="D23" s="8"/>
      <c r="E23" s="146" t="s">
        <v>629</v>
      </c>
      <c r="F23" s="146" t="s">
        <v>920</v>
      </c>
      <c r="G23" s="8"/>
      <c r="H23" s="8"/>
      <c r="I23" s="8"/>
    </row>
    <row r="24">
      <c r="B24" s="152"/>
      <c r="C24" s="148"/>
      <c r="D24" s="8"/>
      <c r="E24" s="149" t="s">
        <v>921</v>
      </c>
      <c r="F24" s="146" t="s">
        <v>922</v>
      </c>
      <c r="G24" s="8"/>
      <c r="H24" s="8"/>
      <c r="I24" s="8"/>
    </row>
    <row r="25">
      <c r="A25" s="146" t="str">
        <f t="shared" ref="A25:A30" si="3">B25&amp;"/"&amp;E25&amp;"/"&amp;C25&amp;"-"&amp;D25</f>
        <v>Ch Katori/CC/RK1-2</v>
      </c>
      <c r="B25" s="147" t="s">
        <v>923</v>
      </c>
      <c r="C25" s="148" t="s">
        <v>888</v>
      </c>
      <c r="D25" s="148">
        <v>2.0</v>
      </c>
      <c r="E25" s="146" t="s">
        <v>889</v>
      </c>
      <c r="F25" s="151" t="s">
        <v>924</v>
      </c>
      <c r="G25" s="8"/>
      <c r="H25" s="8"/>
      <c r="I25" s="8"/>
    </row>
    <row r="26">
      <c r="A26" s="146" t="str">
        <f t="shared" si="3"/>
        <v>Ch Katori/PR1/RK3-16</v>
      </c>
      <c r="B26" s="147" t="s">
        <v>923</v>
      </c>
      <c r="C26" s="148" t="s">
        <v>891</v>
      </c>
      <c r="D26" s="148">
        <v>16.0</v>
      </c>
      <c r="E26" s="149" t="s">
        <v>892</v>
      </c>
      <c r="F26" s="151" t="s">
        <v>925</v>
      </c>
      <c r="G26" s="8"/>
      <c r="H26" s="8"/>
      <c r="I26" s="8"/>
    </row>
    <row r="27">
      <c r="A27" s="146" t="str">
        <f t="shared" si="3"/>
        <v>Ch Katori/SX/RK6-5</v>
      </c>
      <c r="B27" s="147" t="s">
        <v>923</v>
      </c>
      <c r="C27" s="148" t="s">
        <v>895</v>
      </c>
      <c r="D27" s="148">
        <v>5.0</v>
      </c>
      <c r="E27" s="146" t="s">
        <v>896</v>
      </c>
      <c r="F27" s="151" t="s">
        <v>926</v>
      </c>
      <c r="G27" s="8"/>
      <c r="H27" s="8"/>
      <c r="I27" s="8"/>
    </row>
    <row r="28">
      <c r="A28" s="146" t="str">
        <f t="shared" si="3"/>
        <v>Ch Katori/SX/RK6-6</v>
      </c>
      <c r="B28" s="147" t="s">
        <v>923</v>
      </c>
      <c r="C28" s="148" t="s">
        <v>895</v>
      </c>
      <c r="D28" s="148">
        <v>6.0</v>
      </c>
      <c r="E28" s="146" t="s">
        <v>896</v>
      </c>
      <c r="F28" s="151" t="s">
        <v>926</v>
      </c>
      <c r="G28" s="8"/>
      <c r="H28" s="8"/>
      <c r="I28" s="8"/>
    </row>
    <row r="29">
      <c r="A29" s="146" t="str">
        <f t="shared" si="3"/>
        <v>Ch Katori/SX/RK6-7</v>
      </c>
      <c r="B29" s="147" t="s">
        <v>923</v>
      </c>
      <c r="C29" s="148" t="s">
        <v>895</v>
      </c>
      <c r="D29" s="148">
        <v>7.0</v>
      </c>
      <c r="E29" s="146" t="s">
        <v>896</v>
      </c>
      <c r="F29" s="151" t="s">
        <v>926</v>
      </c>
      <c r="G29" s="8"/>
      <c r="H29" s="8"/>
      <c r="I29" s="8"/>
    </row>
    <row r="30">
      <c r="A30" s="146" t="str">
        <f t="shared" si="3"/>
        <v>Ch Katori/CU/RK8-2</v>
      </c>
      <c r="B30" s="147" t="s">
        <v>923</v>
      </c>
      <c r="C30" s="148" t="s">
        <v>898</v>
      </c>
      <c r="D30" s="148">
        <v>2.0</v>
      </c>
      <c r="E30" s="149" t="s">
        <v>899</v>
      </c>
      <c r="F30" s="151" t="s">
        <v>927</v>
      </c>
      <c r="G30" s="8"/>
      <c r="H30" s="8"/>
      <c r="I30" s="8"/>
    </row>
    <row r="31">
      <c r="B31" s="147"/>
      <c r="C31" s="148"/>
      <c r="D31" s="148"/>
      <c r="E31" s="146" t="s">
        <v>928</v>
      </c>
      <c r="F31" s="146" t="s">
        <v>929</v>
      </c>
      <c r="G31" s="8"/>
      <c r="H31" s="8"/>
      <c r="I31" s="8"/>
    </row>
    <row r="32">
      <c r="A32" s="146" t="str">
        <f>B32&amp;"/"&amp;E32&amp;"/"&amp;C32&amp;"-"&amp;D32</f>
        <v>Ch Katori/PF/RK4-8</v>
      </c>
      <c r="B32" s="147" t="s">
        <v>923</v>
      </c>
      <c r="C32" s="148" t="s">
        <v>930</v>
      </c>
      <c r="D32" s="148">
        <v>8.0</v>
      </c>
      <c r="E32" s="146" t="s">
        <v>931</v>
      </c>
      <c r="F32" s="151" t="s">
        <v>932</v>
      </c>
      <c r="G32" s="8"/>
      <c r="H32" s="8"/>
      <c r="I32" s="8"/>
    </row>
    <row r="33">
      <c r="B33" s="147"/>
      <c r="C33" s="148"/>
      <c r="D33" s="148"/>
      <c r="E33" s="149" t="s">
        <v>906</v>
      </c>
      <c r="F33" s="146" t="s">
        <v>933</v>
      </c>
      <c r="G33" s="8"/>
      <c r="H33" s="8"/>
      <c r="I33" s="8"/>
    </row>
    <row r="34">
      <c r="B34" s="152"/>
      <c r="C34" s="148"/>
      <c r="D34" s="8"/>
      <c r="E34" s="146" t="s">
        <v>908</v>
      </c>
      <c r="F34" s="146" t="s">
        <v>934</v>
      </c>
      <c r="G34" s="8"/>
      <c r="H34" s="8"/>
      <c r="I34" s="8"/>
    </row>
    <row r="35">
      <c r="B35" s="152"/>
      <c r="C35" s="148"/>
      <c r="D35" s="8"/>
      <c r="E35" s="149" t="s">
        <v>910</v>
      </c>
      <c r="F35" s="146" t="s">
        <v>935</v>
      </c>
      <c r="G35" s="8"/>
      <c r="H35" s="8"/>
      <c r="I35" s="8"/>
    </row>
    <row r="36">
      <c r="B36" s="152"/>
      <c r="C36" s="148"/>
      <c r="D36" s="8"/>
      <c r="E36" s="146" t="s">
        <v>912</v>
      </c>
      <c r="F36" s="146" t="s">
        <v>936</v>
      </c>
      <c r="G36" s="8"/>
      <c r="H36" s="8"/>
      <c r="I36" s="8"/>
    </row>
    <row r="37">
      <c r="A37" s="146" t="str">
        <f t="shared" ref="A37:A41" si="4">B37&amp;"/"&amp;E37&amp;"/"&amp;C37&amp;"-"&amp;D37</f>
        <v>Ch Katori/HH/RK1-6</v>
      </c>
      <c r="B37" s="147" t="s">
        <v>923</v>
      </c>
      <c r="C37" s="148" t="s">
        <v>888</v>
      </c>
      <c r="D37" s="148">
        <v>6.0</v>
      </c>
      <c r="E37" s="146" t="s">
        <v>914</v>
      </c>
      <c r="F37" s="151" t="s">
        <v>937</v>
      </c>
      <c r="G37" s="8"/>
      <c r="H37" s="8"/>
      <c r="I37" s="8"/>
    </row>
    <row r="38">
      <c r="A38" s="146" t="str">
        <f t="shared" si="4"/>
        <v>Ch Katori/HH/RK1-7</v>
      </c>
      <c r="B38" s="147" t="s">
        <v>923</v>
      </c>
      <c r="C38" s="148" t="s">
        <v>888</v>
      </c>
      <c r="D38" s="148">
        <v>7.0</v>
      </c>
      <c r="E38" s="146" t="s">
        <v>914</v>
      </c>
      <c r="F38" s="151" t="s">
        <v>937</v>
      </c>
      <c r="G38" s="8"/>
      <c r="H38" s="8"/>
      <c r="I38" s="8"/>
    </row>
    <row r="39">
      <c r="A39" s="146" t="str">
        <f t="shared" si="4"/>
        <v>Ch Katori/HH/RK1-8</v>
      </c>
      <c r="B39" s="147" t="s">
        <v>923</v>
      </c>
      <c r="C39" s="148" t="s">
        <v>888</v>
      </c>
      <c r="D39" s="148">
        <v>8.0</v>
      </c>
      <c r="E39" s="146" t="s">
        <v>914</v>
      </c>
      <c r="F39" s="151" t="s">
        <v>937</v>
      </c>
      <c r="G39" s="8"/>
      <c r="H39" s="8"/>
      <c r="I39" s="8"/>
    </row>
    <row r="40">
      <c r="A40" s="146" t="str">
        <f t="shared" si="4"/>
        <v>Ch Katori/BH/RK1-9</v>
      </c>
      <c r="B40" s="147" t="s">
        <v>923</v>
      </c>
      <c r="C40" s="148" t="s">
        <v>888</v>
      </c>
      <c r="D40" s="148">
        <v>9.0</v>
      </c>
      <c r="E40" s="146" t="s">
        <v>916</v>
      </c>
      <c r="F40" s="151" t="s">
        <v>938</v>
      </c>
      <c r="G40" s="8"/>
      <c r="H40" s="8"/>
      <c r="I40" s="8"/>
    </row>
    <row r="41">
      <c r="A41" s="146" t="str">
        <f t="shared" si="4"/>
        <v>Ch Katori/BH/RK1-10</v>
      </c>
      <c r="B41" s="147" t="s">
        <v>923</v>
      </c>
      <c r="C41" s="148" t="s">
        <v>888</v>
      </c>
      <c r="D41" s="148">
        <v>10.0</v>
      </c>
      <c r="E41" s="146" t="s">
        <v>916</v>
      </c>
      <c r="F41" s="151" t="s">
        <v>938</v>
      </c>
      <c r="G41" s="8"/>
      <c r="H41" s="8"/>
      <c r="I41" s="8"/>
    </row>
    <row r="42">
      <c r="B42" s="152"/>
      <c r="C42" s="148"/>
      <c r="D42" s="8"/>
      <c r="E42" s="146" t="s">
        <v>918</v>
      </c>
      <c r="F42" s="146" t="s">
        <v>939</v>
      </c>
      <c r="G42" s="8"/>
      <c r="H42" s="8"/>
      <c r="I42" s="8"/>
    </row>
    <row r="43">
      <c r="B43" s="152"/>
      <c r="C43" s="148"/>
      <c r="D43" s="8"/>
      <c r="E43" s="146" t="s">
        <v>629</v>
      </c>
      <c r="F43" s="146" t="s">
        <v>940</v>
      </c>
      <c r="G43" s="8"/>
      <c r="H43" s="8"/>
      <c r="I43" s="8"/>
    </row>
    <row r="44">
      <c r="B44" s="152"/>
      <c r="C44" s="148"/>
      <c r="D44" s="8"/>
      <c r="E44" s="146" t="s">
        <v>921</v>
      </c>
      <c r="F44" s="146" t="s">
        <v>941</v>
      </c>
      <c r="G44" s="8"/>
      <c r="H44" s="8"/>
      <c r="I44" s="8"/>
    </row>
    <row r="45">
      <c r="A45" s="146" t="str">
        <f t="shared" ref="A45:A54" si="5">B45&amp;"/"&amp;E45&amp;"/"&amp;C45&amp;"-"&amp;D45</f>
        <v>PP Wet/CC/RK1-3</v>
      </c>
      <c r="B45" s="147" t="s">
        <v>429</v>
      </c>
      <c r="C45" s="148" t="s">
        <v>888</v>
      </c>
      <c r="D45" s="148">
        <v>3.0</v>
      </c>
      <c r="E45" s="146" t="s">
        <v>889</v>
      </c>
      <c r="F45" s="151" t="s">
        <v>942</v>
      </c>
      <c r="G45" s="8"/>
      <c r="H45" s="8"/>
      <c r="I45" s="8"/>
    </row>
    <row r="46">
      <c r="A46" s="146" t="str">
        <f t="shared" si="5"/>
        <v>PP Wet/PR1/RK3-1</v>
      </c>
      <c r="B46" s="147" t="s">
        <v>429</v>
      </c>
      <c r="C46" s="148" t="s">
        <v>891</v>
      </c>
      <c r="D46" s="148">
        <v>1.0</v>
      </c>
      <c r="E46" s="149" t="s">
        <v>892</v>
      </c>
      <c r="F46" s="151" t="s">
        <v>943</v>
      </c>
      <c r="G46" s="8"/>
      <c r="H46" s="8"/>
      <c r="I46" s="8"/>
    </row>
    <row r="47">
      <c r="A47" s="146" t="str">
        <f t="shared" si="5"/>
        <v>PP Wet/PR2/RK3-2</v>
      </c>
      <c r="B47" s="147" t="s">
        <v>429</v>
      </c>
      <c r="C47" s="148" t="s">
        <v>891</v>
      </c>
      <c r="D47" s="148">
        <v>2.0</v>
      </c>
      <c r="E47" s="149" t="s">
        <v>944</v>
      </c>
      <c r="F47" s="151" t="s">
        <v>945</v>
      </c>
      <c r="G47" s="8"/>
      <c r="H47" s="8"/>
      <c r="I47" s="8"/>
    </row>
    <row r="48">
      <c r="A48" s="146" t="str">
        <f t="shared" si="5"/>
        <v>PP Wet/SD/RK6-8</v>
      </c>
      <c r="B48" s="147" t="s">
        <v>429</v>
      </c>
      <c r="C48" s="148" t="s">
        <v>895</v>
      </c>
      <c r="D48" s="148">
        <v>8.0</v>
      </c>
      <c r="E48" s="146" t="s">
        <v>946</v>
      </c>
      <c r="F48" s="151" t="s">
        <v>947</v>
      </c>
      <c r="G48" s="8"/>
      <c r="H48" s="8"/>
      <c r="I48" s="8"/>
    </row>
    <row r="49">
      <c r="A49" s="146" t="str">
        <f t="shared" si="5"/>
        <v>PP Wet/SD/RK6-9</v>
      </c>
      <c r="B49" s="147" t="s">
        <v>429</v>
      </c>
      <c r="C49" s="148" t="s">
        <v>895</v>
      </c>
      <c r="D49" s="148">
        <v>9.0</v>
      </c>
      <c r="E49" s="146" t="s">
        <v>946</v>
      </c>
      <c r="F49" s="151" t="s">
        <v>947</v>
      </c>
      <c r="G49" s="8"/>
      <c r="H49" s="8"/>
      <c r="I49" s="8"/>
    </row>
    <row r="50">
      <c r="A50" s="146" t="str">
        <f t="shared" si="5"/>
        <v>PP Wet/SF/RK6-10</v>
      </c>
      <c r="B50" s="147" t="s">
        <v>429</v>
      </c>
      <c r="C50" s="148" t="s">
        <v>895</v>
      </c>
      <c r="D50" s="148">
        <v>10.0</v>
      </c>
      <c r="E50" s="146" t="s">
        <v>948</v>
      </c>
      <c r="F50" s="151" t="s">
        <v>949</v>
      </c>
      <c r="G50" s="8"/>
      <c r="H50" s="8"/>
      <c r="I50" s="8"/>
    </row>
    <row r="51">
      <c r="A51" s="146" t="str">
        <f t="shared" si="5"/>
        <v>PP Wet/SF/RK6-11</v>
      </c>
      <c r="B51" s="147" t="s">
        <v>429</v>
      </c>
      <c r="C51" s="148" t="s">
        <v>895</v>
      </c>
      <c r="D51" s="148">
        <v>11.0</v>
      </c>
      <c r="E51" s="146" t="s">
        <v>948</v>
      </c>
      <c r="F51" s="151" t="s">
        <v>949</v>
      </c>
      <c r="G51" s="8"/>
      <c r="H51" s="8"/>
      <c r="I51" s="8"/>
    </row>
    <row r="52">
      <c r="A52" s="146" t="str">
        <f t="shared" si="5"/>
        <v>PP Wet/SF/RK6-12</v>
      </c>
      <c r="B52" s="147" t="s">
        <v>429</v>
      </c>
      <c r="C52" s="148" t="s">
        <v>895</v>
      </c>
      <c r="D52" s="148">
        <v>12.0</v>
      </c>
      <c r="E52" s="146" t="s">
        <v>948</v>
      </c>
      <c r="F52" s="151" t="s">
        <v>949</v>
      </c>
      <c r="G52" s="8"/>
      <c r="H52" s="8"/>
      <c r="I52" s="8"/>
    </row>
    <row r="53">
      <c r="A53" s="146" t="str">
        <f t="shared" si="5"/>
        <v>PP Wet/CU/RK8-3</v>
      </c>
      <c r="B53" s="147" t="s">
        <v>429</v>
      </c>
      <c r="C53" s="148" t="s">
        <v>898</v>
      </c>
      <c r="D53" s="148">
        <v>3.0</v>
      </c>
      <c r="E53" s="146" t="s">
        <v>899</v>
      </c>
      <c r="F53" s="151" t="s">
        <v>950</v>
      </c>
      <c r="G53" s="8"/>
      <c r="H53" s="8"/>
      <c r="I53" s="8"/>
    </row>
    <row r="54">
      <c r="A54" s="146" t="str">
        <f t="shared" si="5"/>
        <v>PP Wet/GB/RK5-2</v>
      </c>
      <c r="B54" s="147" t="s">
        <v>429</v>
      </c>
      <c r="C54" s="148" t="s">
        <v>901</v>
      </c>
      <c r="D54" s="148">
        <v>2.0</v>
      </c>
      <c r="E54" s="146" t="s">
        <v>902</v>
      </c>
      <c r="F54" s="151" t="s">
        <v>951</v>
      </c>
      <c r="G54" s="8"/>
      <c r="H54" s="8"/>
      <c r="I54" s="8"/>
    </row>
    <row r="55">
      <c r="B55" s="147"/>
      <c r="C55" s="148"/>
      <c r="D55" s="148"/>
      <c r="E55" s="146" t="s">
        <v>928</v>
      </c>
      <c r="F55" s="146" t="s">
        <v>952</v>
      </c>
      <c r="G55" s="8"/>
      <c r="H55" s="8"/>
      <c r="I55" s="8"/>
    </row>
    <row r="56">
      <c r="A56" s="146" t="str">
        <f>B56&amp;"/"&amp;E56&amp;"/"&amp;C56&amp;"-"&amp;D56</f>
        <v>PP Wet/PF/RK3-17</v>
      </c>
      <c r="B56" s="147" t="s">
        <v>429</v>
      </c>
      <c r="C56" s="148" t="s">
        <v>891</v>
      </c>
      <c r="D56" s="148">
        <v>17.0</v>
      </c>
      <c r="E56" s="146" t="s">
        <v>931</v>
      </c>
      <c r="F56" s="151" t="s">
        <v>953</v>
      </c>
      <c r="G56" s="8"/>
      <c r="H56" s="8"/>
      <c r="I56" s="8"/>
    </row>
    <row r="57">
      <c r="B57" s="147"/>
      <c r="C57" s="148"/>
      <c r="D57" s="148"/>
      <c r="E57" s="146" t="s">
        <v>908</v>
      </c>
      <c r="F57" s="146" t="s">
        <v>954</v>
      </c>
      <c r="G57" s="8"/>
      <c r="H57" s="8"/>
      <c r="I57" s="8"/>
    </row>
    <row r="58">
      <c r="B58" s="147"/>
      <c r="C58" s="148"/>
      <c r="D58" s="8"/>
      <c r="E58" s="149" t="s">
        <v>910</v>
      </c>
      <c r="F58" s="146" t="s">
        <v>955</v>
      </c>
      <c r="G58" s="8"/>
      <c r="H58" s="8"/>
      <c r="I58" s="8"/>
    </row>
    <row r="59">
      <c r="B59" s="147"/>
      <c r="C59" s="148"/>
      <c r="D59" s="8"/>
      <c r="E59" s="146" t="s">
        <v>912</v>
      </c>
      <c r="F59" s="146" t="s">
        <v>956</v>
      </c>
      <c r="G59" s="8"/>
      <c r="H59" s="8"/>
      <c r="I59" s="8"/>
    </row>
    <row r="60">
      <c r="A60" s="146" t="str">
        <f t="shared" ref="A60:A64" si="6">B60&amp;"/"&amp;E60&amp;"/"&amp;C60&amp;"-"&amp;D60</f>
        <v>PP Wet/HH/RK1-11</v>
      </c>
      <c r="B60" s="147" t="s">
        <v>429</v>
      </c>
      <c r="C60" s="148" t="s">
        <v>888</v>
      </c>
      <c r="D60" s="148">
        <v>11.0</v>
      </c>
      <c r="E60" s="146" t="s">
        <v>914</v>
      </c>
      <c r="F60" s="151" t="s">
        <v>957</v>
      </c>
      <c r="G60" s="8"/>
      <c r="H60" s="8"/>
      <c r="I60" s="8"/>
    </row>
    <row r="61">
      <c r="A61" s="146" t="str">
        <f t="shared" si="6"/>
        <v>PP Wet/HH/RK1-12</v>
      </c>
      <c r="B61" s="147" t="s">
        <v>429</v>
      </c>
      <c r="C61" s="148" t="s">
        <v>888</v>
      </c>
      <c r="D61" s="148">
        <v>12.0</v>
      </c>
      <c r="E61" s="146" t="s">
        <v>914</v>
      </c>
      <c r="F61" s="151" t="s">
        <v>957</v>
      </c>
      <c r="G61" s="8"/>
      <c r="H61" s="8"/>
      <c r="I61" s="8"/>
    </row>
    <row r="62">
      <c r="A62" s="146" t="str">
        <f t="shared" si="6"/>
        <v>PP Wet/BH/RK1-13</v>
      </c>
      <c r="B62" s="147" t="s">
        <v>429</v>
      </c>
      <c r="C62" s="148" t="s">
        <v>888</v>
      </c>
      <c r="D62" s="148">
        <v>13.0</v>
      </c>
      <c r="E62" s="146" t="s">
        <v>916</v>
      </c>
      <c r="F62" s="151" t="s">
        <v>958</v>
      </c>
      <c r="G62" s="8"/>
      <c r="H62" s="8"/>
      <c r="I62" s="8"/>
    </row>
    <row r="63">
      <c r="A63" s="146" t="str">
        <f t="shared" si="6"/>
        <v>PP Wet/BH/RK1-14</v>
      </c>
      <c r="B63" s="147" t="s">
        <v>429</v>
      </c>
      <c r="C63" s="148" t="s">
        <v>888</v>
      </c>
      <c r="D63" s="148">
        <v>14.0</v>
      </c>
      <c r="E63" s="146" t="s">
        <v>916</v>
      </c>
      <c r="F63" s="151" t="s">
        <v>958</v>
      </c>
      <c r="G63" s="8"/>
      <c r="H63" s="8"/>
      <c r="I63" s="8"/>
    </row>
    <row r="64">
      <c r="A64" s="146" t="str">
        <f t="shared" si="6"/>
        <v>PP Wet/FB/RK2-1</v>
      </c>
      <c r="B64" s="147" t="s">
        <v>429</v>
      </c>
      <c r="C64" s="148" t="s">
        <v>959</v>
      </c>
      <c r="D64" s="148">
        <v>1.0</v>
      </c>
      <c r="E64" s="146" t="s">
        <v>960</v>
      </c>
      <c r="F64" s="151" t="s">
        <v>961</v>
      </c>
      <c r="G64" s="8"/>
      <c r="H64" s="8"/>
      <c r="I64" s="8"/>
    </row>
    <row r="65">
      <c r="B65" s="147"/>
      <c r="C65" s="148"/>
      <c r="D65" s="8"/>
      <c r="E65" s="146" t="s">
        <v>918</v>
      </c>
      <c r="F65" s="146" t="s">
        <v>962</v>
      </c>
      <c r="G65" s="8"/>
      <c r="H65" s="8"/>
      <c r="I65" s="8"/>
    </row>
    <row r="66">
      <c r="B66" s="147"/>
      <c r="C66" s="148"/>
      <c r="D66" s="8"/>
      <c r="E66" s="146" t="s">
        <v>629</v>
      </c>
      <c r="F66" s="146" t="s">
        <v>963</v>
      </c>
      <c r="G66" s="8"/>
      <c r="H66" s="8"/>
      <c r="I66" s="8"/>
    </row>
    <row r="67">
      <c r="B67" s="147"/>
      <c r="C67" s="148"/>
      <c r="D67" s="8"/>
      <c r="E67" s="146" t="s">
        <v>921</v>
      </c>
      <c r="F67" s="146" t="s">
        <v>964</v>
      </c>
      <c r="G67" s="8"/>
      <c r="H67" s="8"/>
      <c r="I67" s="8"/>
    </row>
    <row r="68">
      <c r="A68" s="146" t="str">
        <f t="shared" ref="A68:A73" si="7">B68&amp;"/"&amp;E68&amp;"/"&amp;C68&amp;"-"&amp;D68</f>
        <v>PP Dry/CC/RK1-4</v>
      </c>
      <c r="B68" s="147" t="s">
        <v>431</v>
      </c>
      <c r="C68" s="148" t="s">
        <v>888</v>
      </c>
      <c r="D68" s="148">
        <v>4.0</v>
      </c>
      <c r="E68" s="146" t="s">
        <v>889</v>
      </c>
      <c r="F68" s="151" t="s">
        <v>965</v>
      </c>
      <c r="G68" s="8"/>
      <c r="H68" s="8"/>
      <c r="I68" s="8"/>
    </row>
    <row r="69">
      <c r="A69" s="146" t="str">
        <f t="shared" si="7"/>
        <v>PP Dry/PR1/RK3-3</v>
      </c>
      <c r="B69" s="147" t="s">
        <v>431</v>
      </c>
      <c r="C69" s="148" t="s">
        <v>891</v>
      </c>
      <c r="D69" s="148">
        <v>3.0</v>
      </c>
      <c r="E69" s="149" t="s">
        <v>892</v>
      </c>
      <c r="F69" s="151" t="s">
        <v>966</v>
      </c>
      <c r="G69" s="8"/>
      <c r="H69" s="8"/>
      <c r="I69" s="8"/>
    </row>
    <row r="70">
      <c r="A70" s="146" t="str">
        <f t="shared" si="7"/>
        <v>PP Dry/SX/RK6-12</v>
      </c>
      <c r="B70" s="147" t="s">
        <v>431</v>
      </c>
      <c r="C70" s="148" t="s">
        <v>895</v>
      </c>
      <c r="D70" s="148">
        <v>12.0</v>
      </c>
      <c r="E70" s="146" t="s">
        <v>896</v>
      </c>
      <c r="F70" s="151" t="s">
        <v>967</v>
      </c>
      <c r="G70" s="8"/>
      <c r="H70" s="8"/>
      <c r="I70" s="8"/>
    </row>
    <row r="71">
      <c r="A71" s="146" t="str">
        <f t="shared" si="7"/>
        <v>PP Dry/SX/RK6-13</v>
      </c>
      <c r="B71" s="147" t="s">
        <v>431</v>
      </c>
      <c r="C71" s="148" t="s">
        <v>895</v>
      </c>
      <c r="D71" s="148">
        <v>13.0</v>
      </c>
      <c r="E71" s="146" t="s">
        <v>896</v>
      </c>
      <c r="F71" s="151" t="s">
        <v>967</v>
      </c>
      <c r="G71" s="8"/>
      <c r="H71" s="8"/>
      <c r="I71" s="8"/>
    </row>
    <row r="72">
      <c r="A72" s="146" t="str">
        <f t="shared" si="7"/>
        <v>PP Dry/CU/RK8-4</v>
      </c>
      <c r="B72" s="147" t="s">
        <v>431</v>
      </c>
      <c r="C72" s="148" t="s">
        <v>898</v>
      </c>
      <c r="D72" s="148">
        <v>4.0</v>
      </c>
      <c r="E72" s="146" t="s">
        <v>899</v>
      </c>
      <c r="F72" s="151" t="s">
        <v>968</v>
      </c>
      <c r="G72" s="8"/>
      <c r="H72" s="8"/>
      <c r="I72" s="8"/>
    </row>
    <row r="73">
      <c r="A73" s="146" t="str">
        <f t="shared" si="7"/>
        <v>PP Wet/GB/RK5-2</v>
      </c>
      <c r="B73" s="147" t="s">
        <v>429</v>
      </c>
      <c r="C73" s="148" t="s">
        <v>901</v>
      </c>
      <c r="D73" s="148">
        <v>2.0</v>
      </c>
      <c r="E73" s="146" t="s">
        <v>902</v>
      </c>
      <c r="F73" s="151" t="s">
        <v>969</v>
      </c>
      <c r="G73" s="8"/>
      <c r="H73" s="8"/>
      <c r="I73" s="8"/>
    </row>
    <row r="74">
      <c r="B74" s="147"/>
      <c r="C74" s="148"/>
      <c r="D74" s="148"/>
      <c r="E74" s="146" t="s">
        <v>928</v>
      </c>
      <c r="F74" s="146" t="s">
        <v>970</v>
      </c>
      <c r="G74" s="8"/>
      <c r="H74" s="8"/>
      <c r="I74" s="8"/>
    </row>
    <row r="75">
      <c r="A75" s="146" t="str">
        <f>B75&amp;"/"&amp;E75&amp;"/"&amp;C75&amp;"-"&amp;D75</f>
        <v>PP Dry/PF/RK3-18</v>
      </c>
      <c r="B75" s="147" t="s">
        <v>431</v>
      </c>
      <c r="C75" s="148" t="s">
        <v>891</v>
      </c>
      <c r="D75" s="148">
        <v>18.0</v>
      </c>
      <c r="E75" s="146" t="s">
        <v>931</v>
      </c>
      <c r="F75" s="151" t="s">
        <v>971</v>
      </c>
      <c r="G75" s="8"/>
      <c r="H75" s="8"/>
      <c r="I75" s="8"/>
    </row>
    <row r="76">
      <c r="B76" s="147"/>
      <c r="C76" s="148"/>
      <c r="D76" s="8"/>
      <c r="E76" s="146" t="s">
        <v>908</v>
      </c>
      <c r="F76" s="146" t="s">
        <v>972</v>
      </c>
      <c r="G76" s="8"/>
      <c r="H76" s="8"/>
      <c r="I76" s="8"/>
    </row>
    <row r="77">
      <c r="B77" s="152"/>
      <c r="C77" s="148"/>
      <c r="D77" s="8"/>
      <c r="E77" s="149" t="s">
        <v>910</v>
      </c>
      <c r="F77" s="146" t="s">
        <v>973</v>
      </c>
      <c r="G77" s="8"/>
      <c r="H77" s="8"/>
      <c r="I77" s="8"/>
    </row>
    <row r="78">
      <c r="B78" s="152"/>
      <c r="C78" s="148"/>
      <c r="D78" s="8"/>
      <c r="E78" s="146" t="s">
        <v>912</v>
      </c>
      <c r="F78" s="146" t="s">
        <v>974</v>
      </c>
      <c r="G78" s="8"/>
      <c r="H78" s="8"/>
      <c r="I78" s="8"/>
    </row>
    <row r="79">
      <c r="A79" s="146" t="str">
        <f t="shared" ref="A79:A83" si="8">B79&amp;"/"&amp;E79&amp;"/"&amp;C79&amp;"-"&amp;D79</f>
        <v>PP Wet/HH/RK1-11</v>
      </c>
      <c r="B79" s="147" t="s">
        <v>429</v>
      </c>
      <c r="C79" s="148" t="s">
        <v>888</v>
      </c>
      <c r="D79" s="148">
        <v>11.0</v>
      </c>
      <c r="E79" s="146" t="s">
        <v>914</v>
      </c>
      <c r="F79" s="151" t="s">
        <v>975</v>
      </c>
      <c r="G79" s="8"/>
      <c r="H79" s="8"/>
      <c r="I79" s="8"/>
    </row>
    <row r="80">
      <c r="A80" s="146" t="str">
        <f t="shared" si="8"/>
        <v>PP Wet/HH/RK1-12</v>
      </c>
      <c r="B80" s="147" t="s">
        <v>429</v>
      </c>
      <c r="C80" s="148" t="s">
        <v>888</v>
      </c>
      <c r="D80" s="148">
        <v>12.0</v>
      </c>
      <c r="E80" s="146" t="s">
        <v>914</v>
      </c>
      <c r="F80" s="151" t="s">
        <v>975</v>
      </c>
      <c r="G80" s="8"/>
      <c r="H80" s="8"/>
      <c r="I80" s="8"/>
    </row>
    <row r="81">
      <c r="A81" s="146" t="str">
        <f t="shared" si="8"/>
        <v>PP Wet/BH/RK1-13</v>
      </c>
      <c r="B81" s="147" t="s">
        <v>429</v>
      </c>
      <c r="C81" s="148" t="s">
        <v>888</v>
      </c>
      <c r="D81" s="148">
        <v>13.0</v>
      </c>
      <c r="E81" s="146" t="s">
        <v>916</v>
      </c>
      <c r="F81" s="151" t="s">
        <v>976</v>
      </c>
      <c r="G81" s="8"/>
      <c r="H81" s="8"/>
      <c r="I81" s="8"/>
    </row>
    <row r="82">
      <c r="A82" s="146" t="str">
        <f t="shared" si="8"/>
        <v>PP Wet/BH/RK1-14</v>
      </c>
      <c r="B82" s="147" t="s">
        <v>429</v>
      </c>
      <c r="C82" s="148" t="s">
        <v>888</v>
      </c>
      <c r="D82" s="148">
        <v>14.0</v>
      </c>
      <c r="E82" s="146" t="s">
        <v>916</v>
      </c>
      <c r="F82" s="151" t="s">
        <v>976</v>
      </c>
      <c r="G82" s="8"/>
      <c r="H82" s="8"/>
      <c r="I82" s="8"/>
    </row>
    <row r="83">
      <c r="A83" s="146" t="str">
        <f t="shared" si="8"/>
        <v>PP Dry/FB/RK2-2</v>
      </c>
      <c r="B83" s="147" t="s">
        <v>431</v>
      </c>
      <c r="C83" s="148" t="s">
        <v>959</v>
      </c>
      <c r="D83" s="148">
        <v>2.0</v>
      </c>
      <c r="E83" s="146" t="s">
        <v>960</v>
      </c>
      <c r="F83" s="151" t="s">
        <v>977</v>
      </c>
      <c r="G83" s="8"/>
      <c r="H83" s="8"/>
      <c r="I83" s="8"/>
    </row>
    <row r="84">
      <c r="B84" s="152"/>
      <c r="C84" s="148"/>
      <c r="D84" s="8"/>
      <c r="E84" s="146" t="s">
        <v>918</v>
      </c>
      <c r="F84" s="146" t="s">
        <v>978</v>
      </c>
      <c r="G84" s="8"/>
      <c r="H84" s="8"/>
      <c r="I84" s="8"/>
    </row>
    <row r="85">
      <c r="B85" s="152"/>
      <c r="C85" s="148"/>
      <c r="D85" s="8"/>
      <c r="E85" s="146" t="s">
        <v>629</v>
      </c>
      <c r="F85" s="146" t="s">
        <v>979</v>
      </c>
      <c r="G85" s="8"/>
      <c r="H85" s="8"/>
      <c r="I85" s="8"/>
    </row>
    <row r="86">
      <c r="B86" s="152"/>
      <c r="C86" s="148"/>
      <c r="D86" s="8"/>
      <c r="E86" s="146" t="s">
        <v>921</v>
      </c>
      <c r="F86" s="146" t="s">
        <v>980</v>
      </c>
      <c r="G86" s="8"/>
      <c r="H86" s="8"/>
      <c r="I86" s="8"/>
    </row>
    <row r="87">
      <c r="A87" s="146" t="str">
        <f t="shared" ref="A87:A92" si="9">B87&amp;"/"&amp;E87&amp;"/"&amp;C87&amp;"-"&amp;D87</f>
        <v>PP Chutney/CC/RK1-5</v>
      </c>
      <c r="B87" s="147" t="s">
        <v>433</v>
      </c>
      <c r="C87" s="148" t="s">
        <v>888</v>
      </c>
      <c r="D87" s="148">
        <v>5.0</v>
      </c>
      <c r="E87" s="146" t="s">
        <v>889</v>
      </c>
      <c r="F87" s="151" t="s">
        <v>981</v>
      </c>
      <c r="G87" s="8"/>
      <c r="H87" s="8"/>
      <c r="I87" s="8"/>
    </row>
    <row r="88">
      <c r="A88" s="146" t="str">
        <f t="shared" si="9"/>
        <v>PP Chutney/PR1/RK3-4</v>
      </c>
      <c r="B88" s="147" t="s">
        <v>433</v>
      </c>
      <c r="C88" s="148" t="s">
        <v>891</v>
      </c>
      <c r="D88" s="148">
        <v>4.0</v>
      </c>
      <c r="E88" s="149" t="s">
        <v>892</v>
      </c>
      <c r="F88" s="151" t="s">
        <v>982</v>
      </c>
      <c r="G88" s="8"/>
      <c r="H88" s="8"/>
      <c r="I88" s="8"/>
    </row>
    <row r="89">
      <c r="A89" s="146" t="str">
        <f t="shared" si="9"/>
        <v>PP Chutney/SX/RK6-14</v>
      </c>
      <c r="B89" s="147" t="s">
        <v>433</v>
      </c>
      <c r="C89" s="148" t="s">
        <v>895</v>
      </c>
      <c r="D89" s="148">
        <v>14.0</v>
      </c>
      <c r="E89" s="146" t="s">
        <v>896</v>
      </c>
      <c r="F89" s="151" t="s">
        <v>983</v>
      </c>
      <c r="G89" s="8"/>
      <c r="H89" s="8"/>
      <c r="I89" s="8"/>
    </row>
    <row r="90">
      <c r="A90" s="146" t="str">
        <f t="shared" si="9"/>
        <v>PP Chutney/SX/RK6-15</v>
      </c>
      <c r="B90" s="147" t="s">
        <v>433</v>
      </c>
      <c r="C90" s="148" t="s">
        <v>895</v>
      </c>
      <c r="D90" s="148">
        <v>15.0</v>
      </c>
      <c r="E90" s="146" t="s">
        <v>896</v>
      </c>
      <c r="F90" s="151" t="s">
        <v>983</v>
      </c>
      <c r="G90" s="8"/>
      <c r="H90" s="8"/>
      <c r="I90" s="8"/>
    </row>
    <row r="91">
      <c r="A91" s="146" t="str">
        <f t="shared" si="9"/>
        <v>PP Chutney/CU/RK8-5</v>
      </c>
      <c r="B91" s="147" t="s">
        <v>433</v>
      </c>
      <c r="C91" s="148" t="s">
        <v>898</v>
      </c>
      <c r="D91" s="148">
        <v>5.0</v>
      </c>
      <c r="E91" s="146" t="s">
        <v>899</v>
      </c>
      <c r="F91" s="151" t="s">
        <v>984</v>
      </c>
      <c r="G91" s="8"/>
      <c r="H91" s="8"/>
      <c r="I91" s="8"/>
    </row>
    <row r="92">
      <c r="A92" s="146" t="str">
        <f t="shared" si="9"/>
        <v>PP Wet/GB/RK5-2</v>
      </c>
      <c r="B92" s="147" t="s">
        <v>429</v>
      </c>
      <c r="C92" s="148" t="s">
        <v>901</v>
      </c>
      <c r="D92" s="148">
        <v>2.0</v>
      </c>
      <c r="E92" s="146" t="s">
        <v>902</v>
      </c>
      <c r="F92" s="151" t="s">
        <v>985</v>
      </c>
      <c r="G92" s="8"/>
      <c r="H92" s="8"/>
      <c r="I92" s="8"/>
    </row>
    <row r="93">
      <c r="B93" s="147"/>
      <c r="C93" s="148"/>
      <c r="D93" s="148"/>
      <c r="E93" s="146" t="s">
        <v>928</v>
      </c>
      <c r="F93" s="146" t="s">
        <v>986</v>
      </c>
      <c r="G93" s="8"/>
      <c r="H93" s="8"/>
      <c r="I93" s="8"/>
    </row>
    <row r="94">
      <c r="A94" s="146" t="str">
        <f>B94&amp;"/"&amp;E94&amp;"/"&amp;C94&amp;"-"&amp;D94</f>
        <v>PP Chutney/PF/RK3-19</v>
      </c>
      <c r="B94" s="147" t="s">
        <v>433</v>
      </c>
      <c r="C94" s="148" t="s">
        <v>891</v>
      </c>
      <c r="D94" s="148">
        <v>19.0</v>
      </c>
      <c r="E94" s="146" t="s">
        <v>931</v>
      </c>
      <c r="F94" s="151" t="s">
        <v>987</v>
      </c>
      <c r="G94" s="8"/>
      <c r="H94" s="8"/>
      <c r="I94" s="8"/>
    </row>
    <row r="95">
      <c r="B95" s="147"/>
      <c r="C95" s="148"/>
      <c r="D95" s="148"/>
      <c r="E95" s="146" t="s">
        <v>908</v>
      </c>
      <c r="F95" s="146" t="s">
        <v>988</v>
      </c>
      <c r="G95" s="8"/>
      <c r="H95" s="8"/>
      <c r="I95" s="8"/>
    </row>
    <row r="96">
      <c r="B96" s="147"/>
      <c r="C96" s="148"/>
      <c r="D96" s="148"/>
      <c r="E96" s="149" t="s">
        <v>910</v>
      </c>
      <c r="F96" s="146" t="s">
        <v>989</v>
      </c>
      <c r="G96" s="8"/>
      <c r="H96" s="8"/>
      <c r="I96" s="8"/>
    </row>
    <row r="97">
      <c r="B97" s="147"/>
      <c r="C97" s="148"/>
      <c r="D97" s="148"/>
      <c r="E97" s="146" t="s">
        <v>912</v>
      </c>
      <c r="F97" s="146" t="s">
        <v>990</v>
      </c>
      <c r="G97" s="8"/>
      <c r="H97" s="8"/>
      <c r="I97" s="8"/>
    </row>
    <row r="98">
      <c r="A98" s="146" t="str">
        <f t="shared" ref="A98:A101" si="10">B98&amp;"/"&amp;E98&amp;"/"&amp;C98&amp;"-"&amp;D98</f>
        <v>PP Wet/HH/RK1-11</v>
      </c>
      <c r="B98" s="147" t="s">
        <v>429</v>
      </c>
      <c r="C98" s="148" t="s">
        <v>888</v>
      </c>
      <c r="D98" s="148">
        <v>11.0</v>
      </c>
      <c r="E98" s="146" t="s">
        <v>914</v>
      </c>
      <c r="F98" s="151" t="s">
        <v>991</v>
      </c>
      <c r="G98" s="8"/>
      <c r="H98" s="8"/>
      <c r="I98" s="8"/>
    </row>
    <row r="99">
      <c r="A99" s="146" t="str">
        <f t="shared" si="10"/>
        <v>PP Wet/HH/RK1-12</v>
      </c>
      <c r="B99" s="147" t="s">
        <v>429</v>
      </c>
      <c r="C99" s="148" t="s">
        <v>888</v>
      </c>
      <c r="D99" s="148">
        <v>12.0</v>
      </c>
      <c r="E99" s="146" t="s">
        <v>914</v>
      </c>
      <c r="F99" s="151" t="s">
        <v>991</v>
      </c>
      <c r="G99" s="8"/>
      <c r="H99" s="8"/>
      <c r="I99" s="8"/>
    </row>
    <row r="100">
      <c r="A100" s="146" t="str">
        <f t="shared" si="10"/>
        <v>PP Wet/BH/RK1-13</v>
      </c>
      <c r="B100" s="147" t="s">
        <v>429</v>
      </c>
      <c r="C100" s="148" t="s">
        <v>888</v>
      </c>
      <c r="D100" s="148">
        <v>13.0</v>
      </c>
      <c r="E100" s="146" t="s">
        <v>916</v>
      </c>
      <c r="F100" s="151" t="s">
        <v>992</v>
      </c>
      <c r="G100" s="8"/>
      <c r="H100" s="8"/>
      <c r="I100" s="8"/>
    </row>
    <row r="101">
      <c r="A101" s="146" t="str">
        <f t="shared" si="10"/>
        <v>PP Wet/BH/RK1-14</v>
      </c>
      <c r="B101" s="147" t="s">
        <v>429</v>
      </c>
      <c r="C101" s="148" t="s">
        <v>888</v>
      </c>
      <c r="D101" s="148">
        <v>14.0</v>
      </c>
      <c r="E101" s="146" t="s">
        <v>916</v>
      </c>
      <c r="F101" s="151" t="s">
        <v>992</v>
      </c>
      <c r="G101" s="8"/>
      <c r="H101" s="8"/>
      <c r="I101" s="8"/>
    </row>
    <row r="102">
      <c r="B102" s="152"/>
      <c r="C102" s="148"/>
      <c r="D102" s="8"/>
      <c r="E102" s="146" t="s">
        <v>918</v>
      </c>
      <c r="F102" s="146" t="s">
        <v>993</v>
      </c>
      <c r="G102" s="8"/>
      <c r="H102" s="8"/>
      <c r="I102" s="8"/>
    </row>
    <row r="103">
      <c r="B103" s="152"/>
      <c r="C103" s="148"/>
      <c r="D103" s="8"/>
      <c r="E103" s="146" t="s">
        <v>629</v>
      </c>
      <c r="F103" s="146" t="s">
        <v>994</v>
      </c>
      <c r="G103" s="8"/>
      <c r="H103" s="8"/>
      <c r="I103" s="8"/>
    </row>
    <row r="104">
      <c r="B104" s="152"/>
      <c r="C104" s="148"/>
      <c r="D104" s="8"/>
      <c r="E104" s="146" t="s">
        <v>921</v>
      </c>
      <c r="F104" s="146" t="s">
        <v>995</v>
      </c>
      <c r="G104" s="8"/>
      <c r="H104" s="8"/>
      <c r="I104" s="8"/>
    </row>
    <row r="105">
      <c r="A105" s="146" t="str">
        <f t="shared" ref="A105:A114" si="11">B105&amp;"/"&amp;E105&amp;"/"&amp;C105&amp;"-"&amp;D105</f>
        <v>PP Wet/CC/RK1-3</v>
      </c>
      <c r="B105" s="147" t="s">
        <v>429</v>
      </c>
      <c r="C105" s="148" t="s">
        <v>888</v>
      </c>
      <c r="D105" s="148">
        <v>3.0</v>
      </c>
      <c r="E105" s="146" t="s">
        <v>889</v>
      </c>
      <c r="F105" s="151" t="s">
        <v>996</v>
      </c>
      <c r="G105" s="8"/>
      <c r="H105" s="8"/>
      <c r="I105" s="8"/>
    </row>
    <row r="106">
      <c r="A106" s="146" t="str">
        <f t="shared" si="11"/>
        <v>PP Wet/PR1/RK3-1</v>
      </c>
      <c r="B106" s="147" t="s">
        <v>429</v>
      </c>
      <c r="C106" s="148" t="s">
        <v>891</v>
      </c>
      <c r="D106" s="148">
        <v>1.0</v>
      </c>
      <c r="E106" s="149" t="s">
        <v>892</v>
      </c>
      <c r="F106" s="151" t="s">
        <v>997</v>
      </c>
      <c r="G106" s="8"/>
      <c r="H106" s="8"/>
      <c r="I106" s="8"/>
    </row>
    <row r="107">
      <c r="A107" s="146" t="str">
        <f t="shared" si="11"/>
        <v>PP Wet/PR2/RK3-2</v>
      </c>
      <c r="B107" s="147" t="s">
        <v>429</v>
      </c>
      <c r="C107" s="148" t="s">
        <v>891</v>
      </c>
      <c r="D107" s="148">
        <v>2.0</v>
      </c>
      <c r="E107" s="149" t="s">
        <v>944</v>
      </c>
      <c r="F107" s="151" t="s">
        <v>998</v>
      </c>
      <c r="G107" s="8"/>
      <c r="H107" s="8"/>
      <c r="I107" s="8"/>
    </row>
    <row r="108">
      <c r="A108" s="146" t="str">
        <f t="shared" si="11"/>
        <v>PP Wet/SD/RK6-8</v>
      </c>
      <c r="B108" s="147" t="s">
        <v>429</v>
      </c>
      <c r="C108" s="148" t="s">
        <v>895</v>
      </c>
      <c r="D108" s="148">
        <v>8.0</v>
      </c>
      <c r="E108" s="146" t="s">
        <v>946</v>
      </c>
      <c r="F108" s="151" t="s">
        <v>999</v>
      </c>
      <c r="G108" s="8"/>
      <c r="H108" s="8"/>
      <c r="I108" s="8"/>
    </row>
    <row r="109">
      <c r="A109" s="146" t="str">
        <f t="shared" si="11"/>
        <v>PP Wet/SD/RK6-9</v>
      </c>
      <c r="B109" s="147" t="s">
        <v>429</v>
      </c>
      <c r="C109" s="148" t="s">
        <v>895</v>
      </c>
      <c r="D109" s="148">
        <v>9.0</v>
      </c>
      <c r="E109" s="146" t="s">
        <v>946</v>
      </c>
      <c r="F109" s="151" t="s">
        <v>999</v>
      </c>
      <c r="G109" s="8"/>
      <c r="H109" s="8"/>
      <c r="I109" s="8"/>
    </row>
    <row r="110">
      <c r="A110" s="146" t="str">
        <f t="shared" si="11"/>
        <v>PP Wet/SF/RK6-10</v>
      </c>
      <c r="B110" s="147" t="s">
        <v>429</v>
      </c>
      <c r="C110" s="148" t="s">
        <v>895</v>
      </c>
      <c r="D110" s="148">
        <v>10.0</v>
      </c>
      <c r="E110" s="146" t="s">
        <v>948</v>
      </c>
      <c r="F110" s="151" t="s">
        <v>1000</v>
      </c>
      <c r="G110" s="8"/>
      <c r="H110" s="8"/>
      <c r="I110" s="8"/>
    </row>
    <row r="111">
      <c r="A111" s="146" t="str">
        <f t="shared" si="11"/>
        <v>PP Wet/SF/RK6-11</v>
      </c>
      <c r="B111" s="147" t="s">
        <v>429</v>
      </c>
      <c r="C111" s="148" t="s">
        <v>895</v>
      </c>
      <c r="D111" s="148">
        <v>11.0</v>
      </c>
      <c r="E111" s="146" t="s">
        <v>948</v>
      </c>
      <c r="F111" s="151" t="s">
        <v>1000</v>
      </c>
      <c r="G111" s="8"/>
      <c r="H111" s="8"/>
      <c r="I111" s="8"/>
    </row>
    <row r="112">
      <c r="A112" s="146" t="str">
        <f t="shared" si="11"/>
        <v>PP Wet/SF/RK6-12</v>
      </c>
      <c r="B112" s="147" t="s">
        <v>429</v>
      </c>
      <c r="C112" s="148" t="s">
        <v>895</v>
      </c>
      <c r="D112" s="148">
        <v>12.0</v>
      </c>
      <c r="E112" s="146" t="s">
        <v>948</v>
      </c>
      <c r="F112" s="151" t="s">
        <v>1000</v>
      </c>
      <c r="G112" s="8"/>
      <c r="H112" s="8"/>
      <c r="I112" s="8"/>
    </row>
    <row r="113">
      <c r="A113" s="146" t="str">
        <f t="shared" si="11"/>
        <v>PP Wet/CU/RK8-3</v>
      </c>
      <c r="B113" s="147" t="s">
        <v>429</v>
      </c>
      <c r="C113" s="148" t="s">
        <v>898</v>
      </c>
      <c r="D113" s="148">
        <v>3.0</v>
      </c>
      <c r="E113" s="146" t="s">
        <v>899</v>
      </c>
      <c r="F113" s="151" t="s">
        <v>1001</v>
      </c>
      <c r="G113" s="8"/>
      <c r="H113" s="8"/>
      <c r="I113" s="8"/>
    </row>
    <row r="114">
      <c r="A114" s="146" t="str">
        <f t="shared" si="11"/>
        <v>PP Wet/GB/RK5-2</v>
      </c>
      <c r="B114" s="147" t="s">
        <v>429</v>
      </c>
      <c r="C114" s="148" t="s">
        <v>901</v>
      </c>
      <c r="D114" s="148">
        <v>2.0</v>
      </c>
      <c r="E114" s="146" t="s">
        <v>902</v>
      </c>
      <c r="F114" s="151" t="s">
        <v>1002</v>
      </c>
      <c r="G114" s="8"/>
      <c r="H114" s="8"/>
      <c r="I114" s="8"/>
    </row>
    <row r="115">
      <c r="B115" s="147"/>
      <c r="C115" s="148"/>
      <c r="D115" s="148"/>
      <c r="E115" s="146" t="s">
        <v>928</v>
      </c>
      <c r="F115" s="146" t="s">
        <v>1003</v>
      </c>
      <c r="G115" s="8"/>
      <c r="H115" s="8"/>
      <c r="I115" s="8"/>
    </row>
    <row r="116">
      <c r="A116" s="146" t="str">
        <f>B116&amp;"/"&amp;E116&amp;"/"&amp;C116&amp;"-"&amp;D116</f>
        <v>PP Wet/PF/RK3-17</v>
      </c>
      <c r="B116" s="147" t="s">
        <v>429</v>
      </c>
      <c r="C116" s="148" t="s">
        <v>891</v>
      </c>
      <c r="D116" s="148">
        <v>17.0</v>
      </c>
      <c r="E116" s="146" t="s">
        <v>931</v>
      </c>
      <c r="F116" s="151" t="s">
        <v>1004</v>
      </c>
      <c r="G116" s="8"/>
      <c r="H116" s="8"/>
      <c r="I116" s="8"/>
    </row>
    <row r="117">
      <c r="B117" s="147"/>
      <c r="C117" s="148"/>
      <c r="D117" s="148"/>
      <c r="E117" s="146" t="s">
        <v>908</v>
      </c>
      <c r="F117" s="146" t="s">
        <v>1005</v>
      </c>
      <c r="G117" s="8"/>
      <c r="H117" s="8"/>
      <c r="I117" s="8"/>
    </row>
    <row r="118">
      <c r="B118" s="147"/>
      <c r="C118" s="148"/>
      <c r="D118" s="148"/>
      <c r="E118" s="149" t="s">
        <v>910</v>
      </c>
      <c r="F118" s="146" t="s">
        <v>1006</v>
      </c>
      <c r="G118" s="8"/>
      <c r="H118" s="8"/>
      <c r="I118" s="8"/>
    </row>
    <row r="119">
      <c r="B119" s="147"/>
      <c r="C119" s="148"/>
      <c r="D119" s="8"/>
      <c r="E119" s="146" t="s">
        <v>912</v>
      </c>
      <c r="F119" s="146" t="s">
        <v>1007</v>
      </c>
      <c r="G119" s="8"/>
      <c r="H119" s="8"/>
      <c r="I119" s="8"/>
    </row>
    <row r="120">
      <c r="A120" s="146" t="str">
        <f t="shared" ref="A120:A123" si="12">B120&amp;"/"&amp;E120&amp;"/"&amp;C120&amp;"-"&amp;D120</f>
        <v>VA Wet/HH/RK1-15</v>
      </c>
      <c r="B120" s="147" t="s">
        <v>441</v>
      </c>
      <c r="C120" s="148" t="s">
        <v>888</v>
      </c>
      <c r="D120" s="148">
        <v>15.0</v>
      </c>
      <c r="E120" s="146" t="s">
        <v>914</v>
      </c>
      <c r="F120" s="151" t="s">
        <v>1008</v>
      </c>
      <c r="G120" s="8"/>
      <c r="H120" s="8"/>
      <c r="I120" s="8"/>
    </row>
    <row r="121">
      <c r="A121" s="146" t="str">
        <f t="shared" si="12"/>
        <v>PP Wet/BH/RK1-13</v>
      </c>
      <c r="B121" s="147" t="s">
        <v>429</v>
      </c>
      <c r="C121" s="148" t="s">
        <v>888</v>
      </c>
      <c r="D121" s="148">
        <v>13.0</v>
      </c>
      <c r="E121" s="146" t="s">
        <v>916</v>
      </c>
      <c r="F121" s="151" t="s">
        <v>1009</v>
      </c>
      <c r="G121" s="8"/>
      <c r="H121" s="8"/>
      <c r="I121" s="8"/>
    </row>
    <row r="122">
      <c r="A122" s="146" t="str">
        <f t="shared" si="12"/>
        <v>PP Wet/BH/RK1-14</v>
      </c>
      <c r="B122" s="147" t="s">
        <v>429</v>
      </c>
      <c r="C122" s="148" t="s">
        <v>888</v>
      </c>
      <c r="D122" s="148">
        <v>14.0</v>
      </c>
      <c r="E122" s="146" t="s">
        <v>916</v>
      </c>
      <c r="F122" s="151" t="s">
        <v>1009</v>
      </c>
      <c r="G122" s="8"/>
      <c r="H122" s="8"/>
      <c r="I122" s="8"/>
    </row>
    <row r="123">
      <c r="A123" s="146" t="str">
        <f t="shared" si="12"/>
        <v>VA Wet/FB/RK2-3</v>
      </c>
      <c r="B123" s="147" t="s">
        <v>441</v>
      </c>
      <c r="C123" s="148" t="s">
        <v>959</v>
      </c>
      <c r="D123" s="148">
        <v>3.0</v>
      </c>
      <c r="E123" s="146" t="s">
        <v>960</v>
      </c>
      <c r="F123" s="151" t="s">
        <v>1010</v>
      </c>
      <c r="G123" s="8"/>
      <c r="H123" s="8"/>
      <c r="I123" s="8"/>
    </row>
    <row r="124">
      <c r="B124" s="152"/>
      <c r="C124" s="148"/>
      <c r="D124" s="8"/>
      <c r="E124" s="146" t="s">
        <v>918</v>
      </c>
      <c r="F124" s="146" t="s">
        <v>1011</v>
      </c>
      <c r="G124" s="8"/>
      <c r="H124" s="8"/>
      <c r="I124" s="8"/>
    </row>
    <row r="125">
      <c r="B125" s="152"/>
      <c r="C125" s="148"/>
      <c r="D125" s="8"/>
      <c r="E125" s="146" t="s">
        <v>629</v>
      </c>
      <c r="F125" s="146" t="s">
        <v>1012</v>
      </c>
      <c r="G125" s="8"/>
      <c r="H125" s="8"/>
      <c r="I125" s="8"/>
    </row>
    <row r="126">
      <c r="B126" s="152"/>
      <c r="C126" s="148"/>
      <c r="D126" s="8"/>
      <c r="E126" s="146" t="s">
        <v>921</v>
      </c>
      <c r="F126" s="146" t="s">
        <v>1013</v>
      </c>
      <c r="G126" s="8"/>
      <c r="H126" s="8"/>
      <c r="I126" s="8"/>
    </row>
    <row r="127">
      <c r="A127" s="146" t="str">
        <f t="shared" ref="A127:A132" si="13">B127&amp;"/"&amp;E127&amp;"/"&amp;C127&amp;"-"&amp;D127</f>
        <v>PP Dry/CC/RK1-4</v>
      </c>
      <c r="B127" s="147" t="s">
        <v>431</v>
      </c>
      <c r="C127" s="148" t="s">
        <v>888</v>
      </c>
      <c r="D127" s="148">
        <v>4.0</v>
      </c>
      <c r="E127" s="146" t="s">
        <v>889</v>
      </c>
      <c r="F127" s="151" t="s">
        <v>1014</v>
      </c>
      <c r="G127" s="8"/>
      <c r="H127" s="8"/>
      <c r="I127" s="8"/>
    </row>
    <row r="128">
      <c r="A128" s="146" t="str">
        <f t="shared" si="13"/>
        <v>PP Dry/PR1/RK3-3</v>
      </c>
      <c r="B128" s="147" t="s">
        <v>431</v>
      </c>
      <c r="C128" s="148" t="s">
        <v>891</v>
      </c>
      <c r="D128" s="148">
        <v>3.0</v>
      </c>
      <c r="E128" s="149" t="s">
        <v>892</v>
      </c>
      <c r="F128" s="151" t="s">
        <v>1015</v>
      </c>
      <c r="G128" s="8"/>
      <c r="H128" s="8"/>
      <c r="I128" s="8"/>
    </row>
    <row r="129">
      <c r="A129" s="146" t="str">
        <f t="shared" si="13"/>
        <v>PP Dry/SX/RK6-12</v>
      </c>
      <c r="B129" s="147" t="s">
        <v>431</v>
      </c>
      <c r="C129" s="148" t="s">
        <v>895</v>
      </c>
      <c r="D129" s="148">
        <v>12.0</v>
      </c>
      <c r="E129" s="146" t="s">
        <v>896</v>
      </c>
      <c r="F129" s="151" t="s">
        <v>1016</v>
      </c>
      <c r="G129" s="8"/>
      <c r="H129" s="8"/>
      <c r="I129" s="8"/>
    </row>
    <row r="130">
      <c r="A130" s="146" t="str">
        <f t="shared" si="13"/>
        <v>PP Dry/SX/RK6-13</v>
      </c>
      <c r="B130" s="147" t="s">
        <v>431</v>
      </c>
      <c r="C130" s="148" t="s">
        <v>895</v>
      </c>
      <c r="D130" s="148">
        <v>13.0</v>
      </c>
      <c r="E130" s="146" t="s">
        <v>896</v>
      </c>
      <c r="F130" s="151" t="s">
        <v>1016</v>
      </c>
      <c r="G130" s="8"/>
      <c r="H130" s="8"/>
      <c r="I130" s="8"/>
    </row>
    <row r="131">
      <c r="A131" s="146" t="str">
        <f t="shared" si="13"/>
        <v>PP Dry/CU/RK8-4</v>
      </c>
      <c r="B131" s="147" t="s">
        <v>431</v>
      </c>
      <c r="C131" s="148" t="s">
        <v>898</v>
      </c>
      <c r="D131" s="148">
        <v>4.0</v>
      </c>
      <c r="E131" s="146" t="s">
        <v>899</v>
      </c>
      <c r="F131" s="151" t="s">
        <v>1017</v>
      </c>
      <c r="G131" s="8"/>
      <c r="H131" s="8"/>
      <c r="I131" s="8"/>
    </row>
    <row r="132">
      <c r="A132" s="146" t="str">
        <f t="shared" si="13"/>
        <v>PP Wet/GB/RK5-2</v>
      </c>
      <c r="B132" s="147" t="s">
        <v>429</v>
      </c>
      <c r="C132" s="148" t="s">
        <v>901</v>
      </c>
      <c r="D132" s="148">
        <v>2.0</v>
      </c>
      <c r="E132" s="146" t="s">
        <v>902</v>
      </c>
      <c r="F132" s="151" t="s">
        <v>1018</v>
      </c>
      <c r="G132" s="8"/>
      <c r="H132" s="8"/>
      <c r="I132" s="8"/>
    </row>
    <row r="133">
      <c r="B133" s="147"/>
      <c r="C133" s="153"/>
      <c r="D133" s="148"/>
      <c r="E133" s="146" t="s">
        <v>928</v>
      </c>
      <c r="F133" s="146" t="s">
        <v>1019</v>
      </c>
      <c r="G133" s="8"/>
      <c r="H133" s="8"/>
      <c r="I133" s="8"/>
    </row>
    <row r="134">
      <c r="A134" s="146" t="str">
        <f>B134&amp;"/"&amp;E134&amp;"/"&amp;C134&amp;"-"&amp;D134</f>
        <v>PP Dry/PF/RK3-18</v>
      </c>
      <c r="B134" s="147" t="s">
        <v>431</v>
      </c>
      <c r="C134" s="148" t="s">
        <v>891</v>
      </c>
      <c r="D134" s="148">
        <v>18.0</v>
      </c>
      <c r="E134" s="146" t="s">
        <v>931</v>
      </c>
      <c r="F134" s="151" t="s">
        <v>1020</v>
      </c>
      <c r="G134" s="8"/>
      <c r="H134" s="8"/>
      <c r="I134" s="8"/>
    </row>
    <row r="135">
      <c r="B135" s="147"/>
      <c r="C135" s="148"/>
      <c r="D135" s="148"/>
      <c r="E135" s="146" t="s">
        <v>908</v>
      </c>
      <c r="F135" s="146" t="s">
        <v>1021</v>
      </c>
      <c r="G135" s="8"/>
      <c r="H135" s="8"/>
      <c r="I135" s="8"/>
    </row>
    <row r="136">
      <c r="B136" s="152"/>
      <c r="C136" s="148"/>
      <c r="D136" s="8"/>
      <c r="E136" s="149" t="s">
        <v>910</v>
      </c>
      <c r="F136" s="146" t="s">
        <v>1022</v>
      </c>
      <c r="G136" s="8"/>
      <c r="H136" s="8"/>
      <c r="I136" s="8"/>
    </row>
    <row r="137">
      <c r="B137" s="152"/>
      <c r="C137" s="148"/>
      <c r="D137" s="8"/>
      <c r="E137" s="146" t="s">
        <v>912</v>
      </c>
      <c r="F137" s="146" t="s">
        <v>1023</v>
      </c>
      <c r="G137" s="8"/>
      <c r="H137" s="8"/>
      <c r="I137" s="8"/>
    </row>
    <row r="138">
      <c r="A138" s="146" t="str">
        <f t="shared" ref="A138:A141" si="14">B138&amp;"/"&amp;E138&amp;"/"&amp;C138&amp;"-"&amp;D138</f>
        <v>VA Wet/HH/RK1-15</v>
      </c>
      <c r="B138" s="147" t="s">
        <v>441</v>
      </c>
      <c r="C138" s="148" t="s">
        <v>888</v>
      </c>
      <c r="D138" s="148">
        <v>15.0</v>
      </c>
      <c r="E138" s="146" t="s">
        <v>914</v>
      </c>
      <c r="F138" s="151" t="s">
        <v>1024</v>
      </c>
      <c r="G138" s="8"/>
      <c r="H138" s="8"/>
      <c r="I138" s="8"/>
    </row>
    <row r="139">
      <c r="A139" s="146" t="str">
        <f t="shared" si="14"/>
        <v>PP Wet/BH/RK1-13</v>
      </c>
      <c r="B139" s="147" t="s">
        <v>429</v>
      </c>
      <c r="C139" s="148" t="s">
        <v>888</v>
      </c>
      <c r="D139" s="148">
        <v>13.0</v>
      </c>
      <c r="E139" s="146" t="s">
        <v>916</v>
      </c>
      <c r="F139" s="151" t="s">
        <v>1025</v>
      </c>
      <c r="G139" s="8"/>
      <c r="H139" s="8"/>
      <c r="I139" s="8"/>
    </row>
    <row r="140">
      <c r="A140" s="146" t="str">
        <f t="shared" si="14"/>
        <v>PP Wet/BH/RK1-14</v>
      </c>
      <c r="B140" s="147" t="s">
        <v>429</v>
      </c>
      <c r="C140" s="148" t="s">
        <v>888</v>
      </c>
      <c r="D140" s="148">
        <v>14.0</v>
      </c>
      <c r="E140" s="146" t="s">
        <v>916</v>
      </c>
      <c r="F140" s="151" t="s">
        <v>1025</v>
      </c>
      <c r="G140" s="8"/>
      <c r="H140" s="8"/>
      <c r="I140" s="8"/>
    </row>
    <row r="141">
      <c r="A141" s="146" t="str">
        <f t="shared" si="14"/>
        <v>VA Dry/FB/RK2-4</v>
      </c>
      <c r="B141" s="147" t="s">
        <v>443</v>
      </c>
      <c r="C141" s="148" t="s">
        <v>959</v>
      </c>
      <c r="D141" s="148">
        <v>4.0</v>
      </c>
      <c r="E141" s="146" t="s">
        <v>960</v>
      </c>
      <c r="F141" s="151" t="s">
        <v>1026</v>
      </c>
      <c r="G141" s="8"/>
      <c r="H141" s="8"/>
      <c r="I141" s="8"/>
    </row>
    <row r="142">
      <c r="B142" s="152"/>
      <c r="C142" s="148"/>
      <c r="D142" s="8"/>
      <c r="E142" s="146" t="s">
        <v>918</v>
      </c>
      <c r="F142" s="146" t="s">
        <v>1027</v>
      </c>
      <c r="G142" s="8"/>
      <c r="H142" s="8"/>
      <c r="I142" s="8"/>
    </row>
    <row r="143">
      <c r="B143" s="152"/>
      <c r="C143" s="148"/>
      <c r="D143" s="8"/>
      <c r="E143" s="146" t="s">
        <v>629</v>
      </c>
      <c r="F143" s="146" t="s">
        <v>1028</v>
      </c>
      <c r="G143" s="8"/>
      <c r="H143" s="8"/>
      <c r="I143" s="8"/>
    </row>
    <row r="144">
      <c r="B144" s="152"/>
      <c r="C144" s="148"/>
      <c r="D144" s="8"/>
      <c r="E144" s="149" t="s">
        <v>921</v>
      </c>
      <c r="F144" s="146" t="s">
        <v>1029</v>
      </c>
      <c r="G144" s="8"/>
      <c r="H144" s="8"/>
      <c r="I144" s="8"/>
    </row>
    <row r="145">
      <c r="A145" s="146" t="str">
        <f t="shared" ref="A145:A149" si="15">B145&amp;"/"&amp;E145&amp;"/"&amp;C145&amp;"-"&amp;D145</f>
        <v>Ch Katori/CC/RK1-2</v>
      </c>
      <c r="B145" s="147" t="s">
        <v>923</v>
      </c>
      <c r="C145" s="148" t="s">
        <v>888</v>
      </c>
      <c r="D145" s="148">
        <v>2.0</v>
      </c>
      <c r="E145" s="146" t="s">
        <v>889</v>
      </c>
      <c r="F145" s="151" t="s">
        <v>1030</v>
      </c>
      <c r="G145" s="8"/>
      <c r="H145" s="8"/>
      <c r="I145" s="8"/>
    </row>
    <row r="146">
      <c r="A146" s="146" t="str">
        <f t="shared" si="15"/>
        <v>VA Chutney/PR1/RK3-5</v>
      </c>
      <c r="B146" s="147" t="s">
        <v>445</v>
      </c>
      <c r="C146" s="148" t="s">
        <v>891</v>
      </c>
      <c r="D146" s="148">
        <v>5.0</v>
      </c>
      <c r="E146" s="149" t="s">
        <v>892</v>
      </c>
      <c r="F146" s="151" t="s">
        <v>1031</v>
      </c>
      <c r="G146" s="8"/>
      <c r="H146" s="8"/>
      <c r="I146" s="8"/>
    </row>
    <row r="147">
      <c r="A147" s="146" t="str">
        <f t="shared" si="15"/>
        <v>VA Chutney/SX/RK6-16</v>
      </c>
      <c r="B147" s="147" t="s">
        <v>445</v>
      </c>
      <c r="C147" s="148" t="s">
        <v>895</v>
      </c>
      <c r="D147" s="148">
        <v>16.0</v>
      </c>
      <c r="E147" s="146" t="s">
        <v>896</v>
      </c>
      <c r="F147" s="151" t="s">
        <v>1032</v>
      </c>
      <c r="G147" s="8"/>
      <c r="H147" s="8"/>
      <c r="I147" s="8"/>
    </row>
    <row r="148">
      <c r="A148" s="146" t="str">
        <f t="shared" si="15"/>
        <v>VA Chutney/CU/RK8-6</v>
      </c>
      <c r="B148" s="147" t="s">
        <v>445</v>
      </c>
      <c r="C148" s="148" t="s">
        <v>898</v>
      </c>
      <c r="D148" s="148">
        <v>6.0</v>
      </c>
      <c r="E148" s="146" t="s">
        <v>899</v>
      </c>
      <c r="F148" s="151" t="s">
        <v>1033</v>
      </c>
      <c r="G148" s="8"/>
      <c r="H148" s="8"/>
      <c r="I148" s="8"/>
    </row>
    <row r="149">
      <c r="A149" s="146" t="str">
        <f t="shared" si="15"/>
        <v>PP Wet/GB/RK5-2</v>
      </c>
      <c r="B149" s="147" t="s">
        <v>429</v>
      </c>
      <c r="C149" s="148" t="s">
        <v>901</v>
      </c>
      <c r="D149" s="148">
        <v>2.0</v>
      </c>
      <c r="E149" s="146" t="s">
        <v>902</v>
      </c>
      <c r="F149" s="151" t="s">
        <v>1034</v>
      </c>
      <c r="G149" s="8"/>
      <c r="H149" s="8"/>
      <c r="I149" s="8"/>
    </row>
    <row r="150">
      <c r="B150" s="147"/>
      <c r="C150" s="148"/>
      <c r="D150" s="148"/>
      <c r="E150" s="146" t="s">
        <v>928</v>
      </c>
      <c r="F150" s="146" t="s">
        <v>1035</v>
      </c>
      <c r="G150" s="8"/>
      <c r="H150" s="8"/>
      <c r="I150" s="8"/>
    </row>
    <row r="151">
      <c r="A151" s="146" t="str">
        <f>B151&amp;"/"&amp;E151&amp;"/"&amp;C151&amp;"-"&amp;D151</f>
        <v>VA Chutney/PF/RK3-19</v>
      </c>
      <c r="B151" s="147" t="s">
        <v>445</v>
      </c>
      <c r="C151" s="148" t="s">
        <v>891</v>
      </c>
      <c r="D151" s="148">
        <v>19.0</v>
      </c>
      <c r="E151" s="146" t="s">
        <v>931</v>
      </c>
      <c r="F151" s="151" t="s">
        <v>1036</v>
      </c>
      <c r="G151" s="8"/>
      <c r="H151" s="8"/>
      <c r="I151" s="8"/>
    </row>
    <row r="152">
      <c r="B152" s="152"/>
      <c r="C152" s="148"/>
      <c r="D152" s="8"/>
      <c r="E152" s="146" t="s">
        <v>908</v>
      </c>
      <c r="F152" s="146" t="s">
        <v>1037</v>
      </c>
      <c r="G152" s="8"/>
      <c r="H152" s="8"/>
      <c r="I152" s="8"/>
    </row>
    <row r="153">
      <c r="B153" s="152"/>
      <c r="C153" s="148"/>
      <c r="D153" s="8"/>
      <c r="E153" s="149" t="s">
        <v>910</v>
      </c>
      <c r="F153" s="146" t="s">
        <v>1038</v>
      </c>
      <c r="G153" s="8"/>
      <c r="H153" s="8"/>
      <c r="I153" s="8"/>
    </row>
    <row r="154">
      <c r="B154" s="152"/>
      <c r="C154" s="148"/>
      <c r="D154" s="8"/>
      <c r="E154" s="146" t="s">
        <v>912</v>
      </c>
      <c r="F154" s="146" t="s">
        <v>1039</v>
      </c>
      <c r="G154" s="8"/>
      <c r="H154" s="8"/>
      <c r="I154" s="8"/>
    </row>
    <row r="155">
      <c r="A155" s="146" t="str">
        <f t="shared" ref="A155:A156" si="16">B155&amp;"/"&amp;E155&amp;"/"&amp;C155&amp;"-"&amp;D155</f>
        <v>PP Wet/BH/RK1-13</v>
      </c>
      <c r="B155" s="147" t="s">
        <v>429</v>
      </c>
      <c r="C155" s="148" t="s">
        <v>888</v>
      </c>
      <c r="D155" s="148">
        <v>13.0</v>
      </c>
      <c r="E155" s="146" t="s">
        <v>916</v>
      </c>
      <c r="F155" s="151" t="s">
        <v>1040</v>
      </c>
      <c r="G155" s="8"/>
      <c r="H155" s="8"/>
      <c r="I155" s="8"/>
    </row>
    <row r="156">
      <c r="A156" s="146" t="str">
        <f t="shared" si="16"/>
        <v>PP Wet/BH/RK1-14</v>
      </c>
      <c r="B156" s="147" t="s">
        <v>429</v>
      </c>
      <c r="C156" s="148" t="s">
        <v>888</v>
      </c>
      <c r="D156" s="148">
        <v>14.0</v>
      </c>
      <c r="E156" s="146" t="s">
        <v>916</v>
      </c>
      <c r="F156" s="151" t="s">
        <v>1040</v>
      </c>
      <c r="G156" s="8"/>
      <c r="H156" s="8"/>
      <c r="I156" s="8"/>
    </row>
    <row r="157">
      <c r="B157" s="152"/>
      <c r="C157" s="148"/>
      <c r="D157" s="8"/>
      <c r="E157" s="146" t="s">
        <v>918</v>
      </c>
      <c r="F157" s="146" t="s">
        <v>1041</v>
      </c>
      <c r="G157" s="8"/>
      <c r="H157" s="8"/>
      <c r="I157" s="8"/>
    </row>
    <row r="158">
      <c r="B158" s="152"/>
      <c r="C158" s="148"/>
      <c r="D158" s="8"/>
      <c r="E158" s="146" t="s">
        <v>629</v>
      </c>
      <c r="F158" s="146" t="s">
        <v>1042</v>
      </c>
      <c r="G158" s="8"/>
      <c r="H158" s="8"/>
      <c r="I158" s="8"/>
    </row>
    <row r="159">
      <c r="B159" s="152"/>
      <c r="C159" s="148"/>
      <c r="D159" s="8"/>
      <c r="E159" s="146" t="s">
        <v>921</v>
      </c>
      <c r="F159" s="146" t="s">
        <v>1043</v>
      </c>
      <c r="G159" s="8"/>
      <c r="H159" s="8"/>
      <c r="I159" s="8"/>
    </row>
    <row r="160">
      <c r="A160" s="146" t="str">
        <f t="shared" ref="A160:A165" si="17">B160&amp;"/"&amp;E160&amp;"/"&amp;C160&amp;"-"&amp;D160</f>
        <v>Dome Jar/CC/RK1-6</v>
      </c>
      <c r="B160" s="147" t="s">
        <v>467</v>
      </c>
      <c r="C160" s="148" t="s">
        <v>888</v>
      </c>
      <c r="D160" s="148">
        <v>6.0</v>
      </c>
      <c r="E160" s="149" t="s">
        <v>889</v>
      </c>
      <c r="F160" s="151" t="s">
        <v>1044</v>
      </c>
      <c r="G160" s="8"/>
      <c r="H160" s="8"/>
      <c r="I160" s="8"/>
    </row>
    <row r="161">
      <c r="A161" s="146" t="str">
        <f t="shared" si="17"/>
        <v>Dome Jar/PR1/RK3-6</v>
      </c>
      <c r="B161" s="147" t="s">
        <v>467</v>
      </c>
      <c r="C161" s="148" t="s">
        <v>891</v>
      </c>
      <c r="D161" s="148">
        <v>6.0</v>
      </c>
      <c r="E161" s="149" t="s">
        <v>892</v>
      </c>
      <c r="F161" s="151" t="s">
        <v>1045</v>
      </c>
      <c r="G161" s="8"/>
      <c r="H161" s="8"/>
      <c r="I161" s="8"/>
    </row>
    <row r="162">
      <c r="A162" s="146" t="str">
        <f t="shared" si="17"/>
        <v>Dome Jar/SX/RK6-17</v>
      </c>
      <c r="B162" s="147" t="s">
        <v>467</v>
      </c>
      <c r="C162" s="148" t="s">
        <v>895</v>
      </c>
      <c r="D162" s="148">
        <v>17.0</v>
      </c>
      <c r="E162" s="146" t="s">
        <v>896</v>
      </c>
      <c r="F162" s="151" t="s">
        <v>1046</v>
      </c>
      <c r="G162" s="8"/>
      <c r="H162" s="8"/>
      <c r="I162" s="8"/>
    </row>
    <row r="163">
      <c r="A163" s="146" t="str">
        <f t="shared" si="17"/>
        <v>Dome Jar/SX/RK6-18</v>
      </c>
      <c r="B163" s="147" t="s">
        <v>467</v>
      </c>
      <c r="C163" s="148" t="s">
        <v>895</v>
      </c>
      <c r="D163" s="148">
        <v>18.0</v>
      </c>
      <c r="E163" s="146" t="s">
        <v>896</v>
      </c>
      <c r="F163" s="151" t="s">
        <v>1046</v>
      </c>
      <c r="G163" s="8"/>
      <c r="H163" s="8"/>
      <c r="I163" s="8"/>
    </row>
    <row r="164">
      <c r="A164" s="146" t="str">
        <f t="shared" si="17"/>
        <v>Dome Jar/CU/RK8-7</v>
      </c>
      <c r="B164" s="147" t="s">
        <v>467</v>
      </c>
      <c r="C164" s="148" t="s">
        <v>898</v>
      </c>
      <c r="D164" s="148">
        <v>7.0</v>
      </c>
      <c r="E164" s="146" t="s">
        <v>899</v>
      </c>
      <c r="F164" s="151" t="s">
        <v>1047</v>
      </c>
      <c r="G164" s="8"/>
      <c r="H164" s="8"/>
      <c r="I164" s="8"/>
    </row>
    <row r="165">
      <c r="A165" s="146" t="str">
        <f t="shared" si="17"/>
        <v>Dome Jar/GB/RK5-3</v>
      </c>
      <c r="B165" s="147" t="s">
        <v>467</v>
      </c>
      <c r="C165" s="148" t="s">
        <v>901</v>
      </c>
      <c r="D165" s="148">
        <v>3.0</v>
      </c>
      <c r="E165" s="146" t="s">
        <v>902</v>
      </c>
      <c r="F165" s="151" t="s">
        <v>1048</v>
      </c>
      <c r="G165" s="8"/>
      <c r="H165" s="8"/>
      <c r="I165" s="8"/>
    </row>
    <row r="166">
      <c r="B166" s="147"/>
      <c r="C166" s="148"/>
      <c r="D166" s="148"/>
      <c r="E166" s="146" t="s">
        <v>928</v>
      </c>
      <c r="F166" s="146" t="s">
        <v>1049</v>
      </c>
      <c r="G166" s="8"/>
      <c r="H166" s="8"/>
      <c r="I166" s="8"/>
    </row>
    <row r="167">
      <c r="A167" s="146" t="str">
        <f>B167&amp;"/"&amp;E167&amp;"/"&amp;C167&amp;"-"&amp;D167</f>
        <v>Dome Jar/PF/RK3-20</v>
      </c>
      <c r="B167" s="147" t="s">
        <v>467</v>
      </c>
      <c r="C167" s="148" t="s">
        <v>891</v>
      </c>
      <c r="D167" s="148">
        <v>20.0</v>
      </c>
      <c r="E167" s="146" t="s">
        <v>931</v>
      </c>
      <c r="F167" s="151" t="s">
        <v>1050</v>
      </c>
      <c r="G167" s="8"/>
      <c r="H167" s="8"/>
      <c r="I167" s="8"/>
    </row>
    <row r="168">
      <c r="B168" s="147"/>
      <c r="C168" s="148"/>
      <c r="D168" s="148"/>
      <c r="E168" s="149" t="s">
        <v>906</v>
      </c>
      <c r="F168" s="146" t="s">
        <v>1051</v>
      </c>
      <c r="G168" s="8"/>
      <c r="H168" s="8"/>
      <c r="I168" s="8"/>
    </row>
    <row r="169">
      <c r="B169" s="147"/>
      <c r="C169" s="148"/>
      <c r="D169" s="148"/>
      <c r="E169" s="146" t="s">
        <v>908</v>
      </c>
      <c r="F169" s="146" t="s">
        <v>1052</v>
      </c>
      <c r="G169" s="8"/>
      <c r="H169" s="8"/>
      <c r="I169" s="8"/>
    </row>
    <row r="170">
      <c r="B170" s="147"/>
      <c r="C170" s="148"/>
      <c r="D170" s="148"/>
      <c r="E170" s="149" t="s">
        <v>910</v>
      </c>
      <c r="F170" s="146" t="s">
        <v>1053</v>
      </c>
      <c r="G170" s="8"/>
      <c r="H170" s="8"/>
      <c r="I170" s="8"/>
    </row>
    <row r="171">
      <c r="B171" s="147"/>
      <c r="C171" s="148"/>
      <c r="D171" s="148"/>
      <c r="E171" s="146" t="s">
        <v>912</v>
      </c>
      <c r="F171" s="146" t="s">
        <v>1054</v>
      </c>
      <c r="G171" s="8"/>
      <c r="H171" s="8"/>
      <c r="I171" s="8"/>
    </row>
    <row r="172">
      <c r="A172" s="146" t="str">
        <f t="shared" ref="A172:A176" si="18">B172&amp;"/"&amp;E172&amp;"/"&amp;C172&amp;"-"&amp;D172</f>
        <v>Grinder Jar/HH/RK1-1</v>
      </c>
      <c r="B172" s="147" t="s">
        <v>463</v>
      </c>
      <c r="C172" s="148" t="s">
        <v>888</v>
      </c>
      <c r="D172" s="148">
        <v>1.0</v>
      </c>
      <c r="E172" s="146" t="s">
        <v>914</v>
      </c>
      <c r="F172" s="151" t="s">
        <v>1055</v>
      </c>
      <c r="G172" s="8"/>
      <c r="H172" s="8"/>
      <c r="I172" s="8"/>
    </row>
    <row r="173">
      <c r="A173" s="146" t="str">
        <f t="shared" si="18"/>
        <v>Grinder Jar/HH/RK1-2</v>
      </c>
      <c r="B173" s="147" t="s">
        <v>463</v>
      </c>
      <c r="C173" s="148" t="s">
        <v>888</v>
      </c>
      <c r="D173" s="148">
        <v>2.0</v>
      </c>
      <c r="E173" s="146" t="s">
        <v>914</v>
      </c>
      <c r="F173" s="151" t="s">
        <v>1055</v>
      </c>
      <c r="G173" s="8"/>
      <c r="H173" s="8"/>
      <c r="I173" s="8"/>
    </row>
    <row r="174">
      <c r="A174" s="146" t="str">
        <f t="shared" si="18"/>
        <v>Grinder Jar/HH/RK1-3</v>
      </c>
      <c r="B174" s="147" t="s">
        <v>463</v>
      </c>
      <c r="C174" s="148" t="s">
        <v>888</v>
      </c>
      <c r="D174" s="148">
        <v>3.0</v>
      </c>
      <c r="E174" s="146" t="s">
        <v>914</v>
      </c>
      <c r="F174" s="151" t="s">
        <v>1055</v>
      </c>
      <c r="G174" s="8"/>
      <c r="H174" s="8"/>
      <c r="I174" s="8"/>
    </row>
    <row r="175">
      <c r="A175" s="146" t="str">
        <f t="shared" si="18"/>
        <v>Grinder Jar/BH/RK1-4</v>
      </c>
      <c r="B175" s="147" t="s">
        <v>463</v>
      </c>
      <c r="C175" s="148" t="s">
        <v>888</v>
      </c>
      <c r="D175" s="148">
        <v>4.0</v>
      </c>
      <c r="E175" s="146" t="s">
        <v>916</v>
      </c>
      <c r="F175" s="151" t="s">
        <v>1056</v>
      </c>
      <c r="G175" s="8"/>
      <c r="H175" s="8"/>
      <c r="I175" s="8"/>
    </row>
    <row r="176">
      <c r="A176" s="146" t="str">
        <f t="shared" si="18"/>
        <v>Dome Jar/FB/RK2-5</v>
      </c>
      <c r="B176" s="147" t="s">
        <v>467</v>
      </c>
      <c r="C176" s="148" t="s">
        <v>959</v>
      </c>
      <c r="D176" s="148">
        <v>5.0</v>
      </c>
      <c r="E176" s="146" t="s">
        <v>960</v>
      </c>
      <c r="F176" s="151" t="s">
        <v>1057</v>
      </c>
      <c r="G176" s="8"/>
      <c r="H176" s="8"/>
      <c r="I176" s="8"/>
    </row>
    <row r="177">
      <c r="B177" s="152"/>
      <c r="C177" s="148"/>
      <c r="D177" s="8"/>
      <c r="E177" s="146" t="s">
        <v>918</v>
      </c>
      <c r="F177" s="146" t="s">
        <v>1058</v>
      </c>
      <c r="G177" s="8"/>
      <c r="H177" s="8"/>
      <c r="I177" s="8"/>
    </row>
    <row r="178">
      <c r="B178" s="152"/>
      <c r="C178" s="148"/>
      <c r="D178" s="8"/>
      <c r="E178" s="146" t="s">
        <v>629</v>
      </c>
      <c r="F178" s="146" t="s">
        <v>1059</v>
      </c>
      <c r="G178" s="8"/>
      <c r="H178" s="8"/>
      <c r="I178" s="8"/>
    </row>
    <row r="179">
      <c r="B179" s="152"/>
      <c r="C179" s="148"/>
      <c r="D179" s="8"/>
      <c r="E179" s="146" t="s">
        <v>921</v>
      </c>
      <c r="F179" s="146" t="s">
        <v>1060</v>
      </c>
      <c r="G179" s="8"/>
      <c r="H179" s="8"/>
      <c r="I179" s="8"/>
    </row>
    <row r="180">
      <c r="A180" s="146" t="str">
        <f t="shared" ref="A180:A185" si="19">B180&amp;"/"&amp;E180&amp;"/"&amp;C180&amp;"-"&amp;D180</f>
        <v>ST-1500/CC/RK1-7</v>
      </c>
      <c r="B180" s="147" t="s">
        <v>1061</v>
      </c>
      <c r="C180" s="148" t="s">
        <v>888</v>
      </c>
      <c r="D180" s="148">
        <v>7.0</v>
      </c>
      <c r="E180" s="146" t="s">
        <v>889</v>
      </c>
      <c r="F180" s="151" t="s">
        <v>1062</v>
      </c>
      <c r="G180" s="8"/>
      <c r="H180" s="8"/>
      <c r="I180" s="8"/>
    </row>
    <row r="181">
      <c r="A181" s="146" t="str">
        <f t="shared" si="19"/>
        <v>Flat Jar/PR1/RK3-7</v>
      </c>
      <c r="B181" s="147" t="s">
        <v>469</v>
      </c>
      <c r="C181" s="148" t="s">
        <v>891</v>
      </c>
      <c r="D181" s="148">
        <v>7.0</v>
      </c>
      <c r="E181" s="149" t="s">
        <v>892</v>
      </c>
      <c r="F181" s="151" t="s">
        <v>1063</v>
      </c>
      <c r="G181" s="8"/>
      <c r="H181" s="8"/>
      <c r="I181" s="8"/>
    </row>
    <row r="182">
      <c r="A182" s="146" t="str">
        <f t="shared" si="19"/>
        <v>Flat Jar/SX/RK6-19</v>
      </c>
      <c r="B182" s="147" t="s">
        <v>469</v>
      </c>
      <c r="C182" s="148" t="s">
        <v>895</v>
      </c>
      <c r="D182" s="148">
        <v>19.0</v>
      </c>
      <c r="E182" s="149" t="s">
        <v>896</v>
      </c>
      <c r="F182" s="151" t="s">
        <v>1064</v>
      </c>
      <c r="G182" s="8"/>
      <c r="H182" s="8"/>
      <c r="I182" s="8"/>
    </row>
    <row r="183">
      <c r="A183" s="146" t="str">
        <f t="shared" si="19"/>
        <v>Flat Jar/SX/RK6-20</v>
      </c>
      <c r="B183" s="147" t="s">
        <v>469</v>
      </c>
      <c r="C183" s="148" t="s">
        <v>895</v>
      </c>
      <c r="D183" s="148">
        <v>20.0</v>
      </c>
      <c r="E183" s="146" t="s">
        <v>896</v>
      </c>
      <c r="F183" s="151" t="s">
        <v>1064</v>
      </c>
      <c r="G183" s="8"/>
      <c r="H183" s="8"/>
      <c r="I183" s="8"/>
    </row>
    <row r="184">
      <c r="A184" s="146" t="str">
        <f t="shared" si="19"/>
        <v>Flat Jar/CU/RK8-8</v>
      </c>
      <c r="B184" s="147" t="s">
        <v>469</v>
      </c>
      <c r="C184" s="148" t="s">
        <v>898</v>
      </c>
      <c r="D184" s="148">
        <v>8.0</v>
      </c>
      <c r="E184" s="146" t="s">
        <v>899</v>
      </c>
      <c r="F184" s="151" t="s">
        <v>1065</v>
      </c>
      <c r="G184" s="8"/>
      <c r="H184" s="8"/>
      <c r="I184" s="8"/>
    </row>
    <row r="185">
      <c r="A185" s="146" t="str">
        <f t="shared" si="19"/>
        <v>Flat Jar/GB/RK5-4</v>
      </c>
      <c r="B185" s="147" t="s">
        <v>469</v>
      </c>
      <c r="C185" s="148" t="s">
        <v>901</v>
      </c>
      <c r="D185" s="148">
        <v>4.0</v>
      </c>
      <c r="E185" s="146" t="s">
        <v>902</v>
      </c>
      <c r="F185" s="151" t="s">
        <v>1066</v>
      </c>
      <c r="G185" s="8"/>
      <c r="H185" s="8"/>
      <c r="I185" s="8"/>
    </row>
    <row r="186">
      <c r="B186" s="154"/>
      <c r="C186" s="155"/>
      <c r="D186" s="156"/>
      <c r="E186" s="146" t="s">
        <v>928</v>
      </c>
      <c r="F186" s="146" t="s">
        <v>1067</v>
      </c>
      <c r="G186" s="8"/>
      <c r="H186" s="8"/>
      <c r="I186" s="8"/>
    </row>
    <row r="187">
      <c r="A187" s="146" t="str">
        <f>B187&amp;"/"&amp;E187&amp;"/"&amp;C187&amp;"-"&amp;D187</f>
        <v>Flat Jar/PF/RK3-21</v>
      </c>
      <c r="B187" s="147" t="s">
        <v>469</v>
      </c>
      <c r="C187" s="148" t="s">
        <v>891</v>
      </c>
      <c r="D187" s="148">
        <v>21.0</v>
      </c>
      <c r="E187" s="146" t="s">
        <v>931</v>
      </c>
      <c r="F187" s="151" t="s">
        <v>1068</v>
      </c>
      <c r="G187" s="8"/>
      <c r="H187" s="8"/>
      <c r="I187" s="8"/>
    </row>
    <row r="188">
      <c r="B188" s="152"/>
      <c r="C188" s="148"/>
      <c r="D188" s="8"/>
      <c r="E188" s="149" t="s">
        <v>906</v>
      </c>
      <c r="F188" s="146" t="s">
        <v>1069</v>
      </c>
      <c r="G188" s="8"/>
      <c r="H188" s="8"/>
      <c r="I188" s="8"/>
    </row>
    <row r="189">
      <c r="B189" s="152"/>
      <c r="C189" s="148"/>
      <c r="D189" s="8"/>
      <c r="E189" s="146" t="s">
        <v>908</v>
      </c>
      <c r="F189" s="146" t="s">
        <v>1070</v>
      </c>
      <c r="G189" s="8"/>
      <c r="H189" s="8"/>
      <c r="I189" s="8"/>
    </row>
    <row r="190">
      <c r="B190" s="152"/>
      <c r="C190" s="148"/>
      <c r="D190" s="8"/>
      <c r="E190" s="149" t="s">
        <v>910</v>
      </c>
      <c r="F190" s="146" t="s">
        <v>1071</v>
      </c>
      <c r="G190" s="8"/>
      <c r="H190" s="8"/>
      <c r="I190" s="8"/>
    </row>
    <row r="191">
      <c r="B191" s="152"/>
      <c r="C191" s="148"/>
      <c r="D191" s="8"/>
      <c r="E191" s="146" t="s">
        <v>912</v>
      </c>
      <c r="F191" s="146" t="s">
        <v>1072</v>
      </c>
      <c r="G191" s="8"/>
      <c r="H191" s="8"/>
      <c r="I191" s="8"/>
    </row>
    <row r="192">
      <c r="A192" s="146" t="str">
        <f t="shared" ref="A192:A196" si="20">B192&amp;"/"&amp;E192&amp;"/"&amp;C192&amp;"-"&amp;D192</f>
        <v>Grinder Jar/HH/RK1-1</v>
      </c>
      <c r="B192" s="147" t="s">
        <v>463</v>
      </c>
      <c r="C192" s="148" t="s">
        <v>888</v>
      </c>
      <c r="D192" s="148">
        <v>1.0</v>
      </c>
      <c r="E192" s="146" t="s">
        <v>914</v>
      </c>
      <c r="F192" s="151" t="s">
        <v>1073</v>
      </c>
      <c r="G192" s="8"/>
      <c r="H192" s="8"/>
      <c r="I192" s="8"/>
    </row>
    <row r="193">
      <c r="A193" s="146" t="str">
        <f t="shared" si="20"/>
        <v>Grinder Jar/HH/RK1-2</v>
      </c>
      <c r="B193" s="147" t="s">
        <v>463</v>
      </c>
      <c r="C193" s="148" t="s">
        <v>888</v>
      </c>
      <c r="D193" s="148">
        <v>2.0</v>
      </c>
      <c r="E193" s="146" t="s">
        <v>914</v>
      </c>
      <c r="F193" s="151" t="s">
        <v>1073</v>
      </c>
      <c r="G193" s="8"/>
      <c r="H193" s="8"/>
      <c r="I193" s="8"/>
    </row>
    <row r="194">
      <c r="A194" s="146" t="str">
        <f t="shared" si="20"/>
        <v>Grinder Jar/HH/RK1-3</v>
      </c>
      <c r="B194" s="147" t="s">
        <v>463</v>
      </c>
      <c r="C194" s="148" t="s">
        <v>888</v>
      </c>
      <c r="D194" s="148">
        <v>3.0</v>
      </c>
      <c r="E194" s="146" t="s">
        <v>914</v>
      </c>
      <c r="F194" s="151" t="s">
        <v>1073</v>
      </c>
      <c r="G194" s="8"/>
      <c r="H194" s="8"/>
      <c r="I194" s="8"/>
    </row>
    <row r="195">
      <c r="A195" s="146" t="str">
        <f t="shared" si="20"/>
        <v>Grinder Jar/BH/RK1-4</v>
      </c>
      <c r="B195" s="147" t="s">
        <v>463</v>
      </c>
      <c r="C195" s="148" t="s">
        <v>888</v>
      </c>
      <c r="D195" s="148">
        <v>4.0</v>
      </c>
      <c r="E195" s="146" t="s">
        <v>916</v>
      </c>
      <c r="F195" s="151" t="s">
        <v>1074</v>
      </c>
      <c r="G195" s="8"/>
      <c r="H195" s="8"/>
      <c r="I195" s="8"/>
    </row>
    <row r="196">
      <c r="A196" s="146" t="str">
        <f t="shared" si="20"/>
        <v>Flat Jar/FB/RK2-6</v>
      </c>
      <c r="B196" s="147" t="s">
        <v>469</v>
      </c>
      <c r="C196" s="148" t="s">
        <v>959</v>
      </c>
      <c r="D196" s="148">
        <v>6.0</v>
      </c>
      <c r="E196" s="146" t="s">
        <v>960</v>
      </c>
      <c r="F196" s="151" t="s">
        <v>1075</v>
      </c>
      <c r="G196" s="8"/>
      <c r="H196" s="8"/>
      <c r="I196" s="8"/>
    </row>
    <row r="197">
      <c r="B197" s="152"/>
      <c r="C197" s="148"/>
      <c r="D197" s="8"/>
      <c r="E197" s="146" t="s">
        <v>918</v>
      </c>
      <c r="F197" s="146" t="s">
        <v>1076</v>
      </c>
      <c r="G197" s="8"/>
      <c r="H197" s="8"/>
      <c r="I197" s="8"/>
    </row>
    <row r="198">
      <c r="B198" s="152"/>
      <c r="C198" s="148"/>
      <c r="D198" s="8"/>
      <c r="E198" s="146" t="s">
        <v>629</v>
      </c>
      <c r="F198" s="146" t="s">
        <v>1077</v>
      </c>
      <c r="G198" s="8"/>
      <c r="H198" s="8"/>
      <c r="I198" s="8"/>
    </row>
    <row r="199">
      <c r="B199" s="152"/>
      <c r="C199" s="148"/>
      <c r="D199" s="8"/>
      <c r="E199" s="146" t="s">
        <v>921</v>
      </c>
      <c r="F199" s="146" t="s">
        <v>1078</v>
      </c>
      <c r="G199" s="8"/>
      <c r="H199" s="8"/>
      <c r="I199" s="8"/>
    </row>
    <row r="200">
      <c r="A200" s="146" t="str">
        <f t="shared" ref="A200:A207" si="21">B200&amp;"/"&amp;E200&amp;"/"&amp;C200&amp;"-"&amp;D200</f>
        <v>ST-1500/CC/RK1-7</v>
      </c>
      <c r="B200" s="147" t="s">
        <v>1061</v>
      </c>
      <c r="C200" s="148" t="s">
        <v>888</v>
      </c>
      <c r="D200" s="148">
        <v>7.0</v>
      </c>
      <c r="E200" s="146" t="s">
        <v>889</v>
      </c>
      <c r="F200" s="151" t="s">
        <v>1079</v>
      </c>
      <c r="G200" s="8"/>
      <c r="H200" s="8"/>
      <c r="I200" s="8"/>
    </row>
    <row r="201">
      <c r="A201" s="146" t="str">
        <f t="shared" si="21"/>
        <v>ST-1500/PR1/RK3-11</v>
      </c>
      <c r="B201" s="147" t="s">
        <v>1061</v>
      </c>
      <c r="C201" s="148" t="s">
        <v>891</v>
      </c>
      <c r="D201" s="148">
        <v>11.0</v>
      </c>
      <c r="E201" s="149" t="s">
        <v>892</v>
      </c>
      <c r="F201" s="151" t="s">
        <v>1080</v>
      </c>
      <c r="G201" s="8"/>
      <c r="H201" s="8"/>
      <c r="I201" s="8"/>
    </row>
    <row r="202">
      <c r="A202" s="146" t="str">
        <f t="shared" si="21"/>
        <v>ST-1500/SD/RK6-21</v>
      </c>
      <c r="B202" s="147" t="s">
        <v>1061</v>
      </c>
      <c r="C202" s="148" t="s">
        <v>895</v>
      </c>
      <c r="D202" s="148">
        <v>21.0</v>
      </c>
      <c r="E202" s="146" t="s">
        <v>946</v>
      </c>
      <c r="F202" s="151" t="s">
        <v>1081</v>
      </c>
      <c r="G202" s="8"/>
      <c r="H202" s="8"/>
      <c r="I202" s="8"/>
    </row>
    <row r="203">
      <c r="A203" s="146" t="str">
        <f t="shared" si="21"/>
        <v>ST-1500/SF/RK6-22</v>
      </c>
      <c r="B203" s="147" t="s">
        <v>1061</v>
      </c>
      <c r="C203" s="148" t="s">
        <v>895</v>
      </c>
      <c r="D203" s="148">
        <v>22.0</v>
      </c>
      <c r="E203" s="146" t="s">
        <v>948</v>
      </c>
      <c r="F203" s="151" t="s">
        <v>1082</v>
      </c>
      <c r="G203" s="8"/>
      <c r="H203" s="8"/>
      <c r="I203" s="8"/>
    </row>
    <row r="204">
      <c r="A204" s="146" t="str">
        <f t="shared" si="21"/>
        <v>ST-1500/CU/RK8-9</v>
      </c>
      <c r="B204" s="147" t="s">
        <v>1061</v>
      </c>
      <c r="C204" s="148" t="s">
        <v>898</v>
      </c>
      <c r="D204" s="148">
        <v>9.0</v>
      </c>
      <c r="E204" s="146" t="s">
        <v>899</v>
      </c>
      <c r="F204" s="151" t="s">
        <v>1083</v>
      </c>
      <c r="G204" s="8"/>
      <c r="H204" s="8"/>
      <c r="I204" s="8"/>
    </row>
    <row r="205">
      <c r="A205" s="146" t="str">
        <f t="shared" si="21"/>
        <v>ST-1500/GB/RK5-5</v>
      </c>
      <c r="B205" s="147" t="s">
        <v>1061</v>
      </c>
      <c r="C205" s="148" t="s">
        <v>901</v>
      </c>
      <c r="D205" s="148">
        <v>5.0</v>
      </c>
      <c r="E205" s="146" t="s">
        <v>902</v>
      </c>
      <c r="F205" s="151" t="s">
        <v>1084</v>
      </c>
      <c r="G205" s="8"/>
      <c r="H205" s="8"/>
      <c r="I205" s="8"/>
    </row>
    <row r="206">
      <c r="A206" s="146" t="str">
        <f t="shared" si="21"/>
        <v>ST-1500/SI/RK4-9</v>
      </c>
      <c r="B206" s="147" t="s">
        <v>1061</v>
      </c>
      <c r="C206" s="148" t="s">
        <v>930</v>
      </c>
      <c r="D206" s="148">
        <v>9.0</v>
      </c>
      <c r="E206" s="146" t="s">
        <v>904</v>
      </c>
      <c r="F206" s="151" t="s">
        <v>1085</v>
      </c>
      <c r="G206" s="8"/>
      <c r="H206" s="8"/>
      <c r="I206" s="8"/>
    </row>
    <row r="207">
      <c r="A207" s="146" t="str">
        <f t="shared" si="21"/>
        <v>ST-1500/FA/RK4-10</v>
      </c>
      <c r="B207" s="147" t="s">
        <v>1061</v>
      </c>
      <c r="C207" s="148" t="s">
        <v>930</v>
      </c>
      <c r="D207" s="148">
        <v>10.0</v>
      </c>
      <c r="E207" s="146" t="s">
        <v>1086</v>
      </c>
      <c r="F207" s="151" t="s">
        <v>1087</v>
      </c>
      <c r="G207" s="8"/>
      <c r="H207" s="8"/>
      <c r="I207" s="8"/>
    </row>
    <row r="208">
      <c r="B208" s="147"/>
      <c r="C208" s="148"/>
      <c r="D208" s="148"/>
      <c r="E208" s="149" t="s">
        <v>906</v>
      </c>
      <c r="F208" s="146" t="s">
        <v>1088</v>
      </c>
      <c r="G208" s="8"/>
      <c r="H208" s="8"/>
      <c r="I208" s="8"/>
    </row>
    <row r="209">
      <c r="B209" s="147"/>
      <c r="C209" s="148"/>
      <c r="D209" s="148"/>
      <c r="E209" s="146" t="s">
        <v>908</v>
      </c>
      <c r="F209" s="146" t="s">
        <v>1089</v>
      </c>
      <c r="G209" s="8"/>
      <c r="H209" s="8"/>
      <c r="I209" s="8"/>
    </row>
    <row r="210">
      <c r="B210" s="147"/>
      <c r="C210" s="148"/>
      <c r="D210" s="148"/>
      <c r="E210" s="149" t="s">
        <v>910</v>
      </c>
      <c r="F210" s="146" t="s">
        <v>1090</v>
      </c>
      <c r="G210" s="8"/>
      <c r="H210" s="8"/>
      <c r="I210" s="8"/>
    </row>
    <row r="211">
      <c r="B211" s="152"/>
      <c r="C211" s="148"/>
      <c r="D211" s="8"/>
      <c r="E211" s="146" t="s">
        <v>912</v>
      </c>
      <c r="F211" s="146" t="s">
        <v>1091</v>
      </c>
      <c r="G211" s="8"/>
      <c r="H211" s="8"/>
      <c r="I211" s="8"/>
    </row>
    <row r="212">
      <c r="A212" s="146" t="str">
        <f t="shared" ref="A212:A213" si="22">B212&amp;"/"&amp;E212&amp;"/"&amp;C212&amp;"-"&amp;D212</f>
        <v>ST-1500/BH/RK1-17</v>
      </c>
      <c r="B212" s="147" t="s">
        <v>1061</v>
      </c>
      <c r="C212" s="148" t="s">
        <v>888</v>
      </c>
      <c r="D212" s="148">
        <v>17.0</v>
      </c>
      <c r="E212" s="146" t="s">
        <v>916</v>
      </c>
      <c r="F212" s="151" t="s">
        <v>1092</v>
      </c>
      <c r="G212" s="8"/>
      <c r="H212" s="8"/>
      <c r="I212" s="8"/>
    </row>
    <row r="213">
      <c r="A213" s="146" t="str">
        <f t="shared" si="22"/>
        <v>ST-1500/FB/RK2-7</v>
      </c>
      <c r="B213" s="147" t="s">
        <v>1061</v>
      </c>
      <c r="C213" s="148" t="s">
        <v>959</v>
      </c>
      <c r="D213" s="148">
        <v>7.0</v>
      </c>
      <c r="E213" s="146" t="s">
        <v>960</v>
      </c>
      <c r="F213" s="151" t="s">
        <v>1093</v>
      </c>
      <c r="G213" s="8"/>
      <c r="H213" s="8"/>
      <c r="I213" s="8"/>
    </row>
    <row r="214">
      <c r="B214" s="152"/>
      <c r="C214" s="148"/>
      <c r="D214" s="8"/>
      <c r="E214" s="146" t="s">
        <v>918</v>
      </c>
      <c r="F214" s="146" t="s">
        <v>1094</v>
      </c>
      <c r="G214" s="8"/>
      <c r="H214" s="8"/>
      <c r="I214" s="8"/>
    </row>
    <row r="215">
      <c r="B215" s="152"/>
      <c r="C215" s="148"/>
      <c r="D215" s="8"/>
      <c r="E215" s="146" t="s">
        <v>629</v>
      </c>
      <c r="F215" s="146" t="s">
        <v>1095</v>
      </c>
      <c r="G215" s="8"/>
      <c r="H215" s="8"/>
      <c r="I215" s="8"/>
    </row>
    <row r="216">
      <c r="B216" s="152"/>
      <c r="C216" s="148"/>
      <c r="D216" s="8"/>
      <c r="E216" s="146" t="s">
        <v>921</v>
      </c>
      <c r="F216" s="146" t="s">
        <v>1096</v>
      </c>
      <c r="G216" s="8"/>
      <c r="H216" s="8"/>
      <c r="I216" s="8"/>
    </row>
    <row r="217">
      <c r="A217" s="146" t="str">
        <f t="shared" ref="A217:A223" si="23">B217&amp;"/"&amp;E217&amp;"/"&amp;C217&amp;"-"&amp;D217</f>
        <v>Grinder Jar/CC/RK1-1</v>
      </c>
      <c r="B217" s="147" t="s">
        <v>463</v>
      </c>
      <c r="C217" s="148" t="s">
        <v>888</v>
      </c>
      <c r="D217" s="148">
        <v>1.0</v>
      </c>
      <c r="E217" s="146" t="s">
        <v>889</v>
      </c>
      <c r="F217" s="151" t="s">
        <v>1097</v>
      </c>
      <c r="G217" s="8"/>
      <c r="H217" s="8"/>
      <c r="I217" s="8"/>
    </row>
    <row r="218">
      <c r="A218" s="146" t="str">
        <f t="shared" si="23"/>
        <v>ST-1000/PR1/RK3-12</v>
      </c>
      <c r="B218" s="147" t="s">
        <v>1098</v>
      </c>
      <c r="C218" s="148" t="s">
        <v>891</v>
      </c>
      <c r="D218" s="148">
        <v>12.0</v>
      </c>
      <c r="E218" s="149" t="s">
        <v>892</v>
      </c>
      <c r="F218" s="151" t="s">
        <v>1099</v>
      </c>
      <c r="G218" s="8"/>
      <c r="H218" s="8"/>
      <c r="I218" s="8"/>
    </row>
    <row r="219">
      <c r="A219" s="146" t="str">
        <f t="shared" si="23"/>
        <v>ST-1000/SX/RK6-23</v>
      </c>
      <c r="B219" s="147" t="s">
        <v>1098</v>
      </c>
      <c r="C219" s="148" t="s">
        <v>895</v>
      </c>
      <c r="D219" s="148">
        <v>23.0</v>
      </c>
      <c r="E219" s="146" t="s">
        <v>896</v>
      </c>
      <c r="F219" s="151" t="s">
        <v>1100</v>
      </c>
      <c r="G219" s="8"/>
      <c r="H219" s="8"/>
      <c r="I219" s="8"/>
    </row>
    <row r="220">
      <c r="A220" s="146" t="str">
        <f t="shared" si="23"/>
        <v>ST-1000/CU/RK8-10</v>
      </c>
      <c r="B220" s="147" t="s">
        <v>1098</v>
      </c>
      <c r="C220" s="148" t="s">
        <v>898</v>
      </c>
      <c r="D220" s="148">
        <v>10.0</v>
      </c>
      <c r="E220" s="146" t="s">
        <v>899</v>
      </c>
      <c r="F220" s="151" t="s">
        <v>1101</v>
      </c>
      <c r="G220" s="8"/>
      <c r="H220" s="8"/>
      <c r="I220" s="8"/>
    </row>
    <row r="221">
      <c r="A221" s="146" t="str">
        <f t="shared" si="23"/>
        <v>ST-1000/GB/RK5-6</v>
      </c>
      <c r="B221" s="147" t="s">
        <v>1098</v>
      </c>
      <c r="C221" s="148" t="s">
        <v>901</v>
      </c>
      <c r="D221" s="148">
        <v>6.0</v>
      </c>
      <c r="E221" s="146" t="s">
        <v>902</v>
      </c>
      <c r="F221" s="151" t="s">
        <v>1102</v>
      </c>
      <c r="G221" s="8"/>
      <c r="H221" s="8"/>
      <c r="I221" s="8"/>
    </row>
    <row r="222">
      <c r="A222" s="146" t="str">
        <f t="shared" si="23"/>
        <v>ST-1000/SI/RK4-11</v>
      </c>
      <c r="B222" s="147" t="s">
        <v>1098</v>
      </c>
      <c r="C222" s="148" t="s">
        <v>930</v>
      </c>
      <c r="D222" s="148">
        <v>11.0</v>
      </c>
      <c r="E222" s="146" t="s">
        <v>904</v>
      </c>
      <c r="F222" s="151" t="s">
        <v>1103</v>
      </c>
      <c r="G222" s="8"/>
      <c r="H222" s="8"/>
      <c r="I222" s="8"/>
    </row>
    <row r="223">
      <c r="A223" s="146" t="str">
        <f t="shared" si="23"/>
        <v>ST-1000/FA/RK4-12</v>
      </c>
      <c r="B223" s="147" t="s">
        <v>1098</v>
      </c>
      <c r="C223" s="148" t="s">
        <v>930</v>
      </c>
      <c r="D223" s="148">
        <v>12.0</v>
      </c>
      <c r="E223" s="146" t="s">
        <v>1086</v>
      </c>
      <c r="F223" s="151" t="s">
        <v>1104</v>
      </c>
      <c r="G223" s="8"/>
      <c r="H223" s="8"/>
      <c r="I223" s="8"/>
    </row>
    <row r="224">
      <c r="B224" s="147"/>
      <c r="C224" s="148"/>
      <c r="D224" s="148"/>
      <c r="E224" s="149" t="s">
        <v>906</v>
      </c>
      <c r="F224" s="146" t="s">
        <v>1105</v>
      </c>
      <c r="G224" s="8"/>
      <c r="H224" s="8"/>
      <c r="I224" s="8"/>
    </row>
    <row r="225">
      <c r="B225" s="152"/>
      <c r="C225" s="148"/>
      <c r="D225" s="8"/>
      <c r="E225" s="146" t="s">
        <v>908</v>
      </c>
      <c r="F225" s="146" t="s">
        <v>1106</v>
      </c>
      <c r="G225" s="8"/>
      <c r="H225" s="8"/>
      <c r="I225" s="8"/>
    </row>
    <row r="226">
      <c r="B226" s="152"/>
      <c r="C226" s="148"/>
      <c r="D226" s="8"/>
      <c r="E226" s="149" t="s">
        <v>910</v>
      </c>
      <c r="F226" s="146" t="s">
        <v>1107</v>
      </c>
      <c r="G226" s="8"/>
      <c r="H226" s="8"/>
      <c r="I226" s="8"/>
    </row>
    <row r="227">
      <c r="B227" s="152"/>
      <c r="C227" s="148"/>
      <c r="D227" s="8"/>
      <c r="E227" s="146" t="s">
        <v>912</v>
      </c>
      <c r="F227" s="146" t="s">
        <v>1108</v>
      </c>
      <c r="G227" s="8"/>
      <c r="H227" s="8"/>
      <c r="I227" s="8"/>
    </row>
    <row r="228">
      <c r="A228" s="146" t="str">
        <f t="shared" ref="A228:A229" si="24">B228&amp;"/"&amp;E228&amp;"/"&amp;C228&amp;"-"&amp;D228</f>
        <v>ST-1500/BH/RK1-17</v>
      </c>
      <c r="B228" s="147" t="s">
        <v>1061</v>
      </c>
      <c r="C228" s="148" t="s">
        <v>888</v>
      </c>
      <c r="D228" s="148">
        <v>17.0</v>
      </c>
      <c r="E228" s="146" t="s">
        <v>916</v>
      </c>
      <c r="F228" s="151" t="s">
        <v>1109</v>
      </c>
      <c r="G228" s="8"/>
      <c r="H228" s="8"/>
      <c r="I228" s="8"/>
    </row>
    <row r="229">
      <c r="A229" s="146" t="str">
        <f t="shared" si="24"/>
        <v>ST-1000/FB/RK2-8</v>
      </c>
      <c r="B229" s="147" t="s">
        <v>1098</v>
      </c>
      <c r="C229" s="148" t="s">
        <v>959</v>
      </c>
      <c r="D229" s="148">
        <v>8.0</v>
      </c>
      <c r="E229" s="146" t="s">
        <v>960</v>
      </c>
      <c r="F229" s="151" t="s">
        <v>1110</v>
      </c>
      <c r="G229" s="8"/>
      <c r="H229" s="8"/>
      <c r="I229" s="8"/>
    </row>
    <row r="230">
      <c r="B230" s="152"/>
      <c r="C230" s="148"/>
      <c r="D230" s="8"/>
      <c r="E230" s="146" t="s">
        <v>918</v>
      </c>
      <c r="F230" s="146" t="s">
        <v>1111</v>
      </c>
      <c r="G230" s="8"/>
      <c r="H230" s="8"/>
      <c r="I230" s="8"/>
    </row>
    <row r="231">
      <c r="B231" s="152"/>
      <c r="C231" s="148"/>
      <c r="D231" s="8"/>
      <c r="E231" s="146" t="s">
        <v>629</v>
      </c>
      <c r="F231" s="146" t="s">
        <v>1112</v>
      </c>
      <c r="G231" s="8"/>
      <c r="H231" s="8"/>
      <c r="I231" s="8"/>
    </row>
    <row r="232">
      <c r="B232" s="152"/>
      <c r="C232" s="148"/>
      <c r="D232" s="8"/>
      <c r="E232" s="146" t="s">
        <v>921</v>
      </c>
      <c r="F232" s="146" t="s">
        <v>1113</v>
      </c>
      <c r="G232" s="8"/>
      <c r="H232" s="8"/>
      <c r="I232" s="8"/>
    </row>
    <row r="233">
      <c r="A233" s="146" t="str">
        <f t="shared" ref="A233:A238" si="25">B233&amp;"/"&amp;E233&amp;"/"&amp;C233&amp;"-"&amp;D233</f>
        <v>ST-1500/CC/RK1-7</v>
      </c>
      <c r="B233" s="147" t="s">
        <v>1061</v>
      </c>
      <c r="C233" s="148" t="s">
        <v>888</v>
      </c>
      <c r="D233" s="148">
        <v>7.0</v>
      </c>
      <c r="E233" s="146" t="s">
        <v>889</v>
      </c>
      <c r="F233" s="151" t="s">
        <v>1114</v>
      </c>
      <c r="G233" s="8"/>
      <c r="H233" s="8"/>
      <c r="I233" s="8"/>
    </row>
    <row r="234">
      <c r="A234" s="146" t="str">
        <f t="shared" si="25"/>
        <v>GX-1500/PR1/RK3-13</v>
      </c>
      <c r="B234" s="147" t="s">
        <v>1115</v>
      </c>
      <c r="C234" s="148" t="s">
        <v>891</v>
      </c>
      <c r="D234" s="148">
        <v>13.0</v>
      </c>
      <c r="E234" s="149" t="s">
        <v>892</v>
      </c>
      <c r="F234" s="151" t="s">
        <v>1116</v>
      </c>
      <c r="G234" s="8"/>
      <c r="H234" s="8"/>
      <c r="I234" s="8"/>
    </row>
    <row r="235">
      <c r="A235" s="146" t="str">
        <f t="shared" si="25"/>
        <v>GX-1500/SD/RK6-24</v>
      </c>
      <c r="B235" s="147" t="s">
        <v>1115</v>
      </c>
      <c r="C235" s="148" t="s">
        <v>895</v>
      </c>
      <c r="D235" s="148">
        <v>24.0</v>
      </c>
      <c r="E235" s="146" t="s">
        <v>946</v>
      </c>
      <c r="F235" s="151" t="s">
        <v>1117</v>
      </c>
      <c r="G235" s="8"/>
      <c r="H235" s="8"/>
      <c r="I235" s="8"/>
    </row>
    <row r="236">
      <c r="A236" s="146" t="str">
        <f t="shared" si="25"/>
        <v>GX-1500/SF/RK6-25</v>
      </c>
      <c r="B236" s="147" t="s">
        <v>1115</v>
      </c>
      <c r="C236" s="148" t="s">
        <v>895</v>
      </c>
      <c r="D236" s="148">
        <v>25.0</v>
      </c>
      <c r="E236" s="146" t="s">
        <v>948</v>
      </c>
      <c r="F236" s="151" t="s">
        <v>1118</v>
      </c>
      <c r="G236" s="8"/>
      <c r="H236" s="8"/>
      <c r="I236" s="8"/>
    </row>
    <row r="237">
      <c r="A237" s="146" t="str">
        <f t="shared" si="25"/>
        <v>GX-1500/CU/RK8-11</v>
      </c>
      <c r="B237" s="147" t="s">
        <v>1115</v>
      </c>
      <c r="C237" s="148" t="s">
        <v>898</v>
      </c>
      <c r="D237" s="148">
        <v>11.0</v>
      </c>
      <c r="E237" s="146" t="s">
        <v>899</v>
      </c>
      <c r="F237" s="151" t="s">
        <v>1119</v>
      </c>
      <c r="G237" s="8"/>
      <c r="H237" s="8"/>
      <c r="I237" s="8"/>
    </row>
    <row r="238">
      <c r="A238" s="146" t="str">
        <f t="shared" si="25"/>
        <v>ST-1000/FA/RK4-13</v>
      </c>
      <c r="B238" s="147" t="s">
        <v>1098</v>
      </c>
      <c r="C238" s="148" t="s">
        <v>930</v>
      </c>
      <c r="D238" s="148">
        <v>13.0</v>
      </c>
      <c r="E238" s="146" t="s">
        <v>1086</v>
      </c>
      <c r="F238" s="151" t="s">
        <v>1120</v>
      </c>
      <c r="G238" s="8"/>
      <c r="H238" s="8"/>
      <c r="I238" s="8"/>
    </row>
    <row r="239">
      <c r="B239" s="152"/>
      <c r="C239" s="148"/>
      <c r="D239" s="8"/>
      <c r="E239" s="149" t="s">
        <v>906</v>
      </c>
      <c r="F239" s="146" t="s">
        <v>1121</v>
      </c>
      <c r="G239" s="8"/>
      <c r="H239" s="8"/>
      <c r="I239" s="8"/>
    </row>
    <row r="240">
      <c r="B240" s="152"/>
      <c r="C240" s="148"/>
      <c r="D240" s="8"/>
      <c r="E240" s="146" t="s">
        <v>908</v>
      </c>
      <c r="F240" s="146" t="s">
        <v>1122</v>
      </c>
      <c r="G240" s="8"/>
      <c r="H240" s="8"/>
      <c r="I240" s="8"/>
    </row>
    <row r="241">
      <c r="B241" s="152"/>
      <c r="C241" s="148"/>
      <c r="D241" s="8"/>
      <c r="E241" s="149" t="s">
        <v>910</v>
      </c>
      <c r="F241" s="146" t="s">
        <v>1123</v>
      </c>
      <c r="G241" s="8"/>
      <c r="H241" s="8"/>
      <c r="I241" s="8"/>
    </row>
    <row r="242">
      <c r="B242" s="152"/>
      <c r="C242" s="148"/>
      <c r="D242" s="8"/>
      <c r="E242" s="146" t="s">
        <v>912</v>
      </c>
      <c r="F242" s="146" t="s">
        <v>1124</v>
      </c>
      <c r="G242" s="8"/>
      <c r="H242" s="8"/>
      <c r="I242" s="8"/>
    </row>
    <row r="243">
      <c r="A243" s="146" t="str">
        <f t="shared" ref="A243:A245" si="26">B243&amp;"/"&amp;E243&amp;"/"&amp;C243&amp;"-"&amp;D243</f>
        <v>GX-1500/HH/RK1-18</v>
      </c>
      <c r="B243" s="147" t="s">
        <v>1115</v>
      </c>
      <c r="C243" s="148" t="s">
        <v>888</v>
      </c>
      <c r="D243" s="148">
        <v>18.0</v>
      </c>
      <c r="E243" s="146" t="s">
        <v>914</v>
      </c>
      <c r="F243" s="151" t="s">
        <v>1125</v>
      </c>
      <c r="G243" s="8"/>
      <c r="H243" s="8"/>
      <c r="I243" s="8"/>
    </row>
    <row r="244">
      <c r="A244" s="146" t="str">
        <f t="shared" si="26"/>
        <v>GX-1500/BH/RK1-19</v>
      </c>
      <c r="B244" s="147" t="s">
        <v>1115</v>
      </c>
      <c r="C244" s="148" t="s">
        <v>888</v>
      </c>
      <c r="D244" s="148">
        <v>19.0</v>
      </c>
      <c r="E244" s="146" t="s">
        <v>916</v>
      </c>
      <c r="F244" s="151" t="s">
        <v>1126</v>
      </c>
      <c r="G244" s="8"/>
      <c r="H244" s="8"/>
      <c r="I244" s="8"/>
    </row>
    <row r="245">
      <c r="A245" s="146" t="str">
        <f t="shared" si="26"/>
        <v>GX-1500/FB/RK2-9</v>
      </c>
      <c r="B245" s="147" t="s">
        <v>1115</v>
      </c>
      <c r="C245" s="148" t="s">
        <v>959</v>
      </c>
      <c r="D245" s="148">
        <v>9.0</v>
      </c>
      <c r="E245" s="146" t="s">
        <v>960</v>
      </c>
      <c r="F245" s="151" t="s">
        <v>1127</v>
      </c>
      <c r="G245" s="8"/>
      <c r="H245" s="8"/>
      <c r="I245" s="8"/>
    </row>
    <row r="246">
      <c r="B246" s="152"/>
      <c r="C246" s="148"/>
      <c r="D246" s="8"/>
      <c r="E246" s="146" t="s">
        <v>918</v>
      </c>
      <c r="F246" s="146" t="s">
        <v>1128</v>
      </c>
      <c r="G246" s="8"/>
      <c r="H246" s="8"/>
      <c r="I246" s="8"/>
    </row>
    <row r="247">
      <c r="B247" s="152"/>
      <c r="C247" s="148"/>
      <c r="D247" s="8"/>
      <c r="E247" s="146" t="s">
        <v>629</v>
      </c>
      <c r="F247" s="146" t="s">
        <v>1129</v>
      </c>
      <c r="G247" s="8"/>
      <c r="H247" s="8"/>
      <c r="I247" s="8"/>
    </row>
    <row r="248">
      <c r="B248" s="152"/>
      <c r="C248" s="148"/>
      <c r="D248" s="8"/>
      <c r="E248" s="146" t="s">
        <v>921</v>
      </c>
      <c r="F248" s="146" t="s">
        <v>1130</v>
      </c>
      <c r="G248" s="8"/>
      <c r="H248" s="8"/>
      <c r="I248" s="8"/>
    </row>
    <row r="249">
      <c r="A249" s="146" t="str">
        <f t="shared" ref="A249:A253" si="27">B249&amp;"/"&amp;E249&amp;"/"&amp;C249&amp;"-"&amp;D249</f>
        <v>Grinder Jar/CC/RK1-1</v>
      </c>
      <c r="B249" s="147" t="s">
        <v>463</v>
      </c>
      <c r="C249" s="148" t="s">
        <v>888</v>
      </c>
      <c r="D249" s="148">
        <v>1.0</v>
      </c>
      <c r="E249" s="146" t="s">
        <v>889</v>
      </c>
      <c r="F249" s="151" t="s">
        <v>1131</v>
      </c>
      <c r="G249" s="8"/>
      <c r="H249" s="8"/>
      <c r="I249" s="8"/>
    </row>
    <row r="250">
      <c r="A250" s="146" t="str">
        <f t="shared" si="27"/>
        <v>GX-1000/PR1/RK3-14</v>
      </c>
      <c r="B250" s="147" t="s">
        <v>1132</v>
      </c>
      <c r="C250" s="148" t="s">
        <v>891</v>
      </c>
      <c r="D250" s="148">
        <v>14.0</v>
      </c>
      <c r="E250" s="149" t="s">
        <v>892</v>
      </c>
      <c r="F250" s="151" t="s">
        <v>1133</v>
      </c>
      <c r="G250" s="8"/>
      <c r="H250" s="8"/>
      <c r="I250" s="8"/>
    </row>
    <row r="251">
      <c r="A251" s="146" t="str">
        <f t="shared" si="27"/>
        <v>GX-1000/SX/RK6-26</v>
      </c>
      <c r="B251" s="147" t="s">
        <v>1132</v>
      </c>
      <c r="C251" s="148" t="s">
        <v>895</v>
      </c>
      <c r="D251" s="148">
        <v>26.0</v>
      </c>
      <c r="E251" s="146" t="s">
        <v>896</v>
      </c>
      <c r="F251" s="151" t="s">
        <v>1134</v>
      </c>
      <c r="G251" s="8"/>
      <c r="H251" s="8"/>
      <c r="I251" s="8"/>
    </row>
    <row r="252">
      <c r="A252" s="146" t="str">
        <f t="shared" si="27"/>
        <v>GX-1000/CU/RK8-12</v>
      </c>
      <c r="B252" s="147" t="s">
        <v>1132</v>
      </c>
      <c r="C252" s="148" t="s">
        <v>898</v>
      </c>
      <c r="D252" s="148">
        <v>12.0</v>
      </c>
      <c r="E252" s="146" t="s">
        <v>899</v>
      </c>
      <c r="F252" s="151" t="s">
        <v>1135</v>
      </c>
      <c r="G252" s="8"/>
      <c r="H252" s="8"/>
      <c r="I252" s="8"/>
    </row>
    <row r="253">
      <c r="A253" s="146" t="str">
        <f t="shared" si="27"/>
        <v>ST-1000/FA/RK4-14</v>
      </c>
      <c r="B253" s="147" t="s">
        <v>1098</v>
      </c>
      <c r="C253" s="148" t="s">
        <v>930</v>
      </c>
      <c r="D253" s="148">
        <v>14.0</v>
      </c>
      <c r="E253" s="146" t="s">
        <v>1086</v>
      </c>
      <c r="F253" s="151" t="s">
        <v>1136</v>
      </c>
      <c r="G253" s="8"/>
      <c r="H253" s="8"/>
      <c r="I253" s="8"/>
    </row>
    <row r="254">
      <c r="B254" s="152"/>
      <c r="C254" s="148"/>
      <c r="D254" s="8"/>
      <c r="E254" s="149" t="s">
        <v>906</v>
      </c>
      <c r="F254" s="146" t="s">
        <v>1137</v>
      </c>
      <c r="G254" s="8"/>
      <c r="H254" s="8"/>
      <c r="I254" s="8"/>
    </row>
    <row r="255">
      <c r="B255" s="152"/>
      <c r="C255" s="148"/>
      <c r="D255" s="8"/>
      <c r="E255" s="146" t="s">
        <v>908</v>
      </c>
      <c r="F255" s="146" t="s">
        <v>1138</v>
      </c>
      <c r="G255" s="8"/>
      <c r="H255" s="8"/>
      <c r="I255" s="8"/>
    </row>
    <row r="256">
      <c r="B256" s="152"/>
      <c r="C256" s="148"/>
      <c r="D256" s="8"/>
      <c r="E256" s="149" t="s">
        <v>910</v>
      </c>
      <c r="F256" s="146" t="s">
        <v>1139</v>
      </c>
      <c r="G256" s="8"/>
      <c r="H256" s="8"/>
      <c r="I256" s="8"/>
    </row>
    <row r="257">
      <c r="B257" s="152"/>
      <c r="C257" s="148"/>
      <c r="D257" s="8"/>
      <c r="E257" s="146" t="s">
        <v>912</v>
      </c>
      <c r="F257" s="146" t="s">
        <v>1140</v>
      </c>
      <c r="G257" s="8"/>
      <c r="H257" s="8"/>
      <c r="I257" s="8"/>
    </row>
    <row r="258">
      <c r="A258" s="146" t="str">
        <f t="shared" ref="A258:A260" si="28">B258&amp;"/"&amp;E258&amp;"/"&amp;C258&amp;"-"&amp;D258</f>
        <v>GX-1500/HH/RK1-18</v>
      </c>
      <c r="B258" s="147" t="s">
        <v>1115</v>
      </c>
      <c r="C258" s="148" t="s">
        <v>888</v>
      </c>
      <c r="D258" s="148">
        <v>18.0</v>
      </c>
      <c r="E258" s="146" t="s">
        <v>914</v>
      </c>
      <c r="F258" s="151" t="s">
        <v>1141</v>
      </c>
      <c r="G258" s="8"/>
      <c r="H258" s="8"/>
      <c r="I258" s="8"/>
    </row>
    <row r="259">
      <c r="A259" s="146" t="str">
        <f t="shared" si="28"/>
        <v>GX-1500/BH/RK1-19</v>
      </c>
      <c r="B259" s="147" t="s">
        <v>1115</v>
      </c>
      <c r="C259" s="148" t="s">
        <v>888</v>
      </c>
      <c r="D259" s="148">
        <v>19.0</v>
      </c>
      <c r="E259" s="146" t="s">
        <v>916</v>
      </c>
      <c r="F259" s="151" t="s">
        <v>1142</v>
      </c>
      <c r="G259" s="8"/>
      <c r="H259" s="8"/>
      <c r="I259" s="8"/>
    </row>
    <row r="260">
      <c r="A260" s="146" t="str">
        <f t="shared" si="28"/>
        <v>GX-1000/FB/RK2-10</v>
      </c>
      <c r="B260" s="147" t="s">
        <v>1132</v>
      </c>
      <c r="C260" s="148" t="s">
        <v>959</v>
      </c>
      <c r="D260" s="148">
        <v>10.0</v>
      </c>
      <c r="E260" s="146" t="s">
        <v>960</v>
      </c>
      <c r="F260" s="151" t="s">
        <v>1143</v>
      </c>
      <c r="G260" s="8"/>
      <c r="H260" s="8"/>
      <c r="I260" s="8"/>
    </row>
    <row r="261">
      <c r="B261" s="152"/>
      <c r="C261" s="148"/>
      <c r="D261" s="8"/>
      <c r="E261" s="146" t="s">
        <v>918</v>
      </c>
      <c r="F261" s="146" t="s">
        <v>1144</v>
      </c>
      <c r="G261" s="8"/>
      <c r="H261" s="8"/>
      <c r="I261" s="8"/>
    </row>
    <row r="262">
      <c r="B262" s="152"/>
      <c r="C262" s="148"/>
      <c r="D262" s="8"/>
      <c r="E262" s="146" t="s">
        <v>629</v>
      </c>
      <c r="F262" s="146" t="s">
        <v>1145</v>
      </c>
      <c r="G262" s="8"/>
      <c r="H262" s="8"/>
      <c r="I262" s="8"/>
    </row>
    <row r="263">
      <c r="B263" s="152"/>
      <c r="C263" s="148"/>
      <c r="D263" s="8"/>
      <c r="E263" s="146" t="s">
        <v>921</v>
      </c>
      <c r="F263" s="146" t="s">
        <v>1146</v>
      </c>
      <c r="G263" s="8"/>
      <c r="H263" s="8"/>
      <c r="I263" s="8"/>
    </row>
    <row r="264">
      <c r="A264" s="146" t="str">
        <f t="shared" ref="A264:A272" si="29">B264&amp;"/"&amp;E264&amp;"/"&amp;C264&amp;"-"&amp;D264</f>
        <v>PP Wet/CC/RK1-3</v>
      </c>
      <c r="B264" s="147" t="s">
        <v>429</v>
      </c>
      <c r="C264" s="148" t="s">
        <v>888</v>
      </c>
      <c r="D264" s="148">
        <v>3.0</v>
      </c>
      <c r="E264" s="149" t="s">
        <v>889</v>
      </c>
      <c r="F264" s="151" t="s">
        <v>1147</v>
      </c>
      <c r="G264" s="8"/>
      <c r="H264" s="8"/>
      <c r="I264" s="8"/>
    </row>
    <row r="265">
      <c r="A265" s="146" t="str">
        <f t="shared" si="29"/>
        <v>PP Wet/PR1/RK3-1</v>
      </c>
      <c r="B265" s="147" t="s">
        <v>429</v>
      </c>
      <c r="C265" s="148" t="s">
        <v>891</v>
      </c>
      <c r="D265" s="148">
        <v>1.0</v>
      </c>
      <c r="E265" s="149" t="s">
        <v>892</v>
      </c>
      <c r="F265" s="151" t="s">
        <v>1148</v>
      </c>
      <c r="G265" s="8"/>
      <c r="H265" s="8"/>
      <c r="I265" s="8"/>
    </row>
    <row r="266">
      <c r="A266" s="146" t="str">
        <f t="shared" si="29"/>
        <v>PP Wet/PR2/RK3-2</v>
      </c>
      <c r="B266" s="147" t="s">
        <v>429</v>
      </c>
      <c r="C266" s="148" t="s">
        <v>891</v>
      </c>
      <c r="D266" s="148">
        <v>2.0</v>
      </c>
      <c r="E266" s="149" t="s">
        <v>944</v>
      </c>
      <c r="F266" s="151" t="s">
        <v>1149</v>
      </c>
      <c r="G266" s="8"/>
      <c r="H266" s="8"/>
      <c r="I266" s="8"/>
    </row>
    <row r="267">
      <c r="A267" s="146" t="str">
        <f t="shared" si="29"/>
        <v>PP Wet/SD/RK6-8</v>
      </c>
      <c r="B267" s="147" t="s">
        <v>429</v>
      </c>
      <c r="C267" s="148" t="s">
        <v>895</v>
      </c>
      <c r="D267" s="148">
        <v>8.0</v>
      </c>
      <c r="E267" s="149" t="s">
        <v>946</v>
      </c>
      <c r="F267" s="151" t="s">
        <v>1150</v>
      </c>
      <c r="G267" s="8"/>
      <c r="H267" s="8"/>
      <c r="I267" s="8"/>
    </row>
    <row r="268">
      <c r="A268" s="146" t="str">
        <f t="shared" si="29"/>
        <v>PP Wet/SD/RK6-9</v>
      </c>
      <c r="B268" s="147" t="s">
        <v>429</v>
      </c>
      <c r="C268" s="148" t="s">
        <v>895</v>
      </c>
      <c r="D268" s="148">
        <v>9.0</v>
      </c>
      <c r="E268" s="149" t="s">
        <v>946</v>
      </c>
      <c r="F268" s="151" t="s">
        <v>1150</v>
      </c>
      <c r="G268" s="8"/>
      <c r="H268" s="8"/>
      <c r="I268" s="8"/>
    </row>
    <row r="269">
      <c r="A269" s="146" t="str">
        <f t="shared" si="29"/>
        <v>PP Wet/SF/RK6-10</v>
      </c>
      <c r="B269" s="147" t="s">
        <v>429</v>
      </c>
      <c r="C269" s="148" t="s">
        <v>895</v>
      </c>
      <c r="D269" s="148">
        <v>10.0</v>
      </c>
      <c r="E269" s="149" t="s">
        <v>948</v>
      </c>
      <c r="F269" s="151" t="s">
        <v>1151</v>
      </c>
      <c r="G269" s="8"/>
      <c r="H269" s="8"/>
      <c r="I269" s="8"/>
    </row>
    <row r="270">
      <c r="A270" s="146" t="str">
        <f t="shared" si="29"/>
        <v>PP Wet/SF/RK6-11</v>
      </c>
      <c r="B270" s="147" t="s">
        <v>429</v>
      </c>
      <c r="C270" s="148" t="s">
        <v>895</v>
      </c>
      <c r="D270" s="148">
        <v>11.0</v>
      </c>
      <c r="E270" s="149" t="s">
        <v>948</v>
      </c>
      <c r="F270" s="151" t="s">
        <v>1151</v>
      </c>
      <c r="G270" s="8"/>
      <c r="H270" s="8"/>
      <c r="I270" s="8"/>
    </row>
    <row r="271">
      <c r="A271" s="146" t="str">
        <f t="shared" si="29"/>
        <v>PP Wet/SF/RK6-12</v>
      </c>
      <c r="B271" s="147" t="s">
        <v>429</v>
      </c>
      <c r="C271" s="148" t="s">
        <v>895</v>
      </c>
      <c r="D271" s="148">
        <v>12.0</v>
      </c>
      <c r="E271" s="149" t="s">
        <v>948</v>
      </c>
      <c r="F271" s="151" t="s">
        <v>1151</v>
      </c>
      <c r="G271" s="8"/>
      <c r="H271" s="8"/>
      <c r="I271" s="8"/>
    </row>
    <row r="272">
      <c r="A272" s="146" t="str">
        <f t="shared" si="29"/>
        <v>PP Wet/CU/RK8-3</v>
      </c>
      <c r="B272" s="147" t="s">
        <v>429</v>
      </c>
      <c r="C272" s="148" t="s">
        <v>898</v>
      </c>
      <c r="D272" s="148">
        <v>3.0</v>
      </c>
      <c r="E272" s="149" t="s">
        <v>899</v>
      </c>
      <c r="F272" s="151" t="s">
        <v>1152</v>
      </c>
      <c r="G272" s="8"/>
      <c r="H272" s="8"/>
      <c r="I272" s="8"/>
    </row>
    <row r="273">
      <c r="B273" s="147"/>
      <c r="C273" s="148"/>
      <c r="D273" s="148"/>
      <c r="E273" s="149" t="s">
        <v>928</v>
      </c>
      <c r="F273" s="146" t="s">
        <v>1153</v>
      </c>
      <c r="G273" s="8"/>
      <c r="H273" s="8"/>
      <c r="I273" s="8"/>
    </row>
    <row r="274">
      <c r="A274" s="146" t="str">
        <f>B274&amp;"/"&amp;E274&amp;"/"&amp;C274&amp;"-"&amp;D274</f>
        <v>PP Wet/PF/RK3-17</v>
      </c>
      <c r="B274" s="147" t="s">
        <v>429</v>
      </c>
      <c r="C274" s="148" t="s">
        <v>891</v>
      </c>
      <c r="D274" s="148">
        <v>17.0</v>
      </c>
      <c r="E274" s="149" t="s">
        <v>931</v>
      </c>
      <c r="F274" s="151" t="s">
        <v>1154</v>
      </c>
      <c r="G274" s="8"/>
      <c r="H274" s="8"/>
      <c r="I274" s="8"/>
    </row>
    <row r="275">
      <c r="B275" s="152"/>
      <c r="C275" s="148"/>
      <c r="D275" s="8"/>
      <c r="E275" s="149" t="s">
        <v>908</v>
      </c>
      <c r="F275" s="146" t="s">
        <v>1155</v>
      </c>
      <c r="G275" s="8"/>
      <c r="H275" s="8"/>
      <c r="I275" s="8"/>
    </row>
    <row r="276">
      <c r="B276" s="152"/>
      <c r="C276" s="148"/>
      <c r="D276" s="8"/>
      <c r="E276" s="149" t="s">
        <v>910</v>
      </c>
      <c r="F276" s="146" t="s">
        <v>1156</v>
      </c>
      <c r="G276" s="8"/>
      <c r="H276" s="8"/>
      <c r="I276" s="8"/>
    </row>
    <row r="277">
      <c r="B277" s="152"/>
      <c r="C277" s="148"/>
      <c r="D277" s="8"/>
      <c r="E277" s="149" t="s">
        <v>912</v>
      </c>
      <c r="F277" s="146" t="s">
        <v>1157</v>
      </c>
      <c r="G277" s="8"/>
      <c r="H277" s="8"/>
      <c r="I277" s="8"/>
    </row>
    <row r="278">
      <c r="A278" s="146" t="str">
        <f t="shared" ref="A278:A280" si="30">B278&amp;"/"&amp;E278&amp;"/"&amp;C278&amp;"-"&amp;D278</f>
        <v>VA Wet/HH/RK1-15</v>
      </c>
      <c r="B278" s="147" t="s">
        <v>441</v>
      </c>
      <c r="C278" s="148" t="s">
        <v>888</v>
      </c>
      <c r="D278" s="148">
        <v>15.0</v>
      </c>
      <c r="E278" s="149" t="s">
        <v>914</v>
      </c>
      <c r="F278" s="151" t="s">
        <v>1158</v>
      </c>
      <c r="G278" s="8"/>
      <c r="H278" s="8"/>
      <c r="I278" s="8"/>
    </row>
    <row r="279">
      <c r="A279" s="146" t="str">
        <f t="shared" si="30"/>
        <v>PP Flat/BH/RK1-16</v>
      </c>
      <c r="B279" s="147" t="s">
        <v>1159</v>
      </c>
      <c r="C279" s="148" t="s">
        <v>888</v>
      </c>
      <c r="D279" s="148">
        <v>16.0</v>
      </c>
      <c r="E279" s="149" t="s">
        <v>916</v>
      </c>
      <c r="F279" s="151" t="s">
        <v>1160</v>
      </c>
      <c r="G279" s="8"/>
      <c r="H279" s="8"/>
      <c r="I279" s="8"/>
    </row>
    <row r="280">
      <c r="A280" s="146" t="str">
        <f t="shared" si="30"/>
        <v>VA Wet/FB/RK2-3</v>
      </c>
      <c r="B280" s="147" t="s">
        <v>441</v>
      </c>
      <c r="C280" s="148" t="s">
        <v>959</v>
      </c>
      <c r="D280" s="148">
        <v>3.0</v>
      </c>
      <c r="E280" s="149" t="s">
        <v>960</v>
      </c>
      <c r="F280" s="151" t="s">
        <v>1161</v>
      </c>
      <c r="G280" s="8"/>
      <c r="H280" s="8"/>
      <c r="I280" s="8"/>
    </row>
    <row r="281">
      <c r="B281" s="152"/>
      <c r="C281" s="148"/>
      <c r="D281" s="8"/>
      <c r="E281" s="149" t="s">
        <v>918</v>
      </c>
      <c r="F281" s="146" t="s">
        <v>1162</v>
      </c>
      <c r="G281" s="8"/>
      <c r="H281" s="8"/>
      <c r="I281" s="8"/>
    </row>
    <row r="282">
      <c r="B282" s="152"/>
      <c r="C282" s="148"/>
      <c r="D282" s="8"/>
      <c r="E282" s="149" t="s">
        <v>629</v>
      </c>
      <c r="F282" s="146" t="s">
        <v>1163</v>
      </c>
      <c r="G282" s="8"/>
      <c r="H282" s="8"/>
      <c r="I282" s="8"/>
    </row>
    <row r="283">
      <c r="B283" s="152"/>
      <c r="C283" s="148"/>
      <c r="D283" s="8"/>
      <c r="E283" s="149" t="s">
        <v>921</v>
      </c>
      <c r="F283" s="146" t="s">
        <v>1164</v>
      </c>
      <c r="G283" s="8"/>
      <c r="H283" s="8"/>
      <c r="I283" s="8"/>
    </row>
    <row r="284">
      <c r="A284" s="146" t="str">
        <f t="shared" ref="A284:A288" si="31">B284&amp;"/"&amp;E284&amp;"/"&amp;C284&amp;"-"&amp;D284</f>
        <v>PP Dry/CC/RK1-4</v>
      </c>
      <c r="B284" s="147" t="s">
        <v>431</v>
      </c>
      <c r="C284" s="148" t="s">
        <v>888</v>
      </c>
      <c r="D284" s="148">
        <v>4.0</v>
      </c>
      <c r="E284" s="149" t="s">
        <v>889</v>
      </c>
      <c r="F284" s="151" t="s">
        <v>1165</v>
      </c>
      <c r="G284" s="8"/>
      <c r="H284" s="8"/>
      <c r="I284" s="8"/>
    </row>
    <row r="285">
      <c r="A285" s="146" t="str">
        <f t="shared" si="31"/>
        <v>PP Dry/PR1/RK3-3</v>
      </c>
      <c r="B285" s="147" t="s">
        <v>431</v>
      </c>
      <c r="C285" s="148" t="s">
        <v>891</v>
      </c>
      <c r="D285" s="148">
        <v>3.0</v>
      </c>
      <c r="E285" s="149" t="s">
        <v>892</v>
      </c>
      <c r="F285" s="151" t="s">
        <v>1166</v>
      </c>
      <c r="G285" s="8"/>
      <c r="H285" s="8"/>
      <c r="I285" s="8"/>
    </row>
    <row r="286">
      <c r="A286" s="146" t="str">
        <f t="shared" si="31"/>
        <v>PP Dry/SD/RK6-12</v>
      </c>
      <c r="B286" s="147" t="s">
        <v>431</v>
      </c>
      <c r="C286" s="148" t="s">
        <v>895</v>
      </c>
      <c r="D286" s="148">
        <v>12.0</v>
      </c>
      <c r="E286" s="149" t="s">
        <v>946</v>
      </c>
      <c r="F286" s="151" t="s">
        <v>1167</v>
      </c>
      <c r="G286" s="8"/>
      <c r="H286" s="8"/>
      <c r="I286" s="8"/>
    </row>
    <row r="287">
      <c r="A287" s="146" t="str">
        <f t="shared" si="31"/>
        <v>PP Dry/SD/RK6-13</v>
      </c>
      <c r="B287" s="147" t="s">
        <v>431</v>
      </c>
      <c r="C287" s="148" t="s">
        <v>895</v>
      </c>
      <c r="D287" s="148">
        <v>13.0</v>
      </c>
      <c r="E287" s="149" t="s">
        <v>946</v>
      </c>
      <c r="F287" s="151" t="s">
        <v>1167</v>
      </c>
      <c r="G287" s="8"/>
      <c r="H287" s="8"/>
      <c r="I287" s="8"/>
    </row>
    <row r="288">
      <c r="A288" s="146" t="str">
        <f t="shared" si="31"/>
        <v>PP Dry/CU/RK8-4</v>
      </c>
      <c r="B288" s="147" t="s">
        <v>431</v>
      </c>
      <c r="C288" s="148" t="s">
        <v>898</v>
      </c>
      <c r="D288" s="148">
        <v>4.0</v>
      </c>
      <c r="E288" s="149" t="s">
        <v>899</v>
      </c>
      <c r="F288" s="151" t="s">
        <v>1168</v>
      </c>
      <c r="G288" s="8"/>
      <c r="H288" s="8"/>
      <c r="I288" s="8"/>
    </row>
    <row r="289">
      <c r="B289" s="147"/>
      <c r="C289" s="148"/>
      <c r="D289" s="148"/>
      <c r="E289" s="149" t="s">
        <v>928</v>
      </c>
      <c r="F289" s="146" t="s">
        <v>1169</v>
      </c>
      <c r="G289" s="8"/>
      <c r="H289" s="8"/>
      <c r="I289" s="8"/>
    </row>
    <row r="290">
      <c r="A290" s="146" t="str">
        <f>B290&amp;"/"&amp;E290&amp;"/"&amp;C290&amp;"-"&amp;D290</f>
        <v>PP Dry/PF/RK3-18</v>
      </c>
      <c r="B290" s="147" t="s">
        <v>431</v>
      </c>
      <c r="C290" s="148" t="s">
        <v>891</v>
      </c>
      <c r="D290" s="148">
        <v>18.0</v>
      </c>
      <c r="E290" s="149" t="s">
        <v>931</v>
      </c>
      <c r="F290" s="151" t="s">
        <v>1170</v>
      </c>
      <c r="G290" s="8"/>
      <c r="H290" s="8"/>
      <c r="I290" s="8"/>
    </row>
    <row r="291">
      <c r="B291" s="147"/>
      <c r="C291" s="153"/>
      <c r="D291" s="148"/>
      <c r="E291" s="149" t="s">
        <v>908</v>
      </c>
      <c r="F291" s="146" t="s">
        <v>1171</v>
      </c>
      <c r="G291" s="8"/>
      <c r="H291" s="8"/>
      <c r="I291" s="8"/>
    </row>
    <row r="292">
      <c r="B292" s="147"/>
      <c r="C292" s="148"/>
      <c r="D292" s="148"/>
      <c r="E292" s="149" t="s">
        <v>910</v>
      </c>
      <c r="F292" s="146" t="s">
        <v>1172</v>
      </c>
      <c r="G292" s="8"/>
      <c r="H292" s="8"/>
      <c r="I292" s="8"/>
    </row>
    <row r="293">
      <c r="B293" s="152"/>
      <c r="C293" s="148"/>
      <c r="D293" s="8"/>
      <c r="E293" s="149" t="s">
        <v>912</v>
      </c>
      <c r="F293" s="146" t="s">
        <v>1173</v>
      </c>
      <c r="G293" s="8"/>
      <c r="H293" s="8"/>
      <c r="I293" s="8"/>
    </row>
    <row r="294">
      <c r="A294" s="146" t="str">
        <f t="shared" ref="A294:A296" si="32">B294&amp;"/"&amp;E294&amp;"/"&amp;C294&amp;"-"&amp;D294</f>
        <v>VA Wet/HH/RK1-15</v>
      </c>
      <c r="B294" s="147" t="s">
        <v>441</v>
      </c>
      <c r="C294" s="148" t="s">
        <v>888</v>
      </c>
      <c r="D294" s="148">
        <v>15.0</v>
      </c>
      <c r="E294" s="149" t="s">
        <v>914</v>
      </c>
      <c r="F294" s="151" t="s">
        <v>1174</v>
      </c>
      <c r="G294" s="8"/>
      <c r="H294" s="8"/>
      <c r="I294" s="8"/>
    </row>
    <row r="295">
      <c r="A295" s="146" t="str">
        <f t="shared" si="32"/>
        <v>PP Flat/BH/RK1-16</v>
      </c>
      <c r="B295" s="147" t="s">
        <v>1159</v>
      </c>
      <c r="C295" s="148" t="s">
        <v>888</v>
      </c>
      <c r="D295" s="148">
        <v>16.0</v>
      </c>
      <c r="E295" s="149" t="s">
        <v>916</v>
      </c>
      <c r="F295" s="151" t="s">
        <v>1175</v>
      </c>
      <c r="G295" s="8"/>
      <c r="H295" s="8"/>
      <c r="I295" s="8"/>
    </row>
    <row r="296">
      <c r="A296" s="146" t="str">
        <f t="shared" si="32"/>
        <v>VA Dry/FB/RK2-4</v>
      </c>
      <c r="B296" s="147" t="s">
        <v>443</v>
      </c>
      <c r="C296" s="148" t="s">
        <v>959</v>
      </c>
      <c r="D296" s="148">
        <v>4.0</v>
      </c>
      <c r="E296" s="149" t="s">
        <v>960</v>
      </c>
      <c r="F296" s="151" t="s">
        <v>1176</v>
      </c>
      <c r="G296" s="8"/>
      <c r="H296" s="8"/>
      <c r="I296" s="8"/>
    </row>
    <row r="297">
      <c r="B297" s="152"/>
      <c r="C297" s="148"/>
      <c r="D297" s="8"/>
      <c r="E297" s="149" t="s">
        <v>918</v>
      </c>
      <c r="F297" s="146" t="s">
        <v>1177</v>
      </c>
      <c r="G297" s="8"/>
      <c r="H297" s="8"/>
      <c r="I297" s="8"/>
    </row>
    <row r="298">
      <c r="B298" s="152"/>
      <c r="C298" s="148"/>
      <c r="D298" s="8"/>
      <c r="E298" s="149" t="s">
        <v>629</v>
      </c>
      <c r="F298" s="146" t="s">
        <v>1178</v>
      </c>
      <c r="G298" s="8"/>
      <c r="H298" s="8"/>
      <c r="I298" s="8"/>
    </row>
    <row r="299">
      <c r="B299" s="152"/>
      <c r="C299" s="148"/>
      <c r="D299" s="8"/>
      <c r="E299" s="149" t="s">
        <v>921</v>
      </c>
      <c r="F299" s="146" t="s">
        <v>1179</v>
      </c>
      <c r="G299" s="8"/>
      <c r="H299" s="8"/>
      <c r="I299" s="8"/>
    </row>
    <row r="300">
      <c r="A300" s="146" t="str">
        <f t="shared" ref="A300:A303" si="33">B300&amp;"/"&amp;E300&amp;"/"&amp;C300&amp;"-"&amp;D300</f>
        <v>Ch Katori/CC/RK1-2</v>
      </c>
      <c r="B300" s="147" t="s">
        <v>923</v>
      </c>
      <c r="C300" s="148" t="s">
        <v>888</v>
      </c>
      <c r="D300" s="148">
        <v>2.0</v>
      </c>
      <c r="E300" s="149" t="s">
        <v>889</v>
      </c>
      <c r="F300" s="151" t="s">
        <v>1180</v>
      </c>
      <c r="G300" s="8"/>
      <c r="H300" s="8"/>
      <c r="I300" s="8"/>
    </row>
    <row r="301">
      <c r="A301" s="146" t="str">
        <f t="shared" si="33"/>
        <v>VA Chutney/PR1/RK3-5</v>
      </c>
      <c r="B301" s="147" t="s">
        <v>445</v>
      </c>
      <c r="C301" s="148" t="s">
        <v>891</v>
      </c>
      <c r="D301" s="148">
        <v>5.0</v>
      </c>
      <c r="E301" s="149" t="s">
        <v>892</v>
      </c>
      <c r="F301" s="151" t="s">
        <v>1181</v>
      </c>
      <c r="G301" s="8"/>
      <c r="H301" s="8"/>
      <c r="I301" s="8"/>
    </row>
    <row r="302">
      <c r="A302" s="146" t="str">
        <f t="shared" si="33"/>
        <v>VA Chutney/SD/RK6-16</v>
      </c>
      <c r="B302" s="147" t="s">
        <v>445</v>
      </c>
      <c r="C302" s="148" t="s">
        <v>895</v>
      </c>
      <c r="D302" s="148">
        <v>16.0</v>
      </c>
      <c r="E302" s="149" t="s">
        <v>946</v>
      </c>
      <c r="F302" s="151" t="s">
        <v>1182</v>
      </c>
      <c r="G302" s="8"/>
      <c r="H302" s="8"/>
      <c r="I302" s="8"/>
    </row>
    <row r="303">
      <c r="A303" s="146" t="str">
        <f t="shared" si="33"/>
        <v>VA Chutney/CU/RK8-6</v>
      </c>
      <c r="B303" s="147" t="s">
        <v>445</v>
      </c>
      <c r="C303" s="148" t="s">
        <v>898</v>
      </c>
      <c r="D303" s="148">
        <v>6.0</v>
      </c>
      <c r="E303" s="149" t="s">
        <v>899</v>
      </c>
      <c r="F303" s="151" t="s">
        <v>1183</v>
      </c>
      <c r="G303" s="8"/>
      <c r="H303" s="8"/>
      <c r="I303" s="8"/>
    </row>
    <row r="304">
      <c r="B304" s="147"/>
      <c r="C304" s="148"/>
      <c r="D304" s="148"/>
      <c r="E304" s="149" t="s">
        <v>928</v>
      </c>
      <c r="F304" s="146" t="s">
        <v>1184</v>
      </c>
      <c r="G304" s="8"/>
      <c r="H304" s="8"/>
      <c r="I304" s="8"/>
    </row>
    <row r="305">
      <c r="A305" s="146" t="str">
        <f>B305&amp;"/"&amp;E305&amp;"/"&amp;C305&amp;"-"&amp;D305</f>
        <v>VA Chutney/PF/RK3-19</v>
      </c>
      <c r="B305" s="147" t="s">
        <v>445</v>
      </c>
      <c r="C305" s="148" t="s">
        <v>891</v>
      </c>
      <c r="D305" s="148">
        <v>19.0</v>
      </c>
      <c r="E305" s="149" t="s">
        <v>931</v>
      </c>
      <c r="F305" s="151" t="s">
        <v>1185</v>
      </c>
      <c r="G305" s="8"/>
      <c r="H305" s="8"/>
      <c r="I305" s="8"/>
    </row>
    <row r="306">
      <c r="B306" s="152"/>
      <c r="C306" s="148"/>
      <c r="D306" s="8"/>
      <c r="E306" s="149" t="s">
        <v>908</v>
      </c>
      <c r="F306" s="146" t="s">
        <v>1186</v>
      </c>
      <c r="G306" s="8"/>
      <c r="H306" s="8"/>
      <c r="I306" s="8"/>
    </row>
    <row r="307">
      <c r="B307" s="152"/>
      <c r="C307" s="148"/>
      <c r="D307" s="8"/>
      <c r="E307" s="149" t="s">
        <v>912</v>
      </c>
      <c r="F307" s="146" t="s">
        <v>1187</v>
      </c>
      <c r="G307" s="8"/>
      <c r="H307" s="8"/>
      <c r="I307" s="8"/>
    </row>
    <row r="308">
      <c r="A308" s="146" t="str">
        <f>B308&amp;"/"&amp;E308&amp;"/"&amp;C308&amp;"-"&amp;D308</f>
        <v>PP Flat/BH/RK1-16</v>
      </c>
      <c r="B308" s="147" t="s">
        <v>1159</v>
      </c>
      <c r="C308" s="148" t="s">
        <v>888</v>
      </c>
      <c r="D308" s="148">
        <v>16.0</v>
      </c>
      <c r="E308" s="149" t="s">
        <v>916</v>
      </c>
      <c r="F308" s="151" t="s">
        <v>1188</v>
      </c>
      <c r="G308" s="8"/>
      <c r="H308" s="8"/>
      <c r="I308" s="8"/>
    </row>
    <row r="309">
      <c r="B309" s="152"/>
      <c r="C309" s="148"/>
      <c r="D309" s="8"/>
      <c r="E309" s="149" t="s">
        <v>918</v>
      </c>
      <c r="F309" s="146" t="s">
        <v>1189</v>
      </c>
      <c r="G309" s="8"/>
      <c r="H309" s="8"/>
      <c r="I309" s="8"/>
    </row>
    <row r="310">
      <c r="B310" s="152"/>
      <c r="C310" s="148"/>
      <c r="D310" s="8"/>
      <c r="E310" s="149" t="s">
        <v>629</v>
      </c>
      <c r="F310" s="146" t="s">
        <v>1190</v>
      </c>
      <c r="G310" s="8"/>
      <c r="H310" s="8"/>
      <c r="I310" s="8"/>
    </row>
    <row r="311">
      <c r="B311" s="152"/>
      <c r="C311" s="148"/>
      <c r="D311" s="8"/>
      <c r="E311" s="149" t="s">
        <v>921</v>
      </c>
      <c r="F311" s="146" t="s">
        <v>1191</v>
      </c>
      <c r="G311" s="8"/>
      <c r="H311" s="8"/>
      <c r="I311" s="8"/>
    </row>
    <row r="312">
      <c r="A312" s="146" t="str">
        <f t="shared" ref="A312:A319" si="34">B312&amp;"/"&amp;E312&amp;"/"&amp;C312&amp;"-"&amp;D312</f>
        <v>ST-1500/CC/RK1-7</v>
      </c>
      <c r="B312" s="147" t="s">
        <v>1061</v>
      </c>
      <c r="C312" s="148" t="s">
        <v>888</v>
      </c>
      <c r="D312" s="148">
        <v>7.0</v>
      </c>
      <c r="E312" s="146" t="s">
        <v>889</v>
      </c>
      <c r="F312" s="151" t="s">
        <v>1192</v>
      </c>
      <c r="G312" s="8"/>
      <c r="H312" s="8"/>
      <c r="I312" s="8"/>
    </row>
    <row r="313">
      <c r="A313" s="146" t="str">
        <f t="shared" si="34"/>
        <v>MA Wet/PR1/RK3-8</v>
      </c>
      <c r="B313" s="147" t="s">
        <v>1193</v>
      </c>
      <c r="C313" s="148" t="s">
        <v>891</v>
      </c>
      <c r="D313" s="148">
        <v>8.0</v>
      </c>
      <c r="E313" s="149" t="s">
        <v>892</v>
      </c>
      <c r="F313" s="151" t="s">
        <v>1194</v>
      </c>
      <c r="G313" s="8"/>
      <c r="H313" s="8"/>
      <c r="I313" s="8"/>
    </row>
    <row r="314">
      <c r="A314" s="146" t="str">
        <f t="shared" si="34"/>
        <v>MA Wet/SD/RK6-27</v>
      </c>
      <c r="B314" s="147" t="s">
        <v>1193</v>
      </c>
      <c r="C314" s="148" t="s">
        <v>895</v>
      </c>
      <c r="D314" s="148">
        <v>27.0</v>
      </c>
      <c r="E314" s="146" t="s">
        <v>946</v>
      </c>
      <c r="F314" s="151" t="s">
        <v>1195</v>
      </c>
      <c r="G314" s="8"/>
      <c r="H314" s="8"/>
      <c r="I314" s="8"/>
    </row>
    <row r="315">
      <c r="A315" s="146" t="str">
        <f t="shared" si="34"/>
        <v>MA Wet/SF/RK6-28</v>
      </c>
      <c r="B315" s="147" t="s">
        <v>1193</v>
      </c>
      <c r="C315" s="148" t="s">
        <v>895</v>
      </c>
      <c r="D315" s="148">
        <v>28.0</v>
      </c>
      <c r="E315" s="146" t="s">
        <v>948</v>
      </c>
      <c r="F315" s="151" t="s">
        <v>1196</v>
      </c>
      <c r="G315" s="8"/>
      <c r="H315" s="8"/>
      <c r="I315" s="8"/>
    </row>
    <row r="316">
      <c r="A316" s="146" t="str">
        <f t="shared" si="34"/>
        <v>MA Wet/CU/RK8-13</v>
      </c>
      <c r="B316" s="147" t="s">
        <v>1193</v>
      </c>
      <c r="C316" s="148" t="s">
        <v>898</v>
      </c>
      <c r="D316" s="148">
        <v>13.0</v>
      </c>
      <c r="E316" s="146" t="s">
        <v>899</v>
      </c>
      <c r="F316" s="151" t="s">
        <v>1197</v>
      </c>
      <c r="G316" s="8"/>
      <c r="H316" s="8"/>
      <c r="I316" s="8"/>
    </row>
    <row r="317">
      <c r="A317" s="146" t="str">
        <f t="shared" si="34"/>
        <v>MA Wet/GB/RK5-7</v>
      </c>
      <c r="B317" s="147" t="s">
        <v>1193</v>
      </c>
      <c r="C317" s="148" t="s">
        <v>901</v>
      </c>
      <c r="D317" s="148">
        <v>7.0</v>
      </c>
      <c r="E317" s="146" t="s">
        <v>902</v>
      </c>
      <c r="F317" s="151" t="s">
        <v>1198</v>
      </c>
      <c r="G317" s="8"/>
      <c r="H317" s="8"/>
      <c r="I317" s="8"/>
    </row>
    <row r="318">
      <c r="A318" s="146" t="str">
        <f t="shared" si="34"/>
        <v>MA Wet/RF/RK5-13</v>
      </c>
      <c r="B318" s="147" t="s">
        <v>1193</v>
      </c>
      <c r="C318" s="148" t="s">
        <v>901</v>
      </c>
      <c r="D318" s="148">
        <v>13.0</v>
      </c>
      <c r="E318" s="146" t="s">
        <v>1199</v>
      </c>
      <c r="F318" s="151" t="s">
        <v>1200</v>
      </c>
      <c r="G318" s="8"/>
      <c r="H318" s="8"/>
      <c r="I318" s="8"/>
    </row>
    <row r="319">
      <c r="A319" s="146" t="str">
        <f t="shared" si="34"/>
        <v>MA Wet/SI/RK5-12</v>
      </c>
      <c r="B319" s="147" t="s">
        <v>1193</v>
      </c>
      <c r="C319" s="148" t="s">
        <v>901</v>
      </c>
      <c r="D319" s="148">
        <v>12.0</v>
      </c>
      <c r="E319" s="146" t="s">
        <v>904</v>
      </c>
      <c r="F319" s="151" t="s">
        <v>1201</v>
      </c>
      <c r="G319" s="8"/>
      <c r="H319" s="8"/>
      <c r="I319" s="8"/>
    </row>
    <row r="320">
      <c r="B320" s="152"/>
      <c r="C320" s="148"/>
      <c r="D320" s="8"/>
      <c r="E320" s="149" t="s">
        <v>906</v>
      </c>
      <c r="F320" s="146" t="s">
        <v>1202</v>
      </c>
      <c r="G320" s="8"/>
      <c r="H320" s="8"/>
      <c r="I320" s="8"/>
    </row>
    <row r="321">
      <c r="A321" s="146" t="str">
        <f>B321&amp;"/"&amp;E321&amp;"/"&amp;C321&amp;"-"&amp;D321</f>
        <v>MA Wet/OC/RK4-4</v>
      </c>
      <c r="B321" s="147" t="s">
        <v>1193</v>
      </c>
      <c r="C321" s="148" t="s">
        <v>930</v>
      </c>
      <c r="D321" s="148">
        <v>4.0</v>
      </c>
      <c r="E321" s="149" t="s">
        <v>1203</v>
      </c>
      <c r="F321" s="150" t="s">
        <v>1204</v>
      </c>
      <c r="G321" s="8"/>
      <c r="H321" s="8"/>
      <c r="I321" s="8"/>
    </row>
    <row r="322">
      <c r="B322" s="152"/>
      <c r="C322" s="148"/>
      <c r="D322" s="8"/>
      <c r="E322" s="146" t="s">
        <v>908</v>
      </c>
      <c r="F322" s="146" t="s">
        <v>1205</v>
      </c>
      <c r="G322" s="8"/>
      <c r="H322" s="8"/>
      <c r="I322" s="8"/>
    </row>
    <row r="323">
      <c r="A323" s="146" t="str">
        <f>B323&amp;"/"&amp;E323&amp;"/"&amp;C323&amp;"-"&amp;D323</f>
        <v>MA Wet/BF/RK5-14</v>
      </c>
      <c r="B323" s="147" t="s">
        <v>1193</v>
      </c>
      <c r="C323" s="148" t="s">
        <v>901</v>
      </c>
      <c r="D323" s="148">
        <v>14.0</v>
      </c>
      <c r="E323" s="149" t="s">
        <v>1206</v>
      </c>
      <c r="F323" s="151" t="s">
        <v>1207</v>
      </c>
      <c r="G323" s="8"/>
      <c r="H323" s="8"/>
      <c r="I323" s="8"/>
    </row>
    <row r="324">
      <c r="B324" s="152"/>
      <c r="C324" s="148"/>
      <c r="D324" s="8"/>
      <c r="E324" s="149" t="s">
        <v>910</v>
      </c>
      <c r="F324" s="146" t="s">
        <v>1208</v>
      </c>
      <c r="G324" s="8"/>
      <c r="H324" s="8"/>
      <c r="I324" s="8"/>
    </row>
    <row r="325">
      <c r="B325" s="152"/>
      <c r="C325" s="148"/>
      <c r="D325" s="8"/>
      <c r="E325" s="149" t="s">
        <v>912</v>
      </c>
      <c r="F325" s="146" t="s">
        <v>1209</v>
      </c>
      <c r="G325" s="8"/>
      <c r="H325" s="8"/>
      <c r="I325" s="8"/>
    </row>
    <row r="326">
      <c r="A326" s="146" t="str">
        <f t="shared" ref="A326:A328" si="35">B326&amp;"/"&amp;E326&amp;"/"&amp;C326&amp;"-"&amp;D326</f>
        <v>MA Wet/HH/RK1-20</v>
      </c>
      <c r="B326" s="147" t="s">
        <v>1193</v>
      </c>
      <c r="C326" s="148" t="s">
        <v>888</v>
      </c>
      <c r="D326" s="148">
        <v>20.0</v>
      </c>
      <c r="E326" s="146" t="s">
        <v>914</v>
      </c>
      <c r="F326" s="151" t="s">
        <v>1210</v>
      </c>
      <c r="G326" s="8"/>
      <c r="H326" s="8"/>
      <c r="I326" s="8"/>
    </row>
    <row r="327">
      <c r="A327" s="146" t="str">
        <f t="shared" si="35"/>
        <v>MA Wet/BH/RK1-21</v>
      </c>
      <c r="B327" s="147" t="s">
        <v>1193</v>
      </c>
      <c r="C327" s="148" t="s">
        <v>888</v>
      </c>
      <c r="D327" s="148">
        <v>21.0</v>
      </c>
      <c r="E327" s="146" t="s">
        <v>916</v>
      </c>
      <c r="F327" s="151" t="s">
        <v>1211</v>
      </c>
      <c r="G327" s="8"/>
      <c r="H327" s="8"/>
      <c r="I327" s="8"/>
    </row>
    <row r="328">
      <c r="A328" s="146" t="str">
        <f t="shared" si="35"/>
        <v>MA Wet/FB/RK2-11</v>
      </c>
      <c r="B328" s="147" t="s">
        <v>1193</v>
      </c>
      <c r="C328" s="148" t="s">
        <v>959</v>
      </c>
      <c r="D328" s="148">
        <v>11.0</v>
      </c>
      <c r="E328" s="146" t="s">
        <v>960</v>
      </c>
      <c r="F328" s="151" t="s">
        <v>1212</v>
      </c>
      <c r="G328" s="8"/>
      <c r="H328" s="8"/>
      <c r="I328" s="8"/>
    </row>
    <row r="329">
      <c r="B329" s="152"/>
      <c r="C329" s="148"/>
      <c r="D329" s="8"/>
      <c r="E329" s="149" t="s">
        <v>1213</v>
      </c>
      <c r="F329" s="146" t="s">
        <v>1214</v>
      </c>
      <c r="G329" s="8"/>
      <c r="H329" s="8"/>
      <c r="I329" s="8"/>
    </row>
    <row r="330">
      <c r="B330" s="152"/>
      <c r="C330" s="148"/>
      <c r="D330" s="8"/>
      <c r="E330" s="146" t="s">
        <v>918</v>
      </c>
      <c r="F330" s="146" t="s">
        <v>1215</v>
      </c>
      <c r="G330" s="8"/>
      <c r="H330" s="8"/>
      <c r="I330" s="8"/>
    </row>
    <row r="331">
      <c r="B331" s="152"/>
      <c r="C331" s="148"/>
      <c r="D331" s="8"/>
      <c r="E331" s="146" t="s">
        <v>629</v>
      </c>
      <c r="F331" s="146" t="s">
        <v>1216</v>
      </c>
      <c r="G331" s="8"/>
      <c r="H331" s="8"/>
      <c r="I331" s="8"/>
    </row>
    <row r="332">
      <c r="B332" s="152"/>
      <c r="C332" s="148"/>
      <c r="D332" s="8"/>
      <c r="E332" s="146" t="s">
        <v>921</v>
      </c>
      <c r="F332" s="146" t="s">
        <v>1217</v>
      </c>
      <c r="G332" s="8"/>
      <c r="H332" s="8"/>
      <c r="I332" s="8"/>
    </row>
    <row r="333">
      <c r="A333" s="146" t="str">
        <f t="shared" ref="A333:A338" si="36">B333&amp;"/"&amp;E333&amp;"/"&amp;C333&amp;"-"&amp;D333</f>
        <v>MA Dry/CC/RK1-8</v>
      </c>
      <c r="B333" s="147" t="s">
        <v>1218</v>
      </c>
      <c r="C333" s="148" t="s">
        <v>888</v>
      </c>
      <c r="D333" s="148">
        <v>8.0</v>
      </c>
      <c r="E333" s="146" t="s">
        <v>889</v>
      </c>
      <c r="F333" s="151" t="s">
        <v>1219</v>
      </c>
      <c r="G333" s="8"/>
      <c r="H333" s="8"/>
      <c r="I333" s="8"/>
    </row>
    <row r="334">
      <c r="A334" s="146" t="str">
        <f t="shared" si="36"/>
        <v>MA Dry/PR1/RK3-9</v>
      </c>
      <c r="B334" s="147" t="s">
        <v>1218</v>
      </c>
      <c r="C334" s="148" t="s">
        <v>891</v>
      </c>
      <c r="D334" s="148">
        <v>9.0</v>
      </c>
      <c r="E334" s="149" t="s">
        <v>892</v>
      </c>
      <c r="F334" s="151" t="s">
        <v>1220</v>
      </c>
      <c r="G334" s="8"/>
      <c r="H334" s="8"/>
      <c r="I334" s="8"/>
    </row>
    <row r="335">
      <c r="A335" s="146" t="str">
        <f t="shared" si="36"/>
        <v>MA Dry/SX/RK6-29</v>
      </c>
      <c r="B335" s="147" t="s">
        <v>1218</v>
      </c>
      <c r="C335" s="148" t="s">
        <v>895</v>
      </c>
      <c r="D335" s="148">
        <v>29.0</v>
      </c>
      <c r="E335" s="149" t="s">
        <v>896</v>
      </c>
      <c r="F335" s="151" t="s">
        <v>1221</v>
      </c>
      <c r="G335" s="8"/>
      <c r="H335" s="8"/>
      <c r="I335" s="8"/>
    </row>
    <row r="336">
      <c r="A336" s="146" t="str">
        <f t="shared" si="36"/>
        <v>MA Dry/CU/RK8-14</v>
      </c>
      <c r="B336" s="147" t="s">
        <v>1218</v>
      </c>
      <c r="C336" s="148" t="s">
        <v>898</v>
      </c>
      <c r="D336" s="148">
        <v>14.0</v>
      </c>
      <c r="E336" s="149" t="s">
        <v>899</v>
      </c>
      <c r="F336" s="151" t="s">
        <v>1222</v>
      </c>
      <c r="G336" s="8"/>
      <c r="H336" s="8"/>
      <c r="I336" s="8"/>
    </row>
    <row r="337">
      <c r="A337" s="146" t="str">
        <f t="shared" si="36"/>
        <v>MA Dry/GB/RK5-8</v>
      </c>
      <c r="B337" s="147" t="s">
        <v>1218</v>
      </c>
      <c r="C337" s="148" t="s">
        <v>901</v>
      </c>
      <c r="D337" s="148">
        <v>8.0</v>
      </c>
      <c r="E337" s="146" t="s">
        <v>902</v>
      </c>
      <c r="F337" s="151" t="s">
        <v>1223</v>
      </c>
      <c r="G337" s="8"/>
      <c r="H337" s="8"/>
      <c r="I337" s="8"/>
    </row>
    <row r="338">
      <c r="A338" s="146" t="str">
        <f t="shared" si="36"/>
        <v>MA Dry/RF/RK5-16</v>
      </c>
      <c r="B338" s="147" t="s">
        <v>1218</v>
      </c>
      <c r="C338" s="148" t="s">
        <v>901</v>
      </c>
      <c r="D338" s="148">
        <v>16.0</v>
      </c>
      <c r="E338" s="146" t="s">
        <v>1199</v>
      </c>
      <c r="F338" s="151" t="s">
        <v>1224</v>
      </c>
      <c r="G338" s="8"/>
      <c r="H338" s="8"/>
      <c r="I338" s="8"/>
    </row>
    <row r="339">
      <c r="B339" s="152"/>
      <c r="C339" s="148"/>
      <c r="D339" s="8"/>
      <c r="E339" s="149" t="s">
        <v>906</v>
      </c>
      <c r="F339" s="146" t="s">
        <v>1225</v>
      </c>
      <c r="G339" s="8"/>
      <c r="H339" s="8"/>
      <c r="I339" s="8"/>
    </row>
    <row r="340">
      <c r="B340" s="152"/>
      <c r="C340" s="148"/>
      <c r="D340" s="8"/>
      <c r="E340" s="146" t="s">
        <v>908</v>
      </c>
      <c r="F340" s="146" t="s">
        <v>1226</v>
      </c>
      <c r="G340" s="8"/>
      <c r="H340" s="8"/>
      <c r="I340" s="8"/>
    </row>
    <row r="341">
      <c r="A341" s="146" t="str">
        <f>B341&amp;"/"&amp;E341&amp;"/"&amp;C341&amp;"-"&amp;D341</f>
        <v>MA Dry/BF/RK5-17</v>
      </c>
      <c r="B341" s="147" t="s">
        <v>1218</v>
      </c>
      <c r="C341" s="148" t="s">
        <v>901</v>
      </c>
      <c r="D341" s="148">
        <v>17.0</v>
      </c>
      <c r="E341" s="149" t="s">
        <v>1206</v>
      </c>
      <c r="F341" s="151" t="s">
        <v>1227</v>
      </c>
      <c r="G341" s="8"/>
      <c r="H341" s="8"/>
      <c r="I341" s="8"/>
    </row>
    <row r="342">
      <c r="B342" s="152"/>
      <c r="C342" s="148"/>
      <c r="D342" s="8"/>
      <c r="E342" s="149" t="s">
        <v>910</v>
      </c>
      <c r="F342" s="146" t="s">
        <v>1228</v>
      </c>
      <c r="G342" s="8"/>
      <c r="H342" s="8"/>
      <c r="I342" s="8"/>
    </row>
    <row r="343">
      <c r="B343" s="152"/>
      <c r="C343" s="148"/>
      <c r="D343" s="8"/>
      <c r="E343" s="149" t="s">
        <v>912</v>
      </c>
      <c r="F343" s="146" t="s">
        <v>1229</v>
      </c>
      <c r="G343" s="8"/>
      <c r="H343" s="8"/>
      <c r="I343" s="8"/>
    </row>
    <row r="344">
      <c r="A344" s="146" t="str">
        <f t="shared" ref="A344:A346" si="37">B344&amp;"/"&amp;E344&amp;"/"&amp;C344&amp;"-"&amp;D344</f>
        <v>MA Wet/HH/RK1-20</v>
      </c>
      <c r="B344" s="147" t="s">
        <v>1193</v>
      </c>
      <c r="C344" s="148" t="s">
        <v>888</v>
      </c>
      <c r="D344" s="148">
        <v>20.0</v>
      </c>
      <c r="E344" s="146" t="s">
        <v>914</v>
      </c>
      <c r="F344" s="151" t="s">
        <v>1230</v>
      </c>
      <c r="G344" s="8"/>
      <c r="H344" s="8"/>
      <c r="I344" s="8"/>
    </row>
    <row r="345">
      <c r="A345" s="146" t="str">
        <f t="shared" si="37"/>
        <v>MA Wet/BH/RK1-21</v>
      </c>
      <c r="B345" s="147" t="s">
        <v>1193</v>
      </c>
      <c r="C345" s="148" t="s">
        <v>888</v>
      </c>
      <c r="D345" s="148">
        <v>21.0</v>
      </c>
      <c r="E345" s="146" t="s">
        <v>916</v>
      </c>
      <c r="F345" s="151" t="s">
        <v>1231</v>
      </c>
      <c r="G345" s="8"/>
      <c r="H345" s="8"/>
      <c r="I345" s="8"/>
    </row>
    <row r="346">
      <c r="A346" s="146" t="str">
        <f t="shared" si="37"/>
        <v>MA Dry/FB/RK2-12</v>
      </c>
      <c r="B346" s="147" t="s">
        <v>1218</v>
      </c>
      <c r="C346" s="148" t="s">
        <v>959</v>
      </c>
      <c r="D346" s="148">
        <v>12.0</v>
      </c>
      <c r="E346" s="146" t="s">
        <v>960</v>
      </c>
      <c r="F346" s="151" t="s">
        <v>1232</v>
      </c>
      <c r="G346" s="8"/>
      <c r="H346" s="8"/>
      <c r="I346" s="8"/>
    </row>
    <row r="347">
      <c r="B347" s="152"/>
      <c r="C347" s="148"/>
      <c r="D347" s="8"/>
      <c r="E347" s="149" t="s">
        <v>1213</v>
      </c>
      <c r="F347" s="146" t="s">
        <v>1233</v>
      </c>
      <c r="G347" s="8"/>
      <c r="H347" s="8"/>
      <c r="I347" s="8"/>
    </row>
    <row r="348">
      <c r="B348" s="152"/>
      <c r="C348" s="148"/>
      <c r="D348" s="8"/>
      <c r="E348" s="146" t="s">
        <v>918</v>
      </c>
      <c r="F348" s="146" t="s">
        <v>1234</v>
      </c>
      <c r="G348" s="8"/>
      <c r="H348" s="8"/>
      <c r="I348" s="8"/>
    </row>
    <row r="349">
      <c r="B349" s="152"/>
      <c r="C349" s="148"/>
      <c r="D349" s="8"/>
      <c r="E349" s="146" t="s">
        <v>629</v>
      </c>
      <c r="F349" s="146" t="s">
        <v>1235</v>
      </c>
      <c r="G349" s="8"/>
      <c r="H349" s="8"/>
      <c r="I349" s="8"/>
    </row>
    <row r="350">
      <c r="B350" s="152"/>
      <c r="C350" s="148"/>
      <c r="D350" s="8"/>
      <c r="E350" s="146" t="s">
        <v>921</v>
      </c>
      <c r="F350" s="146" t="s">
        <v>1236</v>
      </c>
      <c r="G350" s="8"/>
      <c r="H350" s="8"/>
      <c r="I350" s="8"/>
    </row>
    <row r="351">
      <c r="A351" s="146" t="str">
        <f t="shared" ref="A351:A356" si="38">B351&amp;"/"&amp;E351&amp;"/"&amp;C351&amp;"-"&amp;D351</f>
        <v>Ch Katori/CC/RK1-2</v>
      </c>
      <c r="B351" s="147" t="s">
        <v>923</v>
      </c>
      <c r="C351" s="148" t="s">
        <v>888</v>
      </c>
      <c r="D351" s="148">
        <v>2.0</v>
      </c>
      <c r="E351" s="146" t="s">
        <v>889</v>
      </c>
      <c r="F351" s="151" t="s">
        <v>1237</v>
      </c>
      <c r="G351" s="8"/>
      <c r="H351" s="8"/>
      <c r="I351" s="8"/>
    </row>
    <row r="352">
      <c r="A352" s="146" t="str">
        <f t="shared" si="38"/>
        <v>MA Chutney/PR1/RK3-10</v>
      </c>
      <c r="B352" s="147" t="s">
        <v>1238</v>
      </c>
      <c r="C352" s="148" t="s">
        <v>891</v>
      </c>
      <c r="D352" s="148">
        <v>10.0</v>
      </c>
      <c r="E352" s="149" t="s">
        <v>892</v>
      </c>
      <c r="F352" s="151" t="s">
        <v>1239</v>
      </c>
      <c r="G352" s="8"/>
      <c r="H352" s="8"/>
      <c r="I352" s="8"/>
    </row>
    <row r="353">
      <c r="A353" s="146" t="str">
        <f t="shared" si="38"/>
        <v>MA Chutney/SX/RK6-30</v>
      </c>
      <c r="B353" s="147" t="s">
        <v>1238</v>
      </c>
      <c r="C353" s="148" t="s">
        <v>895</v>
      </c>
      <c r="D353" s="148">
        <v>30.0</v>
      </c>
      <c r="E353" s="149" t="s">
        <v>896</v>
      </c>
      <c r="F353" s="151" t="s">
        <v>1240</v>
      </c>
      <c r="G353" s="8"/>
      <c r="H353" s="8"/>
      <c r="I353" s="8"/>
    </row>
    <row r="354">
      <c r="A354" s="146" t="str">
        <f t="shared" si="38"/>
        <v>MA Chutney/CU/RK8-15</v>
      </c>
      <c r="B354" s="147" t="s">
        <v>1238</v>
      </c>
      <c r="C354" s="148" t="s">
        <v>898</v>
      </c>
      <c r="D354" s="148">
        <v>15.0</v>
      </c>
      <c r="E354" s="149" t="s">
        <v>899</v>
      </c>
      <c r="F354" s="151" t="s">
        <v>1241</v>
      </c>
      <c r="G354" s="8"/>
      <c r="H354" s="8"/>
      <c r="I354" s="8"/>
    </row>
    <row r="355">
      <c r="A355" s="146" t="str">
        <f t="shared" si="38"/>
        <v>MA Chutney/GB/RK5-9</v>
      </c>
      <c r="B355" s="147" t="s">
        <v>1238</v>
      </c>
      <c r="C355" s="148" t="s">
        <v>901</v>
      </c>
      <c r="D355" s="148">
        <v>9.0</v>
      </c>
      <c r="E355" s="146" t="s">
        <v>902</v>
      </c>
      <c r="F355" s="151" t="s">
        <v>1242</v>
      </c>
      <c r="G355" s="8"/>
      <c r="H355" s="8"/>
      <c r="I355" s="8"/>
    </row>
    <row r="356">
      <c r="A356" s="146" t="str">
        <f t="shared" si="38"/>
        <v>MA Dry/RF/RK5-16</v>
      </c>
      <c r="B356" s="147" t="s">
        <v>1218</v>
      </c>
      <c r="C356" s="148" t="s">
        <v>901</v>
      </c>
      <c r="D356" s="148">
        <v>16.0</v>
      </c>
      <c r="E356" s="146" t="s">
        <v>1199</v>
      </c>
      <c r="F356" s="151" t="s">
        <v>1243</v>
      </c>
      <c r="G356" s="8"/>
      <c r="H356" s="8"/>
      <c r="I356" s="8"/>
    </row>
    <row r="357">
      <c r="B357" s="152"/>
      <c r="C357" s="148"/>
      <c r="D357" s="8"/>
      <c r="E357" s="149" t="s">
        <v>906</v>
      </c>
      <c r="F357" s="146" t="s">
        <v>1244</v>
      </c>
      <c r="G357" s="8"/>
      <c r="H357" s="8"/>
      <c r="I357" s="8"/>
    </row>
    <row r="358">
      <c r="B358" s="152"/>
      <c r="C358" s="148"/>
      <c r="D358" s="8"/>
      <c r="E358" s="146" t="s">
        <v>908</v>
      </c>
      <c r="F358" s="146" t="s">
        <v>1245</v>
      </c>
      <c r="G358" s="8"/>
      <c r="H358" s="8"/>
      <c r="I358" s="8"/>
    </row>
    <row r="359">
      <c r="A359" s="146" t="str">
        <f>B359&amp;"/"&amp;E359&amp;"/"&amp;C359&amp;"-"&amp;D359</f>
        <v>MA Chutney/BF/RK5-20</v>
      </c>
      <c r="B359" s="147" t="s">
        <v>1238</v>
      </c>
      <c r="C359" s="148" t="s">
        <v>901</v>
      </c>
      <c r="D359" s="148">
        <v>20.0</v>
      </c>
      <c r="E359" s="149" t="s">
        <v>1206</v>
      </c>
      <c r="F359" s="151" t="s">
        <v>1246</v>
      </c>
      <c r="G359" s="8"/>
      <c r="H359" s="8"/>
      <c r="I359" s="8"/>
    </row>
    <row r="360">
      <c r="B360" s="152"/>
      <c r="C360" s="148"/>
      <c r="D360" s="8"/>
      <c r="E360" s="149" t="s">
        <v>910</v>
      </c>
      <c r="F360" s="146" t="s">
        <v>1247</v>
      </c>
      <c r="G360" s="8"/>
      <c r="H360" s="8"/>
      <c r="I360" s="8"/>
    </row>
    <row r="361">
      <c r="B361" s="152"/>
      <c r="C361" s="148"/>
      <c r="D361" s="8"/>
      <c r="E361" s="149" t="s">
        <v>912</v>
      </c>
      <c r="F361" s="146" t="s">
        <v>1248</v>
      </c>
      <c r="G361" s="8"/>
      <c r="H361" s="8"/>
      <c r="I361" s="8"/>
    </row>
    <row r="362">
      <c r="A362" s="146" t="str">
        <f t="shared" ref="A362:A363" si="39">B362&amp;"/"&amp;E362&amp;"/"&amp;C362&amp;"-"&amp;D362</f>
        <v>MA Wet/HH/RK1-20</v>
      </c>
      <c r="B362" s="147" t="s">
        <v>1193</v>
      </c>
      <c r="C362" s="148" t="s">
        <v>888</v>
      </c>
      <c r="D362" s="148">
        <v>20.0</v>
      </c>
      <c r="E362" s="146" t="s">
        <v>914</v>
      </c>
      <c r="F362" s="151" t="s">
        <v>1249</v>
      </c>
      <c r="G362" s="8"/>
      <c r="H362" s="8"/>
      <c r="I362" s="8"/>
    </row>
    <row r="363">
      <c r="A363" s="146" t="str">
        <f t="shared" si="39"/>
        <v>MA Wet/BH/RK1-21</v>
      </c>
      <c r="B363" s="147" t="s">
        <v>1193</v>
      </c>
      <c r="C363" s="148" t="s">
        <v>888</v>
      </c>
      <c r="D363" s="148">
        <v>21.0</v>
      </c>
      <c r="E363" s="146" t="s">
        <v>916</v>
      </c>
      <c r="F363" s="151" t="s">
        <v>1250</v>
      </c>
      <c r="G363" s="8"/>
      <c r="H363" s="8"/>
      <c r="I363" s="8"/>
    </row>
    <row r="364">
      <c r="B364" s="152"/>
      <c r="C364" s="148"/>
      <c r="D364" s="8"/>
      <c r="E364" s="149" t="s">
        <v>1213</v>
      </c>
      <c r="F364" s="146" t="s">
        <v>1251</v>
      </c>
      <c r="G364" s="8"/>
      <c r="H364" s="8"/>
      <c r="I364" s="8"/>
    </row>
    <row r="365">
      <c r="B365" s="152"/>
      <c r="C365" s="148"/>
      <c r="D365" s="8"/>
      <c r="E365" s="146" t="s">
        <v>918</v>
      </c>
      <c r="F365" s="146" t="s">
        <v>1252</v>
      </c>
      <c r="G365" s="8"/>
      <c r="H365" s="8"/>
      <c r="I365" s="8"/>
    </row>
    <row r="366">
      <c r="B366" s="152"/>
      <c r="C366" s="148"/>
      <c r="D366" s="8"/>
      <c r="E366" s="146" t="s">
        <v>629</v>
      </c>
      <c r="F366" s="146" t="s">
        <v>1253</v>
      </c>
      <c r="G366" s="8"/>
      <c r="H366" s="8"/>
      <c r="I366" s="8"/>
    </row>
    <row r="367">
      <c r="B367" s="152"/>
      <c r="C367" s="148"/>
      <c r="D367" s="8"/>
      <c r="E367" s="146" t="s">
        <v>921</v>
      </c>
      <c r="F367" s="146" t="s">
        <v>1254</v>
      </c>
      <c r="G367" s="8"/>
      <c r="H367" s="8"/>
      <c r="I367" s="8"/>
    </row>
    <row r="368">
      <c r="A368" s="146" t="str">
        <f t="shared" ref="A368:A376" si="40">B368&amp;"/"&amp;E368&amp;"/"&amp;C368&amp;"-"&amp;D368</f>
        <v>PP Wet/CC/RK1-3</v>
      </c>
      <c r="B368" s="147" t="s">
        <v>429</v>
      </c>
      <c r="C368" s="148" t="s">
        <v>888</v>
      </c>
      <c r="D368" s="148">
        <v>3.0</v>
      </c>
      <c r="E368" s="149" t="s">
        <v>889</v>
      </c>
      <c r="F368" s="151" t="s">
        <v>1255</v>
      </c>
      <c r="G368" s="8"/>
      <c r="H368" s="8"/>
      <c r="I368" s="8"/>
    </row>
    <row r="369">
      <c r="A369" s="146" t="str">
        <f t="shared" si="40"/>
        <v>PP Wet/PR1/RK3-1</v>
      </c>
      <c r="B369" s="147" t="s">
        <v>429</v>
      </c>
      <c r="C369" s="148" t="s">
        <v>891</v>
      </c>
      <c r="D369" s="148">
        <v>1.0</v>
      </c>
      <c r="E369" s="149" t="s">
        <v>892</v>
      </c>
      <c r="F369" s="151" t="s">
        <v>1256</v>
      </c>
      <c r="G369" s="8"/>
      <c r="H369" s="8"/>
      <c r="I369" s="8"/>
    </row>
    <row r="370">
      <c r="A370" s="146" t="str">
        <f t="shared" si="40"/>
        <v>PP Wet/PR2/RK3-2</v>
      </c>
      <c r="B370" s="147" t="s">
        <v>429</v>
      </c>
      <c r="C370" s="148" t="s">
        <v>891</v>
      </c>
      <c r="D370" s="148">
        <v>2.0</v>
      </c>
      <c r="E370" s="149" t="s">
        <v>944</v>
      </c>
      <c r="F370" s="151" t="s">
        <v>1257</v>
      </c>
      <c r="G370" s="8"/>
      <c r="H370" s="8"/>
      <c r="I370" s="8"/>
    </row>
    <row r="371">
      <c r="A371" s="146" t="str">
        <f t="shared" si="40"/>
        <v>PP Wet/SD/RK6-8</v>
      </c>
      <c r="B371" s="147" t="s">
        <v>429</v>
      </c>
      <c r="C371" s="148" t="s">
        <v>895</v>
      </c>
      <c r="D371" s="148">
        <v>8.0</v>
      </c>
      <c r="E371" s="149" t="s">
        <v>946</v>
      </c>
      <c r="F371" s="151" t="s">
        <v>1258</v>
      </c>
      <c r="G371" s="8"/>
      <c r="H371" s="8"/>
      <c r="I371" s="8"/>
    </row>
    <row r="372">
      <c r="A372" s="146" t="str">
        <f t="shared" si="40"/>
        <v>PP Wet/SD/RK6-9</v>
      </c>
      <c r="B372" s="147" t="s">
        <v>429</v>
      </c>
      <c r="C372" s="148" t="s">
        <v>895</v>
      </c>
      <c r="D372" s="148">
        <v>9.0</v>
      </c>
      <c r="E372" s="149" t="s">
        <v>946</v>
      </c>
      <c r="F372" s="151" t="s">
        <v>1258</v>
      </c>
      <c r="G372" s="8"/>
      <c r="H372" s="8"/>
      <c r="I372" s="8"/>
    </row>
    <row r="373">
      <c r="A373" s="146" t="str">
        <f t="shared" si="40"/>
        <v>PP Wet/SF/RK6-10</v>
      </c>
      <c r="B373" s="147" t="s">
        <v>429</v>
      </c>
      <c r="C373" s="148" t="s">
        <v>895</v>
      </c>
      <c r="D373" s="148">
        <v>10.0</v>
      </c>
      <c r="E373" s="149" t="s">
        <v>948</v>
      </c>
      <c r="F373" s="151" t="s">
        <v>1259</v>
      </c>
      <c r="G373" s="8"/>
      <c r="H373" s="8"/>
      <c r="I373" s="8"/>
    </row>
    <row r="374">
      <c r="A374" s="146" t="str">
        <f t="shared" si="40"/>
        <v>PP Wet/SF/RK6-11</v>
      </c>
      <c r="B374" s="147" t="s">
        <v>429</v>
      </c>
      <c r="C374" s="148" t="s">
        <v>895</v>
      </c>
      <c r="D374" s="148">
        <v>11.0</v>
      </c>
      <c r="E374" s="149" t="s">
        <v>948</v>
      </c>
      <c r="F374" s="151" t="s">
        <v>1259</v>
      </c>
      <c r="G374" s="8"/>
      <c r="H374" s="8"/>
      <c r="I374" s="8"/>
    </row>
    <row r="375">
      <c r="A375" s="146" t="str">
        <f t="shared" si="40"/>
        <v>PP Wet/SF/RK6-12</v>
      </c>
      <c r="B375" s="147" t="s">
        <v>429</v>
      </c>
      <c r="C375" s="148" t="s">
        <v>895</v>
      </c>
      <c r="D375" s="148">
        <v>12.0</v>
      </c>
      <c r="E375" s="149" t="s">
        <v>948</v>
      </c>
      <c r="F375" s="151" t="s">
        <v>1259</v>
      </c>
      <c r="G375" s="8"/>
      <c r="H375" s="8"/>
      <c r="I375" s="8"/>
    </row>
    <row r="376">
      <c r="A376" s="146" t="str">
        <f t="shared" si="40"/>
        <v>PP Wet/CU/RK8-3</v>
      </c>
      <c r="B376" s="147" t="s">
        <v>429</v>
      </c>
      <c r="C376" s="148" t="s">
        <v>898</v>
      </c>
      <c r="D376" s="148">
        <v>3.0</v>
      </c>
      <c r="E376" s="149" t="s">
        <v>899</v>
      </c>
      <c r="F376" s="151" t="s">
        <v>1260</v>
      </c>
      <c r="G376" s="8"/>
      <c r="H376" s="8"/>
      <c r="I376" s="8"/>
    </row>
    <row r="377">
      <c r="B377" s="147"/>
      <c r="C377" s="148"/>
      <c r="D377" s="148"/>
      <c r="E377" s="149" t="s">
        <v>928</v>
      </c>
      <c r="F377" s="146" t="s">
        <v>1261</v>
      </c>
      <c r="G377" s="8"/>
      <c r="H377" s="8"/>
      <c r="I377" s="8"/>
    </row>
    <row r="378">
      <c r="A378" s="146" t="str">
        <f>B378&amp;"/"&amp;E378&amp;"/"&amp;C378&amp;"-"&amp;D378</f>
        <v>PP Wet/PF/RK3-17</v>
      </c>
      <c r="B378" s="147" t="s">
        <v>429</v>
      </c>
      <c r="C378" s="148" t="s">
        <v>891</v>
      </c>
      <c r="D378" s="148">
        <v>17.0</v>
      </c>
      <c r="E378" s="149" t="s">
        <v>931</v>
      </c>
      <c r="F378" s="151" t="s">
        <v>1262</v>
      </c>
      <c r="G378" s="8"/>
      <c r="H378" s="8"/>
      <c r="I378" s="8"/>
    </row>
    <row r="379">
      <c r="B379" s="152"/>
      <c r="C379" s="148"/>
      <c r="D379" s="8"/>
      <c r="E379" s="149" t="s">
        <v>908</v>
      </c>
      <c r="F379" s="146" t="s">
        <v>1263</v>
      </c>
      <c r="G379" s="8"/>
      <c r="H379" s="8"/>
      <c r="I379" s="8"/>
    </row>
    <row r="380">
      <c r="B380" s="152"/>
      <c r="C380" s="148"/>
      <c r="D380" s="8"/>
      <c r="E380" s="149" t="s">
        <v>910</v>
      </c>
      <c r="F380" s="146" t="s">
        <v>1264</v>
      </c>
      <c r="G380" s="8"/>
      <c r="H380" s="8"/>
      <c r="I380" s="8"/>
    </row>
    <row r="381">
      <c r="B381" s="152"/>
      <c r="C381" s="148"/>
      <c r="D381" s="8"/>
      <c r="E381" s="149" t="s">
        <v>912</v>
      </c>
      <c r="F381" s="146" t="s">
        <v>1265</v>
      </c>
      <c r="G381" s="8"/>
      <c r="H381" s="8"/>
      <c r="I381" s="8"/>
    </row>
    <row r="382">
      <c r="A382" s="146" t="str">
        <f t="shared" ref="A382:A385" si="41">B382&amp;"/"&amp;E382&amp;"/"&amp;C382&amp;"-"&amp;D382</f>
        <v>PP Wet/HH/RK1-11</v>
      </c>
      <c r="B382" s="147" t="s">
        <v>429</v>
      </c>
      <c r="C382" s="148" t="s">
        <v>888</v>
      </c>
      <c r="D382" s="148">
        <v>11.0</v>
      </c>
      <c r="E382" s="149" t="s">
        <v>914</v>
      </c>
      <c r="F382" s="151" t="s">
        <v>1266</v>
      </c>
      <c r="G382" s="8"/>
      <c r="H382" s="8"/>
      <c r="I382" s="8"/>
    </row>
    <row r="383">
      <c r="A383" s="146" t="str">
        <f t="shared" si="41"/>
        <v>PP Wet/HH/RK1-12</v>
      </c>
      <c r="B383" s="147" t="s">
        <v>429</v>
      </c>
      <c r="C383" s="148" t="s">
        <v>888</v>
      </c>
      <c r="D383" s="148">
        <v>12.0</v>
      </c>
      <c r="E383" s="149" t="s">
        <v>914</v>
      </c>
      <c r="F383" s="151" t="s">
        <v>1266</v>
      </c>
      <c r="G383" s="8"/>
      <c r="H383" s="8"/>
      <c r="I383" s="8"/>
    </row>
    <row r="384">
      <c r="A384" s="146" t="str">
        <f t="shared" si="41"/>
        <v>PP Flat/BH/RK1-16</v>
      </c>
      <c r="B384" s="147" t="s">
        <v>1159</v>
      </c>
      <c r="C384" s="148" t="s">
        <v>888</v>
      </c>
      <c r="D384" s="148">
        <v>16.0</v>
      </c>
      <c r="E384" s="149" t="s">
        <v>916</v>
      </c>
      <c r="F384" s="151" t="s">
        <v>1267</v>
      </c>
      <c r="G384" s="8"/>
      <c r="H384" s="8"/>
      <c r="I384" s="8"/>
    </row>
    <row r="385">
      <c r="A385" s="146" t="str">
        <f t="shared" si="41"/>
        <v>PP Wet/FB/RK2-1</v>
      </c>
      <c r="B385" s="147" t="s">
        <v>429</v>
      </c>
      <c r="C385" s="148" t="s">
        <v>959</v>
      </c>
      <c r="D385" s="148">
        <v>1.0</v>
      </c>
      <c r="E385" s="149" t="s">
        <v>960</v>
      </c>
      <c r="F385" s="151" t="s">
        <v>1268</v>
      </c>
      <c r="G385" s="8"/>
      <c r="H385" s="8"/>
      <c r="I385" s="8"/>
    </row>
    <row r="386">
      <c r="B386" s="152"/>
      <c r="C386" s="148"/>
      <c r="D386" s="8"/>
      <c r="E386" s="149" t="s">
        <v>918</v>
      </c>
      <c r="F386" s="146" t="s">
        <v>1269</v>
      </c>
      <c r="G386" s="8"/>
      <c r="H386" s="8"/>
      <c r="I386" s="8"/>
    </row>
    <row r="387">
      <c r="B387" s="152"/>
      <c r="C387" s="148"/>
      <c r="D387" s="8"/>
      <c r="E387" s="149" t="s">
        <v>629</v>
      </c>
      <c r="F387" s="146" t="s">
        <v>1270</v>
      </c>
      <c r="G387" s="8"/>
      <c r="H387" s="8"/>
      <c r="I387" s="8"/>
    </row>
    <row r="388">
      <c r="B388" s="152"/>
      <c r="C388" s="148"/>
      <c r="D388" s="8"/>
      <c r="E388" s="149" t="s">
        <v>921</v>
      </c>
      <c r="F388" s="146" t="s">
        <v>1271</v>
      </c>
      <c r="G388" s="8"/>
      <c r="H388" s="8"/>
      <c r="I388" s="8"/>
    </row>
    <row r="389">
      <c r="A389" s="146" t="str">
        <f t="shared" ref="A389:A393" si="42">B389&amp;"/"&amp;E389&amp;"/"&amp;C389&amp;"-"&amp;D389</f>
        <v>PP Dry/CC/RK1-4</v>
      </c>
      <c r="B389" s="147" t="s">
        <v>431</v>
      </c>
      <c r="C389" s="148" t="s">
        <v>888</v>
      </c>
      <c r="D389" s="148">
        <v>4.0</v>
      </c>
      <c r="E389" s="149" t="s">
        <v>889</v>
      </c>
      <c r="F389" s="151" t="s">
        <v>1272</v>
      </c>
      <c r="G389" s="8"/>
      <c r="H389" s="8"/>
      <c r="I389" s="8"/>
    </row>
    <row r="390">
      <c r="A390" s="146" t="str">
        <f t="shared" si="42"/>
        <v>PP Dry/PR1/RK3-3</v>
      </c>
      <c r="B390" s="147" t="s">
        <v>431</v>
      </c>
      <c r="C390" s="148" t="s">
        <v>891</v>
      </c>
      <c r="D390" s="148">
        <v>3.0</v>
      </c>
      <c r="E390" s="149" t="s">
        <v>892</v>
      </c>
      <c r="F390" s="151" t="s">
        <v>1273</v>
      </c>
      <c r="G390" s="8"/>
      <c r="H390" s="8"/>
      <c r="I390" s="8"/>
    </row>
    <row r="391">
      <c r="A391" s="146" t="str">
        <f t="shared" si="42"/>
        <v>PP Dry/SD/RK6-12</v>
      </c>
      <c r="B391" s="147" t="s">
        <v>431</v>
      </c>
      <c r="C391" s="148" t="s">
        <v>895</v>
      </c>
      <c r="D391" s="148">
        <v>12.0</v>
      </c>
      <c r="E391" s="149" t="s">
        <v>946</v>
      </c>
      <c r="F391" s="151" t="s">
        <v>1274</v>
      </c>
      <c r="G391" s="8"/>
      <c r="H391" s="8"/>
      <c r="I391" s="8"/>
    </row>
    <row r="392">
      <c r="A392" s="146" t="str">
        <f t="shared" si="42"/>
        <v>PP Dry/SD/RK6-13</v>
      </c>
      <c r="B392" s="147" t="s">
        <v>431</v>
      </c>
      <c r="C392" s="148" t="s">
        <v>895</v>
      </c>
      <c r="D392" s="148">
        <v>13.0</v>
      </c>
      <c r="E392" s="149" t="s">
        <v>946</v>
      </c>
      <c r="F392" s="151" t="s">
        <v>1274</v>
      </c>
      <c r="G392" s="8"/>
      <c r="H392" s="8"/>
      <c r="I392" s="8"/>
    </row>
    <row r="393">
      <c r="A393" s="146" t="str">
        <f t="shared" si="42"/>
        <v>PP Dry/CU/RK8-4</v>
      </c>
      <c r="B393" s="147" t="s">
        <v>431</v>
      </c>
      <c r="C393" s="148" t="s">
        <v>898</v>
      </c>
      <c r="D393" s="148">
        <v>4.0</v>
      </c>
      <c r="E393" s="149" t="s">
        <v>899</v>
      </c>
      <c r="F393" s="151" t="s">
        <v>1275</v>
      </c>
      <c r="G393" s="8"/>
      <c r="H393" s="8"/>
      <c r="I393" s="8"/>
    </row>
    <row r="394">
      <c r="B394" s="147"/>
      <c r="C394" s="148"/>
      <c r="D394" s="148"/>
      <c r="E394" s="149" t="s">
        <v>928</v>
      </c>
      <c r="F394" s="146" t="s">
        <v>1276</v>
      </c>
      <c r="G394" s="8"/>
      <c r="H394" s="8"/>
      <c r="I394" s="8"/>
    </row>
    <row r="395">
      <c r="A395" s="146" t="str">
        <f>B395&amp;"/"&amp;E395&amp;"/"&amp;C395&amp;"-"&amp;D395</f>
        <v>PP Dry/PF/RK3-18</v>
      </c>
      <c r="B395" s="147" t="s">
        <v>431</v>
      </c>
      <c r="C395" s="148" t="s">
        <v>891</v>
      </c>
      <c r="D395" s="148">
        <v>18.0</v>
      </c>
      <c r="E395" s="149" t="s">
        <v>931</v>
      </c>
      <c r="F395" s="151" t="s">
        <v>1277</v>
      </c>
      <c r="G395" s="8"/>
      <c r="H395" s="8"/>
      <c r="I395" s="8"/>
    </row>
    <row r="396">
      <c r="B396" s="147"/>
      <c r="C396" s="148"/>
      <c r="D396" s="148"/>
      <c r="E396" s="149" t="s">
        <v>908</v>
      </c>
      <c r="F396" s="146" t="s">
        <v>1278</v>
      </c>
      <c r="G396" s="8"/>
      <c r="H396" s="8"/>
      <c r="I396" s="8"/>
    </row>
    <row r="397">
      <c r="B397" s="152"/>
      <c r="C397" s="148"/>
      <c r="D397" s="8"/>
      <c r="E397" s="149" t="s">
        <v>910</v>
      </c>
      <c r="F397" s="146" t="s">
        <v>1279</v>
      </c>
      <c r="G397" s="8"/>
      <c r="H397" s="8"/>
      <c r="I397" s="8"/>
    </row>
    <row r="398">
      <c r="B398" s="152"/>
      <c r="C398" s="148"/>
      <c r="D398" s="8"/>
      <c r="E398" s="149" t="s">
        <v>912</v>
      </c>
      <c r="F398" s="146" t="s">
        <v>1280</v>
      </c>
      <c r="G398" s="8"/>
      <c r="H398" s="8"/>
      <c r="I398" s="8"/>
    </row>
    <row r="399">
      <c r="A399" s="146" t="str">
        <f t="shared" ref="A399:A402" si="43">B399&amp;"/"&amp;E399&amp;"/"&amp;C399&amp;"-"&amp;D399</f>
        <v>PP Wet/HH/RK1-11</v>
      </c>
      <c r="B399" s="147" t="s">
        <v>429</v>
      </c>
      <c r="C399" s="148" t="s">
        <v>888</v>
      </c>
      <c r="D399" s="148">
        <v>11.0</v>
      </c>
      <c r="E399" s="149" t="s">
        <v>914</v>
      </c>
      <c r="F399" s="151" t="s">
        <v>1281</v>
      </c>
      <c r="G399" s="8"/>
      <c r="H399" s="8"/>
      <c r="I399" s="8"/>
    </row>
    <row r="400">
      <c r="A400" s="146" t="str">
        <f t="shared" si="43"/>
        <v>PP Wet/HH/RK1-12</v>
      </c>
      <c r="B400" s="147" t="s">
        <v>429</v>
      </c>
      <c r="C400" s="148" t="s">
        <v>888</v>
      </c>
      <c r="D400" s="148">
        <v>12.0</v>
      </c>
      <c r="E400" s="149" t="s">
        <v>914</v>
      </c>
      <c r="F400" s="151" t="s">
        <v>1281</v>
      </c>
      <c r="G400" s="8"/>
      <c r="H400" s="8"/>
      <c r="I400" s="8"/>
    </row>
    <row r="401">
      <c r="A401" s="146" t="str">
        <f t="shared" si="43"/>
        <v>PP Flat/BH/RK1-16</v>
      </c>
      <c r="B401" s="147" t="s">
        <v>1159</v>
      </c>
      <c r="C401" s="148" t="s">
        <v>888</v>
      </c>
      <c r="D401" s="148">
        <v>16.0</v>
      </c>
      <c r="E401" s="149" t="s">
        <v>916</v>
      </c>
      <c r="F401" s="151" t="s">
        <v>1282</v>
      </c>
      <c r="G401" s="8"/>
      <c r="H401" s="8"/>
      <c r="I401" s="8"/>
    </row>
    <row r="402">
      <c r="A402" s="146" t="str">
        <f t="shared" si="43"/>
        <v>PP Dry/FB/RK2-2</v>
      </c>
      <c r="B402" s="147" t="s">
        <v>431</v>
      </c>
      <c r="C402" s="148" t="s">
        <v>959</v>
      </c>
      <c r="D402" s="148">
        <v>2.0</v>
      </c>
      <c r="E402" s="149" t="s">
        <v>960</v>
      </c>
      <c r="F402" s="151" t="s">
        <v>1283</v>
      </c>
      <c r="G402" s="8"/>
      <c r="H402" s="8"/>
      <c r="I402" s="8"/>
    </row>
    <row r="403">
      <c r="B403" s="152"/>
      <c r="C403" s="148"/>
      <c r="D403" s="8"/>
      <c r="E403" s="149" t="s">
        <v>918</v>
      </c>
      <c r="F403" s="146" t="s">
        <v>1284</v>
      </c>
      <c r="G403" s="8"/>
      <c r="H403" s="8"/>
      <c r="I403" s="8"/>
    </row>
    <row r="404">
      <c r="B404" s="152"/>
      <c r="C404" s="148"/>
      <c r="D404" s="8"/>
      <c r="E404" s="149" t="s">
        <v>629</v>
      </c>
      <c r="F404" s="146" t="s">
        <v>1285</v>
      </c>
      <c r="G404" s="8"/>
      <c r="H404" s="8"/>
      <c r="I404" s="8"/>
    </row>
    <row r="405">
      <c r="B405" s="152"/>
      <c r="C405" s="148"/>
      <c r="D405" s="8"/>
      <c r="E405" s="149" t="s">
        <v>921</v>
      </c>
      <c r="F405" s="146" t="s">
        <v>1286</v>
      </c>
      <c r="G405" s="8"/>
      <c r="H405" s="8"/>
      <c r="I405" s="8"/>
    </row>
    <row r="406">
      <c r="A406" s="146" t="str">
        <f t="shared" ref="A406:A410" si="44">B406&amp;"/"&amp;E406&amp;"/"&amp;C406&amp;"-"&amp;D406</f>
        <v>PP Chutney/CC/RK1-5</v>
      </c>
      <c r="B406" s="147" t="s">
        <v>433</v>
      </c>
      <c r="C406" s="148" t="s">
        <v>888</v>
      </c>
      <c r="D406" s="148">
        <v>5.0</v>
      </c>
      <c r="E406" s="149" t="s">
        <v>889</v>
      </c>
      <c r="F406" s="151" t="s">
        <v>1287</v>
      </c>
      <c r="G406" s="8"/>
      <c r="H406" s="8"/>
      <c r="I406" s="8"/>
    </row>
    <row r="407">
      <c r="A407" s="146" t="str">
        <f t="shared" si="44"/>
        <v>PP Chutney/PR1/RK3-4</v>
      </c>
      <c r="B407" s="147" t="s">
        <v>433</v>
      </c>
      <c r="C407" s="148" t="s">
        <v>891</v>
      </c>
      <c r="D407" s="148">
        <v>4.0</v>
      </c>
      <c r="E407" s="149" t="s">
        <v>892</v>
      </c>
      <c r="F407" s="151" t="s">
        <v>1288</v>
      </c>
      <c r="G407" s="8"/>
      <c r="H407" s="8"/>
      <c r="I407" s="8"/>
    </row>
    <row r="408">
      <c r="A408" s="146" t="str">
        <f t="shared" si="44"/>
        <v>PP Chutney/SD/RK6-14</v>
      </c>
      <c r="B408" s="147" t="s">
        <v>433</v>
      </c>
      <c r="C408" s="148" t="s">
        <v>895</v>
      </c>
      <c r="D408" s="148">
        <v>14.0</v>
      </c>
      <c r="E408" s="149" t="s">
        <v>946</v>
      </c>
      <c r="F408" s="151" t="s">
        <v>1289</v>
      </c>
      <c r="G408" s="8"/>
      <c r="H408" s="8"/>
      <c r="I408" s="8"/>
    </row>
    <row r="409">
      <c r="A409" s="146" t="str">
        <f t="shared" si="44"/>
        <v>PP Chutney/SD/RK6-15</v>
      </c>
      <c r="B409" s="147" t="s">
        <v>433</v>
      </c>
      <c r="C409" s="148" t="s">
        <v>895</v>
      </c>
      <c r="D409" s="148">
        <v>15.0</v>
      </c>
      <c r="E409" s="149" t="s">
        <v>946</v>
      </c>
      <c r="F409" s="151" t="s">
        <v>1289</v>
      </c>
      <c r="G409" s="8"/>
      <c r="H409" s="8"/>
      <c r="I409" s="8"/>
    </row>
    <row r="410">
      <c r="A410" s="146" t="str">
        <f t="shared" si="44"/>
        <v>PP Chutney/CU/RK8-5</v>
      </c>
      <c r="B410" s="147" t="s">
        <v>433</v>
      </c>
      <c r="C410" s="148" t="s">
        <v>898</v>
      </c>
      <c r="D410" s="148">
        <v>5.0</v>
      </c>
      <c r="E410" s="149" t="s">
        <v>899</v>
      </c>
      <c r="F410" s="151" t="s">
        <v>1290</v>
      </c>
      <c r="G410" s="8"/>
      <c r="H410" s="8"/>
      <c r="I410" s="8"/>
    </row>
    <row r="411">
      <c r="B411" s="147"/>
      <c r="C411" s="148"/>
      <c r="D411" s="148"/>
      <c r="E411" s="149" t="s">
        <v>928</v>
      </c>
      <c r="F411" s="146" t="s">
        <v>1291</v>
      </c>
      <c r="G411" s="8"/>
      <c r="H411" s="8"/>
      <c r="I411" s="8"/>
    </row>
    <row r="412">
      <c r="A412" s="146" t="str">
        <f>B412&amp;"/"&amp;E412&amp;"/"&amp;C412&amp;"-"&amp;D412</f>
        <v>PP Chutney/PF/RK3-19</v>
      </c>
      <c r="B412" s="147" t="s">
        <v>433</v>
      </c>
      <c r="C412" s="148" t="s">
        <v>891</v>
      </c>
      <c r="D412" s="148">
        <v>19.0</v>
      </c>
      <c r="E412" s="149" t="s">
        <v>931</v>
      </c>
      <c r="F412" s="151" t="s">
        <v>1292</v>
      </c>
      <c r="G412" s="8"/>
      <c r="H412" s="8"/>
      <c r="I412" s="8"/>
    </row>
    <row r="413">
      <c r="B413" s="147"/>
      <c r="C413" s="148"/>
      <c r="D413" s="148"/>
      <c r="E413" s="149" t="s">
        <v>908</v>
      </c>
      <c r="F413" s="146" t="s">
        <v>1293</v>
      </c>
      <c r="G413" s="8"/>
      <c r="H413" s="8"/>
      <c r="I413" s="8"/>
    </row>
    <row r="414">
      <c r="B414" s="147"/>
      <c r="C414" s="148"/>
      <c r="D414" s="148"/>
      <c r="E414" s="149" t="s">
        <v>910</v>
      </c>
      <c r="F414" s="146" t="s">
        <v>1294</v>
      </c>
      <c r="G414" s="8"/>
      <c r="H414" s="8"/>
      <c r="I414" s="8"/>
    </row>
    <row r="415">
      <c r="B415" s="152"/>
      <c r="C415" s="148"/>
      <c r="D415" s="8"/>
      <c r="E415" s="149" t="s">
        <v>912</v>
      </c>
      <c r="F415" s="146" t="s">
        <v>1295</v>
      </c>
      <c r="G415" s="8"/>
      <c r="H415" s="8"/>
      <c r="I415" s="8"/>
    </row>
    <row r="416">
      <c r="A416" s="146" t="str">
        <f t="shared" ref="A416:A418" si="45">B416&amp;"/"&amp;E416&amp;"/"&amp;C416&amp;"-"&amp;D416</f>
        <v>PP Wet/HH/RK1-11</v>
      </c>
      <c r="B416" s="147" t="s">
        <v>429</v>
      </c>
      <c r="C416" s="148" t="s">
        <v>888</v>
      </c>
      <c r="D416" s="148">
        <v>11.0</v>
      </c>
      <c r="E416" s="149" t="s">
        <v>914</v>
      </c>
      <c r="F416" s="151" t="s">
        <v>1296</v>
      </c>
      <c r="G416" s="8"/>
      <c r="H416" s="8"/>
      <c r="I416" s="8"/>
    </row>
    <row r="417">
      <c r="A417" s="146" t="str">
        <f t="shared" si="45"/>
        <v>PP Wet/HH/RK1-12</v>
      </c>
      <c r="B417" s="147" t="s">
        <v>429</v>
      </c>
      <c r="C417" s="148" t="s">
        <v>888</v>
      </c>
      <c r="D417" s="148">
        <v>12.0</v>
      </c>
      <c r="E417" s="149" t="s">
        <v>914</v>
      </c>
      <c r="F417" s="151" t="s">
        <v>1296</v>
      </c>
      <c r="G417" s="8"/>
      <c r="H417" s="8"/>
      <c r="I417" s="8"/>
    </row>
    <row r="418">
      <c r="A418" s="146" t="str">
        <f t="shared" si="45"/>
        <v>PP Flat/BH/RK1-16</v>
      </c>
      <c r="B418" s="147" t="s">
        <v>1159</v>
      </c>
      <c r="C418" s="148" t="s">
        <v>888</v>
      </c>
      <c r="D418" s="148">
        <v>16.0</v>
      </c>
      <c r="E418" s="149" t="s">
        <v>916</v>
      </c>
      <c r="F418" s="151" t="s">
        <v>1297</v>
      </c>
      <c r="G418" s="8"/>
      <c r="H418" s="8"/>
      <c r="I418" s="8"/>
    </row>
    <row r="419">
      <c r="B419" s="152"/>
      <c r="C419" s="148"/>
      <c r="D419" s="8"/>
      <c r="E419" s="149" t="s">
        <v>918</v>
      </c>
      <c r="F419" s="146" t="s">
        <v>1298</v>
      </c>
      <c r="G419" s="8"/>
      <c r="H419" s="8"/>
      <c r="I419" s="8"/>
    </row>
    <row r="420">
      <c r="B420" s="152"/>
      <c r="C420" s="148"/>
      <c r="D420" s="8"/>
      <c r="E420" s="149" t="s">
        <v>629</v>
      </c>
      <c r="F420" s="146" t="s">
        <v>1299</v>
      </c>
      <c r="G420" s="8"/>
      <c r="H420" s="8"/>
      <c r="I420" s="8"/>
    </row>
    <row r="421">
      <c r="B421" s="152"/>
      <c r="C421" s="148"/>
      <c r="D421" s="8"/>
      <c r="E421" s="149" t="s">
        <v>921</v>
      </c>
      <c r="F421" s="146" t="s">
        <v>1300</v>
      </c>
      <c r="G421" s="8"/>
      <c r="H421" s="8"/>
      <c r="I421" s="8"/>
    </row>
    <row r="422">
      <c r="A422" s="146" t="str">
        <f t="shared" ref="A422:A427" si="46">B422&amp;"/"&amp;E422&amp;"/"&amp;C422&amp;"-"&amp;D422</f>
        <v>Bowl/CC/RK1-9</v>
      </c>
      <c r="B422" s="147" t="s">
        <v>1301</v>
      </c>
      <c r="C422" s="148" t="s">
        <v>888</v>
      </c>
      <c r="D422" s="148">
        <v>9.0</v>
      </c>
      <c r="E422" s="146" t="s">
        <v>889</v>
      </c>
      <c r="F422" s="150" t="s">
        <v>1302</v>
      </c>
      <c r="G422" s="8"/>
      <c r="H422" s="8"/>
      <c r="I422" s="8"/>
    </row>
    <row r="423">
      <c r="A423" s="146" t="str">
        <f t="shared" si="46"/>
        <v>Bowl/PR1/RK4-1</v>
      </c>
      <c r="B423" s="147" t="s">
        <v>1301</v>
      </c>
      <c r="C423" s="148" t="s">
        <v>930</v>
      </c>
      <c r="D423" s="148">
        <v>1.0</v>
      </c>
      <c r="E423" s="149" t="s">
        <v>892</v>
      </c>
      <c r="F423" s="151" t="s">
        <v>1303</v>
      </c>
      <c r="G423" s="8"/>
      <c r="H423" s="8"/>
      <c r="I423" s="8"/>
    </row>
    <row r="424">
      <c r="A424" s="146" t="str">
        <f t="shared" si="46"/>
        <v>Bowl/SD/RK6-31</v>
      </c>
      <c r="B424" s="147" t="s">
        <v>1301</v>
      </c>
      <c r="C424" s="148" t="s">
        <v>895</v>
      </c>
      <c r="D424" s="148">
        <v>31.0</v>
      </c>
      <c r="E424" s="146" t="s">
        <v>946</v>
      </c>
      <c r="F424" s="151" t="s">
        <v>1304</v>
      </c>
      <c r="G424" s="8"/>
      <c r="H424" s="8"/>
      <c r="I424" s="8"/>
    </row>
    <row r="425">
      <c r="A425" s="146" t="str">
        <f t="shared" si="46"/>
        <v>Bowl/SF/RK6-32</v>
      </c>
      <c r="B425" s="147" t="s">
        <v>1301</v>
      </c>
      <c r="C425" s="148" t="s">
        <v>895</v>
      </c>
      <c r="D425" s="148">
        <v>32.0</v>
      </c>
      <c r="E425" s="146" t="s">
        <v>948</v>
      </c>
      <c r="F425" s="151" t="s">
        <v>1305</v>
      </c>
      <c r="G425" s="8"/>
      <c r="H425" s="8"/>
      <c r="I425" s="8"/>
    </row>
    <row r="426">
      <c r="A426" s="146" t="str">
        <f t="shared" si="46"/>
        <v>Bowl/CU/RK8-16</v>
      </c>
      <c r="B426" s="147" t="s">
        <v>1301</v>
      </c>
      <c r="C426" s="148" t="s">
        <v>898</v>
      </c>
      <c r="D426" s="148">
        <v>16.0</v>
      </c>
      <c r="E426" s="146" t="s">
        <v>899</v>
      </c>
      <c r="F426" s="151" t="s">
        <v>1306</v>
      </c>
      <c r="G426" s="8"/>
      <c r="H426" s="8"/>
      <c r="I426" s="8"/>
    </row>
    <row r="427">
      <c r="A427" s="146" t="str">
        <f t="shared" si="46"/>
        <v>Bowl/SI/RK4-2</v>
      </c>
      <c r="B427" s="147" t="s">
        <v>1301</v>
      </c>
      <c r="C427" s="148" t="s">
        <v>930</v>
      </c>
      <c r="D427" s="148">
        <v>2.0</v>
      </c>
      <c r="E427" s="146" t="s">
        <v>904</v>
      </c>
      <c r="F427" s="151" t="s">
        <v>1307</v>
      </c>
      <c r="G427" s="8"/>
      <c r="H427" s="8"/>
      <c r="I427" s="8"/>
    </row>
    <row r="428">
      <c r="B428" s="152"/>
      <c r="C428" s="148"/>
      <c r="D428" s="8"/>
      <c r="E428" s="149" t="s">
        <v>906</v>
      </c>
      <c r="F428" s="146" t="s">
        <v>1308</v>
      </c>
      <c r="G428" s="8"/>
      <c r="H428" s="8"/>
      <c r="I428" s="8"/>
    </row>
    <row r="429">
      <c r="B429" s="152"/>
      <c r="C429" s="148"/>
      <c r="D429" s="8"/>
      <c r="E429" s="146" t="s">
        <v>908</v>
      </c>
      <c r="F429" s="146" t="s">
        <v>1309</v>
      </c>
      <c r="G429" s="8"/>
      <c r="H429" s="8"/>
      <c r="I429" s="8"/>
    </row>
    <row r="430">
      <c r="A430" s="146" t="str">
        <f>B430&amp;"/"&amp;E430&amp;"/"&amp;C430&amp;"-"&amp;D430</f>
        <v>Bowl/TOC/RK4-3</v>
      </c>
      <c r="B430" s="147" t="s">
        <v>1301</v>
      </c>
      <c r="C430" s="148" t="s">
        <v>930</v>
      </c>
      <c r="D430" s="148">
        <v>3.0</v>
      </c>
      <c r="E430" s="149" t="s">
        <v>1310</v>
      </c>
      <c r="F430" s="151" t="s">
        <v>1311</v>
      </c>
      <c r="G430" s="8"/>
      <c r="H430" s="8"/>
      <c r="I430" s="8"/>
    </row>
    <row r="431">
      <c r="B431" s="152"/>
      <c r="C431" s="148"/>
      <c r="D431" s="8"/>
      <c r="E431" s="149" t="s">
        <v>1213</v>
      </c>
      <c r="F431" s="146" t="s">
        <v>1312</v>
      </c>
      <c r="G431" s="8"/>
      <c r="H431" s="8"/>
      <c r="I431" s="8"/>
    </row>
    <row r="432">
      <c r="B432" s="152"/>
      <c r="C432" s="148"/>
      <c r="D432" s="8"/>
      <c r="E432" s="149" t="s">
        <v>910</v>
      </c>
      <c r="F432" s="146" t="s">
        <v>1313</v>
      </c>
      <c r="G432" s="8"/>
      <c r="H432" s="8"/>
      <c r="I432" s="8"/>
    </row>
    <row r="433">
      <c r="B433" s="152"/>
      <c r="C433" s="148"/>
      <c r="D433" s="8"/>
      <c r="E433" s="146" t="s">
        <v>912</v>
      </c>
      <c r="F433" s="146" t="s">
        <v>1314</v>
      </c>
      <c r="G433" s="8"/>
      <c r="H433" s="8"/>
      <c r="I433" s="8"/>
    </row>
    <row r="434">
      <c r="A434" s="146" t="str">
        <f t="shared" ref="A434:A435" si="47">B434&amp;"/"&amp;E434&amp;"/"&amp;C434&amp;"-"&amp;D434</f>
        <v>Bowl/HH/RK1-22</v>
      </c>
      <c r="B434" s="147" t="s">
        <v>1301</v>
      </c>
      <c r="C434" s="148" t="s">
        <v>888</v>
      </c>
      <c r="D434" s="148">
        <v>22.0</v>
      </c>
      <c r="E434" s="146" t="s">
        <v>914</v>
      </c>
      <c r="F434" s="151" t="s">
        <v>1315</v>
      </c>
      <c r="G434" s="8"/>
      <c r="H434" s="8"/>
      <c r="I434" s="8"/>
    </row>
    <row r="435">
      <c r="A435" s="146" t="str">
        <f t="shared" si="47"/>
        <v>Bowl/BH/RK1-23</v>
      </c>
      <c r="B435" s="147" t="s">
        <v>1301</v>
      </c>
      <c r="C435" s="148" t="s">
        <v>888</v>
      </c>
      <c r="D435" s="148">
        <v>23.0</v>
      </c>
      <c r="E435" s="146" t="s">
        <v>916</v>
      </c>
      <c r="F435" s="151" t="s">
        <v>1316</v>
      </c>
      <c r="G435" s="8"/>
      <c r="H435" s="8"/>
      <c r="I435" s="8"/>
    </row>
    <row r="436">
      <c r="B436" s="152"/>
      <c r="C436" s="148"/>
      <c r="D436" s="8"/>
      <c r="E436" s="146" t="s">
        <v>918</v>
      </c>
      <c r="F436" s="146" t="s">
        <v>1317</v>
      </c>
      <c r="G436" s="8"/>
      <c r="H436" s="8"/>
      <c r="I436" s="8"/>
    </row>
    <row r="437">
      <c r="B437" s="152"/>
      <c r="C437" s="148"/>
      <c r="D437" s="8"/>
      <c r="E437" s="146" t="s">
        <v>629</v>
      </c>
      <c r="F437" s="146" t="s">
        <v>1318</v>
      </c>
      <c r="G437" s="8"/>
      <c r="H437" s="8"/>
      <c r="I437" s="8"/>
    </row>
    <row r="438">
      <c r="B438" s="152"/>
      <c r="C438" s="148"/>
      <c r="D438" s="8"/>
      <c r="E438" s="146" t="s">
        <v>921</v>
      </c>
      <c r="F438" s="146" t="s">
        <v>1319</v>
      </c>
      <c r="G438" s="8"/>
      <c r="H438" s="8"/>
      <c r="I438" s="8"/>
    </row>
    <row r="439">
      <c r="A439" s="146" t="str">
        <f t="shared" ref="A439:A444" si="48">B439&amp;"/"&amp;E439&amp;"/"&amp;C439&amp;"-"&amp;D439</f>
        <v>PP Dry/CC/RK1-4</v>
      </c>
      <c r="B439" s="147" t="s">
        <v>431</v>
      </c>
      <c r="C439" s="148" t="s">
        <v>888</v>
      </c>
      <c r="D439" s="148">
        <v>4.0</v>
      </c>
      <c r="E439" s="149" t="s">
        <v>889</v>
      </c>
      <c r="F439" s="151" t="s">
        <v>1320</v>
      </c>
      <c r="G439" s="8"/>
      <c r="H439" s="8"/>
      <c r="I439" s="8"/>
    </row>
    <row r="440">
      <c r="A440" s="146" t="str">
        <f t="shared" si="48"/>
        <v>Nano Dome/PR1/RK4-15</v>
      </c>
      <c r="B440" s="147" t="s">
        <v>1321</v>
      </c>
      <c r="C440" s="148" t="s">
        <v>930</v>
      </c>
      <c r="D440" s="148">
        <v>15.0</v>
      </c>
      <c r="E440" s="149" t="s">
        <v>892</v>
      </c>
      <c r="F440" s="151" t="s">
        <v>1322</v>
      </c>
      <c r="G440" s="8"/>
      <c r="H440" s="8"/>
      <c r="I440" s="8"/>
    </row>
    <row r="441">
      <c r="A441" s="146" t="str">
        <f t="shared" si="48"/>
        <v>Nano Dome/SX/RK6-33</v>
      </c>
      <c r="B441" s="147" t="s">
        <v>1321</v>
      </c>
      <c r="C441" s="148" t="s">
        <v>895</v>
      </c>
      <c r="D441" s="148">
        <v>33.0</v>
      </c>
      <c r="E441" s="146" t="s">
        <v>896</v>
      </c>
      <c r="F441" s="151" t="s">
        <v>1323</v>
      </c>
      <c r="G441" s="8"/>
      <c r="H441" s="8"/>
      <c r="I441" s="8"/>
    </row>
    <row r="442">
      <c r="A442" s="146" t="str">
        <f t="shared" si="48"/>
        <v>Nano Dome/RF/RK5-17</v>
      </c>
      <c r="B442" s="147" t="s">
        <v>1321</v>
      </c>
      <c r="C442" s="148" t="s">
        <v>901</v>
      </c>
      <c r="D442" s="148">
        <v>17.0</v>
      </c>
      <c r="E442" s="146" t="s">
        <v>1199</v>
      </c>
      <c r="F442" s="151" t="s">
        <v>1324</v>
      </c>
      <c r="G442" s="8"/>
      <c r="H442" s="8"/>
      <c r="I442" s="8"/>
    </row>
    <row r="443">
      <c r="A443" s="146" t="str">
        <f t="shared" si="48"/>
        <v>Nano Dome/CU/RK8-17</v>
      </c>
      <c r="B443" s="147" t="s">
        <v>1321</v>
      </c>
      <c r="C443" s="148" t="s">
        <v>898</v>
      </c>
      <c r="D443" s="148">
        <v>17.0</v>
      </c>
      <c r="E443" s="149" t="s">
        <v>899</v>
      </c>
      <c r="F443" s="151" t="s">
        <v>1325</v>
      </c>
      <c r="G443" s="8"/>
      <c r="H443" s="8"/>
      <c r="I443" s="8"/>
    </row>
    <row r="444">
      <c r="A444" s="146" t="str">
        <f t="shared" si="48"/>
        <v>Nano Dome/GB/RK5-10</v>
      </c>
      <c r="B444" s="147" t="s">
        <v>1321</v>
      </c>
      <c r="C444" s="148" t="s">
        <v>901</v>
      </c>
      <c r="D444" s="148">
        <v>10.0</v>
      </c>
      <c r="E444" s="149" t="s">
        <v>902</v>
      </c>
      <c r="F444" s="151" t="s">
        <v>1326</v>
      </c>
      <c r="G444" s="8"/>
      <c r="H444" s="8"/>
      <c r="I444" s="8"/>
    </row>
    <row r="445">
      <c r="B445" s="152"/>
      <c r="C445" s="148"/>
      <c r="D445" s="8"/>
      <c r="E445" s="149" t="s">
        <v>906</v>
      </c>
      <c r="F445" s="146" t="s">
        <v>1327</v>
      </c>
      <c r="G445" s="8"/>
      <c r="H445" s="8"/>
      <c r="I445" s="8"/>
    </row>
    <row r="446">
      <c r="B446" s="152"/>
      <c r="C446" s="148"/>
      <c r="D446" s="8"/>
      <c r="E446" s="149" t="s">
        <v>908</v>
      </c>
      <c r="F446" s="146" t="s">
        <v>1328</v>
      </c>
      <c r="G446" s="8"/>
      <c r="H446" s="8"/>
      <c r="I446" s="8"/>
    </row>
    <row r="447">
      <c r="B447" s="152"/>
      <c r="C447" s="148"/>
      <c r="D447" s="8"/>
      <c r="E447" s="149" t="s">
        <v>912</v>
      </c>
      <c r="F447" s="146" t="s">
        <v>1329</v>
      </c>
      <c r="G447" s="8"/>
      <c r="H447" s="8"/>
      <c r="I447" s="8"/>
    </row>
    <row r="448">
      <c r="A448" s="146" t="str">
        <f t="shared" ref="A448:A450" si="49">B448&amp;"/"&amp;E448&amp;"/"&amp;C448&amp;"-"&amp;D448</f>
        <v>Nano Dome/HH/RK1-24</v>
      </c>
      <c r="B448" s="147" t="s">
        <v>1321</v>
      </c>
      <c r="C448" s="148" t="s">
        <v>888</v>
      </c>
      <c r="D448" s="148">
        <v>24.0</v>
      </c>
      <c r="E448" s="149" t="s">
        <v>914</v>
      </c>
      <c r="F448" s="151" t="s">
        <v>1330</v>
      </c>
      <c r="G448" s="8"/>
      <c r="H448" s="8"/>
      <c r="I448" s="8"/>
    </row>
    <row r="449">
      <c r="A449" s="146" t="str">
        <f t="shared" si="49"/>
        <v>Nano Dome/BH/RK1-25</v>
      </c>
      <c r="B449" s="147" t="s">
        <v>1321</v>
      </c>
      <c r="C449" s="148" t="s">
        <v>888</v>
      </c>
      <c r="D449" s="148">
        <v>25.0</v>
      </c>
      <c r="E449" s="149" t="s">
        <v>916</v>
      </c>
      <c r="F449" s="151" t="s">
        <v>1331</v>
      </c>
      <c r="G449" s="8"/>
      <c r="H449" s="8"/>
      <c r="I449" s="8"/>
    </row>
    <row r="450">
      <c r="A450" s="146" t="str">
        <f t="shared" si="49"/>
        <v>Nano Dome/FB/RK2-13</v>
      </c>
      <c r="B450" s="147" t="s">
        <v>1321</v>
      </c>
      <c r="C450" s="148" t="s">
        <v>959</v>
      </c>
      <c r="D450" s="148">
        <v>13.0</v>
      </c>
      <c r="E450" s="149" t="s">
        <v>960</v>
      </c>
      <c r="F450" s="151" t="s">
        <v>1332</v>
      </c>
      <c r="G450" s="8"/>
      <c r="H450" s="8"/>
      <c r="I450" s="8"/>
    </row>
    <row r="451">
      <c r="B451" s="152"/>
      <c r="C451" s="148"/>
      <c r="D451" s="8"/>
      <c r="E451" s="149" t="s">
        <v>918</v>
      </c>
      <c r="F451" s="146" t="s">
        <v>1333</v>
      </c>
      <c r="G451" s="8"/>
      <c r="H451" s="8"/>
      <c r="I451" s="8"/>
    </row>
    <row r="452">
      <c r="B452" s="152"/>
      <c r="C452" s="148"/>
      <c r="D452" s="8"/>
      <c r="E452" s="149" t="s">
        <v>629</v>
      </c>
      <c r="F452" s="146" t="s">
        <v>1334</v>
      </c>
      <c r="G452" s="8"/>
      <c r="H452" s="8"/>
      <c r="I452" s="8"/>
    </row>
    <row r="453">
      <c r="B453" s="152"/>
      <c r="C453" s="148"/>
      <c r="D453" s="8"/>
      <c r="E453" s="149" t="s">
        <v>921</v>
      </c>
      <c r="F453" s="146" t="s">
        <v>1335</v>
      </c>
      <c r="G453" s="8"/>
      <c r="H453" s="8"/>
      <c r="I453" s="8"/>
    </row>
    <row r="454">
      <c r="A454" s="146" t="str">
        <f t="shared" ref="A454:A459" si="50">B454&amp;"/"&amp;E454&amp;"/"&amp;C454&amp;"-"&amp;D454</f>
        <v>Grinder Jar/CC/RK1-1</v>
      </c>
      <c r="B454" s="147" t="s">
        <v>463</v>
      </c>
      <c r="C454" s="148" t="s">
        <v>888</v>
      </c>
      <c r="D454" s="148">
        <v>1.0</v>
      </c>
      <c r="E454" s="149" t="s">
        <v>889</v>
      </c>
      <c r="F454" s="151" t="s">
        <v>1336</v>
      </c>
      <c r="G454" s="8"/>
      <c r="H454" s="8"/>
      <c r="I454" s="8"/>
    </row>
    <row r="455">
      <c r="A455" s="146" t="str">
        <f t="shared" si="50"/>
        <v>Nano Flat/PR1/RK4-16</v>
      </c>
      <c r="B455" s="147" t="s">
        <v>1337</v>
      </c>
      <c r="C455" s="148" t="s">
        <v>930</v>
      </c>
      <c r="D455" s="148">
        <v>16.0</v>
      </c>
      <c r="E455" s="149" t="s">
        <v>892</v>
      </c>
      <c r="F455" s="151" t="s">
        <v>1338</v>
      </c>
      <c r="G455" s="8"/>
      <c r="H455" s="8"/>
      <c r="I455" s="8"/>
    </row>
    <row r="456">
      <c r="A456" s="146" t="str">
        <f t="shared" si="50"/>
        <v>Nano Flat/SX/RK6-34</v>
      </c>
      <c r="B456" s="147" t="s">
        <v>1337</v>
      </c>
      <c r="C456" s="148" t="s">
        <v>895</v>
      </c>
      <c r="D456" s="148">
        <v>34.0</v>
      </c>
      <c r="E456" s="146" t="s">
        <v>896</v>
      </c>
      <c r="F456" s="151" t="s">
        <v>1339</v>
      </c>
      <c r="G456" s="8"/>
      <c r="H456" s="8"/>
      <c r="I456" s="8"/>
    </row>
    <row r="457">
      <c r="A457" s="146" t="str">
        <f t="shared" si="50"/>
        <v>Nano Dome/RF/RK5-17</v>
      </c>
      <c r="B457" s="147" t="s">
        <v>1321</v>
      </c>
      <c r="C457" s="148" t="s">
        <v>901</v>
      </c>
      <c r="D457" s="148">
        <v>17.0</v>
      </c>
      <c r="E457" s="146" t="s">
        <v>1199</v>
      </c>
      <c r="F457" s="151" t="s">
        <v>1340</v>
      </c>
      <c r="G457" s="8"/>
      <c r="H457" s="8"/>
      <c r="I457" s="8"/>
    </row>
    <row r="458">
      <c r="A458" s="146" t="str">
        <f t="shared" si="50"/>
        <v>Nano Dome/CU/RK8-17</v>
      </c>
      <c r="B458" s="147" t="s">
        <v>1321</v>
      </c>
      <c r="C458" s="148" t="s">
        <v>898</v>
      </c>
      <c r="D458" s="148">
        <v>17.0</v>
      </c>
      <c r="E458" s="149" t="s">
        <v>899</v>
      </c>
      <c r="F458" s="151" t="s">
        <v>1341</v>
      </c>
      <c r="G458" s="8"/>
      <c r="H458" s="8"/>
      <c r="I458" s="8"/>
    </row>
    <row r="459">
      <c r="A459" s="146" t="str">
        <f t="shared" si="50"/>
        <v>Nano Dome/GB/RK5-10</v>
      </c>
      <c r="B459" s="147" t="s">
        <v>1321</v>
      </c>
      <c r="C459" s="148" t="s">
        <v>901</v>
      </c>
      <c r="D459" s="148">
        <v>10.0</v>
      </c>
      <c r="E459" s="149" t="s">
        <v>902</v>
      </c>
      <c r="F459" s="151" t="s">
        <v>1342</v>
      </c>
      <c r="G459" s="8"/>
      <c r="H459" s="8"/>
      <c r="I459" s="8"/>
    </row>
    <row r="460">
      <c r="B460" s="152"/>
      <c r="C460" s="148"/>
      <c r="D460" s="8"/>
      <c r="E460" s="149" t="s">
        <v>906</v>
      </c>
      <c r="F460" s="146" t="s">
        <v>1343</v>
      </c>
      <c r="G460" s="8"/>
      <c r="H460" s="8"/>
      <c r="I460" s="8"/>
    </row>
    <row r="461">
      <c r="B461" s="152"/>
      <c r="C461" s="148"/>
      <c r="D461" s="8"/>
      <c r="E461" s="149" t="s">
        <v>908</v>
      </c>
      <c r="F461" s="146" t="s">
        <v>1344</v>
      </c>
      <c r="G461" s="8"/>
      <c r="H461" s="8"/>
      <c r="I461" s="8"/>
    </row>
    <row r="462">
      <c r="B462" s="152"/>
      <c r="C462" s="148"/>
      <c r="D462" s="8"/>
      <c r="E462" s="149" t="s">
        <v>912</v>
      </c>
      <c r="F462" s="146" t="s">
        <v>1345</v>
      </c>
      <c r="G462" s="8"/>
      <c r="H462" s="8"/>
      <c r="I462" s="8"/>
    </row>
    <row r="463">
      <c r="A463" s="146" t="str">
        <f t="shared" ref="A463:A465" si="51">B463&amp;"/"&amp;E463&amp;"/"&amp;C463&amp;"-"&amp;D463</f>
        <v>Nano Dome/HH/RK1-24</v>
      </c>
      <c r="B463" s="147" t="s">
        <v>1321</v>
      </c>
      <c r="C463" s="148" t="s">
        <v>888</v>
      </c>
      <c r="D463" s="148">
        <v>24.0</v>
      </c>
      <c r="E463" s="149" t="s">
        <v>914</v>
      </c>
      <c r="F463" s="151" t="s">
        <v>1346</v>
      </c>
      <c r="G463" s="8"/>
      <c r="H463" s="8"/>
      <c r="I463" s="8"/>
    </row>
    <row r="464">
      <c r="A464" s="146" t="str">
        <f t="shared" si="51"/>
        <v>Nano Dome/BH/RK1-25</v>
      </c>
      <c r="B464" s="147" t="s">
        <v>1321</v>
      </c>
      <c r="C464" s="148" t="s">
        <v>888</v>
      </c>
      <c r="D464" s="148">
        <v>25.0</v>
      </c>
      <c r="E464" s="149" t="s">
        <v>916</v>
      </c>
      <c r="F464" s="151" t="s">
        <v>1347</v>
      </c>
      <c r="G464" s="8"/>
      <c r="H464" s="8"/>
      <c r="I464" s="8"/>
    </row>
    <row r="465">
      <c r="A465" s="146" t="str">
        <f t="shared" si="51"/>
        <v>Nano Flat/FB/RK2-14</v>
      </c>
      <c r="B465" s="147" t="s">
        <v>1337</v>
      </c>
      <c r="C465" s="148" t="s">
        <v>959</v>
      </c>
      <c r="D465" s="148">
        <v>14.0</v>
      </c>
      <c r="E465" s="149" t="s">
        <v>960</v>
      </c>
      <c r="F465" s="151" t="s">
        <v>1348</v>
      </c>
      <c r="G465" s="8"/>
      <c r="H465" s="8"/>
      <c r="I465" s="8"/>
    </row>
    <row r="466">
      <c r="B466" s="152"/>
      <c r="C466" s="148"/>
      <c r="D466" s="8"/>
      <c r="E466" s="149" t="s">
        <v>918</v>
      </c>
      <c r="F466" s="146" t="s">
        <v>1349</v>
      </c>
      <c r="G466" s="8"/>
      <c r="H466" s="8"/>
      <c r="I466" s="8"/>
    </row>
    <row r="467">
      <c r="B467" s="152"/>
      <c r="C467" s="148"/>
      <c r="D467" s="8"/>
      <c r="E467" s="149" t="s">
        <v>629</v>
      </c>
      <c r="F467" s="146" t="s">
        <v>1350</v>
      </c>
      <c r="G467" s="8"/>
      <c r="H467" s="8"/>
      <c r="I467" s="8"/>
    </row>
    <row r="468">
      <c r="B468" s="152"/>
      <c r="C468" s="148"/>
      <c r="D468" s="8"/>
      <c r="E468" s="149" t="s">
        <v>921</v>
      </c>
      <c r="F468" s="146" t="s">
        <v>1351</v>
      </c>
      <c r="G468" s="8"/>
      <c r="H468" s="8"/>
      <c r="I468" s="8"/>
    </row>
    <row r="469">
      <c r="A469" s="146" t="str">
        <f t="shared" ref="A469:A473" si="52">B469&amp;"/"&amp;E469&amp;"/"&amp;C469&amp;"-"&amp;D469</f>
        <v>Ch Katori/CC/RK1-2</v>
      </c>
      <c r="B469" s="147" t="s">
        <v>923</v>
      </c>
      <c r="C469" s="148" t="s">
        <v>888</v>
      </c>
      <c r="D469" s="148">
        <v>2.0</v>
      </c>
      <c r="E469" s="149" t="s">
        <v>889</v>
      </c>
      <c r="F469" s="151" t="s">
        <v>1352</v>
      </c>
      <c r="G469" s="8"/>
      <c r="H469" s="8"/>
      <c r="I469" s="8"/>
    </row>
    <row r="470">
      <c r="A470" s="146" t="str">
        <f t="shared" si="52"/>
        <v>Nano Chutney/PR1/RK4-17</v>
      </c>
      <c r="B470" s="147" t="s">
        <v>1353</v>
      </c>
      <c r="C470" s="148" t="s">
        <v>930</v>
      </c>
      <c r="D470" s="148">
        <v>17.0</v>
      </c>
      <c r="E470" s="149" t="s">
        <v>892</v>
      </c>
      <c r="F470" s="151" t="s">
        <v>1354</v>
      </c>
      <c r="G470" s="8"/>
      <c r="H470" s="8"/>
      <c r="I470" s="8"/>
    </row>
    <row r="471">
      <c r="A471" s="146" t="str">
        <f t="shared" si="52"/>
        <v>Nano Chutney/SX/RK6-35</v>
      </c>
      <c r="B471" s="147" t="s">
        <v>1353</v>
      </c>
      <c r="C471" s="148" t="s">
        <v>895</v>
      </c>
      <c r="D471" s="148">
        <v>35.0</v>
      </c>
      <c r="E471" s="149" t="s">
        <v>896</v>
      </c>
      <c r="F471" s="151" t="s">
        <v>1355</v>
      </c>
      <c r="G471" s="8"/>
      <c r="H471" s="8"/>
      <c r="I471" s="8"/>
    </row>
    <row r="472">
      <c r="A472" s="146" t="str">
        <f t="shared" si="52"/>
        <v>Nano Chutney/RF/RK5-18</v>
      </c>
      <c r="B472" s="147" t="s">
        <v>1353</v>
      </c>
      <c r="C472" s="148" t="s">
        <v>901</v>
      </c>
      <c r="D472" s="148">
        <v>18.0</v>
      </c>
      <c r="E472" s="149" t="s">
        <v>1199</v>
      </c>
      <c r="F472" s="151" t="s">
        <v>1356</v>
      </c>
      <c r="G472" s="8"/>
      <c r="H472" s="8"/>
      <c r="I472" s="8"/>
    </row>
    <row r="473">
      <c r="A473" s="146" t="str">
        <f t="shared" si="52"/>
        <v>Nano Chutney/CU/RK8-18</v>
      </c>
      <c r="B473" s="147" t="s">
        <v>1353</v>
      </c>
      <c r="C473" s="148" t="s">
        <v>898</v>
      </c>
      <c r="D473" s="148">
        <v>18.0</v>
      </c>
      <c r="E473" s="149" t="s">
        <v>899</v>
      </c>
      <c r="F473" s="151" t="s">
        <v>1357</v>
      </c>
      <c r="G473" s="8"/>
      <c r="H473" s="8"/>
      <c r="I473" s="8"/>
    </row>
    <row r="474">
      <c r="B474" s="152"/>
      <c r="C474" s="148"/>
      <c r="D474" s="8"/>
      <c r="E474" s="149" t="s">
        <v>906</v>
      </c>
      <c r="F474" s="146" t="s">
        <v>1358</v>
      </c>
      <c r="G474" s="8"/>
      <c r="H474" s="8"/>
      <c r="I474" s="8"/>
    </row>
    <row r="475">
      <c r="B475" s="152"/>
      <c r="C475" s="148"/>
      <c r="D475" s="8"/>
      <c r="E475" s="149" t="s">
        <v>908</v>
      </c>
      <c r="F475" s="146" t="s">
        <v>1359</v>
      </c>
      <c r="G475" s="8"/>
      <c r="H475" s="8"/>
      <c r="I475" s="8"/>
    </row>
    <row r="476">
      <c r="B476" s="152"/>
      <c r="C476" s="148"/>
      <c r="D476" s="8"/>
      <c r="E476" s="149" t="s">
        <v>912</v>
      </c>
      <c r="F476" s="146" t="s">
        <v>1360</v>
      </c>
      <c r="G476" s="8"/>
      <c r="H476" s="8"/>
      <c r="I476" s="8"/>
    </row>
    <row r="477">
      <c r="A477" s="146" t="str">
        <f t="shared" ref="A477:A478" si="53">B477&amp;"/"&amp;E477&amp;"/"&amp;C477&amp;"-"&amp;D477</f>
        <v>Nano Dome/HH/RK1-24</v>
      </c>
      <c r="B477" s="147" t="s">
        <v>1321</v>
      </c>
      <c r="C477" s="148" t="s">
        <v>888</v>
      </c>
      <c r="D477" s="148">
        <v>24.0</v>
      </c>
      <c r="E477" s="149" t="s">
        <v>914</v>
      </c>
      <c r="F477" s="151" t="s">
        <v>1361</v>
      </c>
      <c r="G477" s="8"/>
      <c r="H477" s="8"/>
      <c r="I477" s="8"/>
    </row>
    <row r="478">
      <c r="A478" s="146" t="str">
        <f t="shared" si="53"/>
        <v>Nano Chutney/BH/RK1-26</v>
      </c>
      <c r="B478" s="147" t="s">
        <v>1353</v>
      </c>
      <c r="C478" s="148" t="s">
        <v>888</v>
      </c>
      <c r="D478" s="148">
        <v>26.0</v>
      </c>
      <c r="E478" s="149" t="s">
        <v>916</v>
      </c>
      <c r="F478" s="151" t="s">
        <v>1362</v>
      </c>
      <c r="G478" s="8"/>
      <c r="H478" s="8"/>
      <c r="I478" s="8"/>
    </row>
    <row r="479">
      <c r="B479" s="152"/>
      <c r="C479" s="148"/>
      <c r="D479" s="8"/>
      <c r="E479" s="149" t="s">
        <v>918</v>
      </c>
      <c r="F479" s="146" t="s">
        <v>1363</v>
      </c>
      <c r="G479" s="8"/>
      <c r="H479" s="8"/>
      <c r="I479" s="8"/>
    </row>
    <row r="480">
      <c r="B480" s="152"/>
      <c r="C480" s="148"/>
      <c r="D480" s="8"/>
      <c r="E480" s="149" t="s">
        <v>629</v>
      </c>
      <c r="F480" s="146" t="s">
        <v>1364</v>
      </c>
      <c r="G480" s="8"/>
      <c r="H480" s="8"/>
      <c r="I480" s="8"/>
    </row>
    <row r="481">
      <c r="B481" s="152"/>
      <c r="C481" s="148"/>
      <c r="D481" s="8"/>
      <c r="E481" s="149" t="s">
        <v>921</v>
      </c>
      <c r="F481" s="146" t="s">
        <v>1365</v>
      </c>
      <c r="G481" s="8"/>
      <c r="H481" s="8"/>
      <c r="I481" s="8"/>
    </row>
    <row r="482">
      <c r="A482" s="146" t="str">
        <f t="shared" ref="A482:A1047" si="54">B482&amp;"/"&amp;E482&amp;"/"&amp;C482&amp;"-"&amp;D482</f>
        <v>Bowl 2.0 Ltr/CC/-</v>
      </c>
      <c r="B482" s="152" t="s">
        <v>493</v>
      </c>
      <c r="C482" s="148"/>
      <c r="D482" s="8"/>
      <c r="E482" s="149" t="s">
        <v>889</v>
      </c>
      <c r="F482" s="146" t="s">
        <v>1302</v>
      </c>
      <c r="G482" s="8"/>
      <c r="H482" s="8"/>
      <c r="I482" s="8"/>
    </row>
    <row r="483">
      <c r="A483" s="146" t="str">
        <f t="shared" si="54"/>
        <v>Bowl 2.0 Ltr/PR1/-</v>
      </c>
      <c r="B483" s="152" t="s">
        <v>493</v>
      </c>
      <c r="C483" s="148"/>
      <c r="D483" s="8"/>
      <c r="E483" s="149" t="s">
        <v>892</v>
      </c>
      <c r="F483" s="146" t="s">
        <v>1303</v>
      </c>
      <c r="G483" s="8"/>
      <c r="H483" s="8"/>
      <c r="I483" s="8"/>
    </row>
    <row r="484">
      <c r="A484" s="146" t="str">
        <f t="shared" si="54"/>
        <v>Bowl 2.0 Ltr/SD/-</v>
      </c>
      <c r="B484" s="152" t="s">
        <v>493</v>
      </c>
      <c r="C484" s="148"/>
      <c r="D484" s="8"/>
      <c r="E484" s="149" t="s">
        <v>946</v>
      </c>
      <c r="F484" s="146" t="s">
        <v>1304</v>
      </c>
      <c r="G484" s="8"/>
      <c r="H484" s="8"/>
      <c r="I484" s="8"/>
    </row>
    <row r="485">
      <c r="A485" s="146" t="str">
        <f t="shared" si="54"/>
        <v>Bowl 2.0 Ltr/SF/-</v>
      </c>
      <c r="B485" s="152" t="s">
        <v>493</v>
      </c>
      <c r="C485" s="148"/>
      <c r="D485" s="8"/>
      <c r="E485" s="149" t="s">
        <v>948</v>
      </c>
      <c r="F485" s="146" t="s">
        <v>1305</v>
      </c>
      <c r="G485" s="8"/>
      <c r="H485" s="8"/>
      <c r="I485" s="8"/>
    </row>
    <row r="486">
      <c r="A486" s="146" t="str">
        <f t="shared" si="54"/>
        <v>Bowl 2.0 Ltr/CU/-</v>
      </c>
      <c r="B486" s="152" t="s">
        <v>493</v>
      </c>
      <c r="C486" s="148"/>
      <c r="D486" s="8"/>
      <c r="E486" s="149" t="s">
        <v>899</v>
      </c>
      <c r="F486" s="146" t="s">
        <v>1306</v>
      </c>
      <c r="G486" s="8"/>
      <c r="H486" s="8"/>
      <c r="I486" s="8"/>
    </row>
    <row r="487">
      <c r="A487" s="146" t="str">
        <f t="shared" si="54"/>
        <v>Bowl 2.0 Ltr/SI/-</v>
      </c>
      <c r="B487" s="152" t="s">
        <v>493</v>
      </c>
      <c r="C487" s="148"/>
      <c r="D487" s="8"/>
      <c r="E487" s="149" t="s">
        <v>904</v>
      </c>
      <c r="F487" s="146" t="s">
        <v>1307</v>
      </c>
      <c r="G487" s="8"/>
      <c r="H487" s="8"/>
      <c r="I487" s="8"/>
    </row>
    <row r="488">
      <c r="A488" s="146" t="str">
        <f t="shared" si="54"/>
        <v>Bowl 2.0 Ltr/PBF/-</v>
      </c>
      <c r="B488" s="152" t="s">
        <v>493</v>
      </c>
      <c r="C488" s="148"/>
      <c r="D488" s="8"/>
      <c r="E488" s="149" t="s">
        <v>906</v>
      </c>
      <c r="F488" s="146" t="s">
        <v>1308</v>
      </c>
      <c r="G488" s="8"/>
      <c r="H488" s="8"/>
      <c r="I488" s="8"/>
    </row>
    <row r="489">
      <c r="A489" s="146" t="str">
        <f t="shared" si="54"/>
        <v>Bowl 2.0 Ltr/POL/-</v>
      </c>
      <c r="B489" s="152" t="s">
        <v>493</v>
      </c>
      <c r="C489" s="148"/>
      <c r="D489" s="8"/>
      <c r="E489" s="149" t="s">
        <v>908</v>
      </c>
      <c r="F489" s="146" t="s">
        <v>1309</v>
      </c>
      <c r="G489" s="8"/>
      <c r="H489" s="8"/>
      <c r="I489" s="8"/>
    </row>
    <row r="490">
      <c r="A490" s="146" t="str">
        <f t="shared" si="54"/>
        <v>Bowl 2.0 Ltr/TOC/-</v>
      </c>
      <c r="B490" s="152" t="s">
        <v>493</v>
      </c>
      <c r="C490" s="148"/>
      <c r="D490" s="8"/>
      <c r="E490" s="149" t="s">
        <v>1310</v>
      </c>
      <c r="F490" s="146" t="s">
        <v>1311</v>
      </c>
      <c r="G490" s="8"/>
      <c r="H490" s="8"/>
      <c r="I490" s="8"/>
    </row>
    <row r="491">
      <c r="A491" s="146" t="str">
        <f t="shared" si="54"/>
        <v>Bowl 2.0 Ltr/DB/-</v>
      </c>
      <c r="B491" s="152" t="s">
        <v>493</v>
      </c>
      <c r="C491" s="148"/>
      <c r="D491" s="8"/>
      <c r="E491" s="149" t="s">
        <v>1213</v>
      </c>
      <c r="F491" s="146" t="s">
        <v>1312</v>
      </c>
      <c r="G491" s="8"/>
      <c r="H491" s="8"/>
      <c r="I491" s="8"/>
    </row>
    <row r="492">
      <c r="A492" s="146" t="str">
        <f t="shared" si="54"/>
        <v>Bowl 2.0 Ltr/RW/-</v>
      </c>
      <c r="B492" s="152" t="s">
        <v>493</v>
      </c>
      <c r="C492" s="148"/>
      <c r="D492" s="8"/>
      <c r="E492" s="149" t="s">
        <v>910</v>
      </c>
      <c r="F492" s="146" t="s">
        <v>1313</v>
      </c>
      <c r="G492" s="8"/>
      <c r="H492" s="8"/>
      <c r="I492" s="8"/>
    </row>
    <row r="493">
      <c r="A493" s="146" t="str">
        <f t="shared" si="54"/>
        <v>Bowl 2.0 Ltr/CL/-</v>
      </c>
      <c r="B493" s="152" t="s">
        <v>493</v>
      </c>
      <c r="C493" s="148"/>
      <c r="D493" s="8"/>
      <c r="E493" s="149" t="s">
        <v>912</v>
      </c>
      <c r="F493" s="146" t="s">
        <v>1314</v>
      </c>
      <c r="G493" s="8"/>
      <c r="H493" s="8"/>
      <c r="I493" s="8"/>
    </row>
    <row r="494">
      <c r="A494" s="146" t="str">
        <f t="shared" si="54"/>
        <v>Bowl 2.0 Ltr/HH/-</v>
      </c>
      <c r="B494" s="152" t="s">
        <v>493</v>
      </c>
      <c r="C494" s="148"/>
      <c r="D494" s="8"/>
      <c r="E494" s="149" t="s">
        <v>914</v>
      </c>
      <c r="F494" s="146" t="s">
        <v>1315</v>
      </c>
      <c r="G494" s="8"/>
      <c r="H494" s="8"/>
      <c r="I494" s="8"/>
    </row>
    <row r="495">
      <c r="A495" s="146" t="str">
        <f t="shared" si="54"/>
        <v>Bowl 2.0 Ltr/BH/-</v>
      </c>
      <c r="B495" s="152" t="s">
        <v>493</v>
      </c>
      <c r="C495" s="148"/>
      <c r="D495" s="8"/>
      <c r="E495" s="149" t="s">
        <v>916</v>
      </c>
      <c r="F495" s="146" t="s">
        <v>1316</v>
      </c>
      <c r="G495" s="8"/>
      <c r="H495" s="8"/>
      <c r="I495" s="8"/>
    </row>
    <row r="496">
      <c r="A496" s="146" t="str">
        <f t="shared" si="54"/>
        <v>Bowl 2.0 Ltr/FC/-</v>
      </c>
      <c r="B496" s="152" t="s">
        <v>493</v>
      </c>
      <c r="C496" s="148"/>
      <c r="D496" s="8"/>
      <c r="E496" s="149" t="s">
        <v>918</v>
      </c>
      <c r="F496" s="146" t="s">
        <v>1317</v>
      </c>
      <c r="G496" s="8"/>
      <c r="H496" s="8"/>
      <c r="I496" s="8"/>
    </row>
    <row r="497">
      <c r="A497" s="146" t="str">
        <f t="shared" si="54"/>
        <v>Bowl 2.0 Ltr/QC/-</v>
      </c>
      <c r="B497" s="152" t="s">
        <v>493</v>
      </c>
      <c r="C497" s="148"/>
      <c r="D497" s="8"/>
      <c r="E497" s="149" t="s">
        <v>629</v>
      </c>
      <c r="F497" s="146" t="s">
        <v>1318</v>
      </c>
      <c r="G497" s="8"/>
      <c r="H497" s="8"/>
      <c r="I497" s="8"/>
    </row>
    <row r="498">
      <c r="A498" s="146" t="str">
        <f t="shared" si="54"/>
        <v>Bowl 2.0 Ltr/FG/-</v>
      </c>
      <c r="B498" s="152" t="s">
        <v>493</v>
      </c>
      <c r="C498" s="148"/>
      <c r="D498" s="8"/>
      <c r="E498" s="149" t="s">
        <v>921</v>
      </c>
      <c r="F498" s="146" t="s">
        <v>1319</v>
      </c>
      <c r="G498" s="8"/>
      <c r="H498" s="8"/>
      <c r="I498" s="8"/>
    </row>
    <row r="499">
      <c r="A499" s="146" t="str">
        <f t="shared" si="54"/>
        <v>Taper Jar - Bidding 1.5 Ltr/CC/-</v>
      </c>
      <c r="B499" s="147" t="s">
        <v>495</v>
      </c>
      <c r="C499" s="148"/>
      <c r="D499" s="8"/>
      <c r="E499" s="149" t="s">
        <v>889</v>
      </c>
      <c r="F499" s="146" t="s">
        <v>1366</v>
      </c>
      <c r="G499" s="8"/>
      <c r="H499" s="8"/>
      <c r="I499" s="8"/>
    </row>
    <row r="500">
      <c r="A500" s="146" t="str">
        <f t="shared" si="54"/>
        <v>Taper Jar - Bidding 1.5 Ltr/PR1/-</v>
      </c>
      <c r="B500" s="147" t="s">
        <v>495</v>
      </c>
      <c r="C500" s="148"/>
      <c r="D500" s="8"/>
      <c r="E500" s="149" t="s">
        <v>892</v>
      </c>
      <c r="F500" s="146" t="s">
        <v>1367</v>
      </c>
      <c r="G500" s="8"/>
      <c r="H500" s="8"/>
      <c r="I500" s="8"/>
    </row>
    <row r="501">
      <c r="A501" s="146" t="str">
        <f t="shared" si="54"/>
        <v>Taper Jar - Bidding 1.5 Ltr/SD/-</v>
      </c>
      <c r="B501" s="147" t="s">
        <v>495</v>
      </c>
      <c r="C501" s="148"/>
      <c r="D501" s="8"/>
      <c r="E501" s="149" t="s">
        <v>946</v>
      </c>
      <c r="F501" s="146" t="s">
        <v>1368</v>
      </c>
      <c r="G501" s="8"/>
      <c r="H501" s="8"/>
      <c r="I501" s="8"/>
    </row>
    <row r="502">
      <c r="A502" s="146" t="str">
        <f t="shared" si="54"/>
        <v>Taper Jar - Bidding 1.5 Ltr/SF/-</v>
      </c>
      <c r="B502" s="147" t="s">
        <v>495</v>
      </c>
      <c r="C502" s="148"/>
      <c r="D502" s="8"/>
      <c r="E502" s="149" t="s">
        <v>948</v>
      </c>
      <c r="F502" s="146" t="s">
        <v>1369</v>
      </c>
      <c r="G502" s="8"/>
      <c r="H502" s="8"/>
      <c r="I502" s="8"/>
    </row>
    <row r="503">
      <c r="A503" s="146" t="str">
        <f t="shared" si="54"/>
        <v>Taper Jar - Bidding 1.5 Ltr/CU/-</v>
      </c>
      <c r="B503" s="147" t="s">
        <v>495</v>
      </c>
      <c r="C503" s="148"/>
      <c r="D503" s="8"/>
      <c r="E503" s="149" t="s">
        <v>899</v>
      </c>
      <c r="F503" s="146" t="s">
        <v>1370</v>
      </c>
      <c r="G503" s="8"/>
      <c r="H503" s="8"/>
      <c r="I503" s="8"/>
    </row>
    <row r="504">
      <c r="A504" s="146" t="str">
        <f t="shared" si="54"/>
        <v>Taper Jar - Bidding 1.5 Ltr/GB/-</v>
      </c>
      <c r="B504" s="147" t="s">
        <v>495</v>
      </c>
      <c r="C504" s="148"/>
      <c r="D504" s="8"/>
      <c r="E504" s="149" t="s">
        <v>902</v>
      </c>
      <c r="F504" s="146" t="s">
        <v>1371</v>
      </c>
      <c r="G504" s="8"/>
      <c r="H504" s="8"/>
      <c r="I504" s="8"/>
    </row>
    <row r="505">
      <c r="A505" s="146" t="str">
        <f t="shared" si="54"/>
        <v>Taper Jar - Bidding 1.5 Ltr/BD/-</v>
      </c>
      <c r="B505" s="147" t="s">
        <v>495</v>
      </c>
      <c r="C505" s="148"/>
      <c r="D505" s="8"/>
      <c r="E505" s="149" t="s">
        <v>1372</v>
      </c>
      <c r="F505" s="146" t="s">
        <v>1373</v>
      </c>
      <c r="G505" s="8"/>
      <c r="H505" s="8"/>
      <c r="I505" s="8"/>
    </row>
    <row r="506">
      <c r="A506" s="146" t="str">
        <f t="shared" si="54"/>
        <v>Taper Jar - Bidding 1.5 Ltr/FA/-</v>
      </c>
      <c r="B506" s="147" t="s">
        <v>495</v>
      </c>
      <c r="C506" s="148"/>
      <c r="D506" s="8"/>
      <c r="E506" s="149" t="s">
        <v>1086</v>
      </c>
      <c r="F506" s="146" t="s">
        <v>1374</v>
      </c>
      <c r="G506" s="8"/>
      <c r="H506" s="8"/>
      <c r="I506" s="8"/>
    </row>
    <row r="507">
      <c r="A507" s="146" t="str">
        <f t="shared" si="54"/>
        <v>Taper Jar - Bidding 1.5 Ltr/POL/-</v>
      </c>
      <c r="B507" s="147" t="s">
        <v>495</v>
      </c>
      <c r="C507" s="148"/>
      <c r="D507" s="8"/>
      <c r="E507" s="149" t="s">
        <v>908</v>
      </c>
      <c r="F507" s="146" t="s">
        <v>1375</v>
      </c>
      <c r="G507" s="8"/>
      <c r="H507" s="8"/>
      <c r="I507" s="8"/>
    </row>
    <row r="508">
      <c r="A508" s="146" t="str">
        <f t="shared" si="54"/>
        <v>Taper Jar - Bidding 1.5 Ltr/CL/-</v>
      </c>
      <c r="B508" s="147" t="s">
        <v>495</v>
      </c>
      <c r="C508" s="148"/>
      <c r="D508" s="8"/>
      <c r="E508" s="149" t="s">
        <v>912</v>
      </c>
      <c r="F508" s="146" t="s">
        <v>1376</v>
      </c>
      <c r="G508" s="8"/>
      <c r="H508" s="8"/>
      <c r="I508" s="8"/>
    </row>
    <row r="509">
      <c r="A509" s="146" t="str">
        <f t="shared" si="54"/>
        <v>Taper Jar - Bidding 1.5 Ltr/HH/-</v>
      </c>
      <c r="B509" s="147" t="s">
        <v>495</v>
      </c>
      <c r="C509" s="148"/>
      <c r="D509" s="8"/>
      <c r="E509" s="149" t="s">
        <v>914</v>
      </c>
      <c r="F509" s="146" t="s">
        <v>1377</v>
      </c>
      <c r="G509" s="8"/>
      <c r="H509" s="8"/>
      <c r="I509" s="8"/>
    </row>
    <row r="510">
      <c r="A510" s="146" t="str">
        <f t="shared" si="54"/>
        <v>Taper Jar - Bidding 1.5 Ltr/BH/-</v>
      </c>
      <c r="B510" s="147" t="s">
        <v>495</v>
      </c>
      <c r="C510" s="148"/>
      <c r="D510" s="8"/>
      <c r="E510" s="149" t="s">
        <v>916</v>
      </c>
      <c r="F510" s="146" t="s">
        <v>1378</v>
      </c>
      <c r="G510" s="8"/>
      <c r="H510" s="8"/>
      <c r="I510" s="8"/>
    </row>
    <row r="511">
      <c r="A511" s="146" t="str">
        <f t="shared" si="54"/>
        <v>Taper Jar - Bidding 1.5 Ltr/FB/-</v>
      </c>
      <c r="B511" s="147" t="s">
        <v>495</v>
      </c>
      <c r="C511" s="148"/>
      <c r="D511" s="8"/>
      <c r="E511" s="149" t="s">
        <v>960</v>
      </c>
      <c r="F511" s="146" t="s">
        <v>1379</v>
      </c>
      <c r="G511" s="8"/>
      <c r="H511" s="8"/>
      <c r="I511" s="8"/>
    </row>
    <row r="512">
      <c r="A512" s="146" t="str">
        <f t="shared" si="54"/>
        <v>Taper Jar - Bidding 1.5 Ltr/FC/-</v>
      </c>
      <c r="B512" s="147" t="s">
        <v>495</v>
      </c>
      <c r="C512" s="148"/>
      <c r="D512" s="8"/>
      <c r="E512" s="149" t="s">
        <v>918</v>
      </c>
      <c r="F512" s="146" t="s">
        <v>1380</v>
      </c>
      <c r="G512" s="8"/>
      <c r="H512" s="8"/>
      <c r="I512" s="8"/>
    </row>
    <row r="513">
      <c r="A513" s="146" t="str">
        <f t="shared" si="54"/>
        <v>Taper Jar - Bidding 1.5 Ltr/QC/-</v>
      </c>
      <c r="B513" s="147" t="s">
        <v>495</v>
      </c>
      <c r="C513" s="148"/>
      <c r="D513" s="8"/>
      <c r="E513" s="149" t="s">
        <v>629</v>
      </c>
      <c r="F513" s="146" t="s">
        <v>1381</v>
      </c>
      <c r="G513" s="8"/>
      <c r="H513" s="8"/>
      <c r="I513" s="8"/>
    </row>
    <row r="514">
      <c r="A514" s="146" t="str">
        <f t="shared" si="54"/>
        <v>Taper Jar - Bidding 1.5 Ltr/FG/-</v>
      </c>
      <c r="B514" s="147" t="s">
        <v>495</v>
      </c>
      <c r="C514" s="148"/>
      <c r="D514" s="8"/>
      <c r="E514" s="149" t="s">
        <v>921</v>
      </c>
      <c r="F514" s="146" t="s">
        <v>1382</v>
      </c>
      <c r="G514" s="8"/>
      <c r="H514" s="8"/>
      <c r="I514" s="8"/>
    </row>
    <row r="515">
      <c r="A515" s="146" t="str">
        <f t="shared" si="54"/>
        <v>Taper Jar - Bidding 1.0 Ltr/CC/-</v>
      </c>
      <c r="B515" s="147" t="s">
        <v>497</v>
      </c>
      <c r="C515" s="148"/>
      <c r="D515" s="8"/>
      <c r="E515" s="149" t="s">
        <v>889</v>
      </c>
      <c r="F515" s="146" t="s">
        <v>1383</v>
      </c>
      <c r="G515" s="8"/>
      <c r="H515" s="8"/>
      <c r="I515" s="8"/>
    </row>
    <row r="516">
      <c r="A516" s="146" t="str">
        <f t="shared" si="54"/>
        <v>Taper Jar - Bidding 1.0 Ltr/PR1/-</v>
      </c>
      <c r="B516" s="147" t="s">
        <v>497</v>
      </c>
      <c r="C516" s="148"/>
      <c r="D516" s="8"/>
      <c r="E516" s="149" t="s">
        <v>892</v>
      </c>
      <c r="F516" s="146" t="s">
        <v>1384</v>
      </c>
      <c r="G516" s="8"/>
      <c r="H516" s="8"/>
      <c r="I516" s="8"/>
    </row>
    <row r="517">
      <c r="A517" s="146" t="str">
        <f t="shared" si="54"/>
        <v>Taper Jar - Bidding 1.0 Ltr/SX/-</v>
      </c>
      <c r="B517" s="147" t="s">
        <v>497</v>
      </c>
      <c r="C517" s="148"/>
      <c r="D517" s="8"/>
      <c r="E517" s="149" t="s">
        <v>896</v>
      </c>
      <c r="F517" s="146" t="s">
        <v>1385</v>
      </c>
      <c r="G517" s="8"/>
      <c r="H517" s="8"/>
      <c r="I517" s="8"/>
    </row>
    <row r="518">
      <c r="A518" s="146" t="str">
        <f t="shared" si="54"/>
        <v>Taper Jar - Bidding 1.0 Ltr/CU/-</v>
      </c>
      <c r="B518" s="147" t="s">
        <v>497</v>
      </c>
      <c r="C518" s="148"/>
      <c r="D518" s="8"/>
      <c r="E518" s="149" t="s">
        <v>899</v>
      </c>
      <c r="F518" s="146" t="s">
        <v>1386</v>
      </c>
      <c r="G518" s="8"/>
      <c r="H518" s="8"/>
      <c r="I518" s="8"/>
    </row>
    <row r="519">
      <c r="A519" s="146" t="str">
        <f t="shared" si="54"/>
        <v>Taper Jar - Bidding 1.0 Ltr/GB/-</v>
      </c>
      <c r="B519" s="147" t="s">
        <v>497</v>
      </c>
      <c r="C519" s="148"/>
      <c r="D519" s="8"/>
      <c r="E519" s="149" t="s">
        <v>902</v>
      </c>
      <c r="F519" s="146" t="s">
        <v>1387</v>
      </c>
      <c r="G519" s="8"/>
      <c r="H519" s="8"/>
      <c r="I519" s="8"/>
    </row>
    <row r="520">
      <c r="A520" s="146" t="str">
        <f t="shared" si="54"/>
        <v>Taper Jar - Bidding 1.0 Ltr/BD/-</v>
      </c>
      <c r="B520" s="147" t="s">
        <v>497</v>
      </c>
      <c r="C520" s="148"/>
      <c r="D520" s="8"/>
      <c r="E520" s="149" t="s">
        <v>1372</v>
      </c>
      <c r="F520" s="146" t="s">
        <v>1388</v>
      </c>
      <c r="G520" s="8"/>
      <c r="H520" s="8"/>
      <c r="I520" s="8"/>
    </row>
    <row r="521">
      <c r="A521" s="146" t="str">
        <f t="shared" si="54"/>
        <v>Taper Jar - Bidding 1.0 Ltr/FA/-</v>
      </c>
      <c r="B521" s="147" t="s">
        <v>497</v>
      </c>
      <c r="C521" s="148"/>
      <c r="D521" s="8"/>
      <c r="E521" s="149" t="s">
        <v>1086</v>
      </c>
      <c r="F521" s="146" t="s">
        <v>1389</v>
      </c>
      <c r="G521" s="8"/>
      <c r="H521" s="8"/>
      <c r="I521" s="8"/>
    </row>
    <row r="522">
      <c r="A522" s="146" t="str">
        <f t="shared" si="54"/>
        <v>Taper Jar - Bidding 1.0 Ltr/POL/-</v>
      </c>
      <c r="B522" s="147" t="s">
        <v>497</v>
      </c>
      <c r="C522" s="148"/>
      <c r="D522" s="8"/>
      <c r="E522" s="149" t="s">
        <v>908</v>
      </c>
      <c r="F522" s="146" t="s">
        <v>1390</v>
      </c>
      <c r="G522" s="8"/>
      <c r="H522" s="8"/>
      <c r="I522" s="8"/>
    </row>
    <row r="523">
      <c r="A523" s="146" t="str">
        <f t="shared" si="54"/>
        <v>Taper Jar - Bidding 1.0 Ltr/CL/-</v>
      </c>
      <c r="B523" s="147" t="s">
        <v>497</v>
      </c>
      <c r="C523" s="148"/>
      <c r="D523" s="8"/>
      <c r="E523" s="149" t="s">
        <v>912</v>
      </c>
      <c r="F523" s="146" t="s">
        <v>1391</v>
      </c>
      <c r="G523" s="8"/>
      <c r="H523" s="8"/>
      <c r="I523" s="8"/>
    </row>
    <row r="524">
      <c r="A524" s="146" t="str">
        <f t="shared" si="54"/>
        <v>Taper Jar - Bidding 1.0 Ltr/HH/-</v>
      </c>
      <c r="B524" s="147" t="s">
        <v>497</v>
      </c>
      <c r="C524" s="148"/>
      <c r="D524" s="8"/>
      <c r="E524" s="149" t="s">
        <v>914</v>
      </c>
      <c r="F524" s="146" t="s">
        <v>1392</v>
      </c>
      <c r="G524" s="8"/>
      <c r="H524" s="8"/>
      <c r="I524" s="8"/>
    </row>
    <row r="525">
      <c r="A525" s="146" t="str">
        <f t="shared" si="54"/>
        <v>Taper Jar - Bidding 1.0 Ltr/BH/-</v>
      </c>
      <c r="B525" s="147" t="s">
        <v>497</v>
      </c>
      <c r="C525" s="148"/>
      <c r="D525" s="8"/>
      <c r="E525" s="149" t="s">
        <v>916</v>
      </c>
      <c r="F525" s="146" t="s">
        <v>1393</v>
      </c>
      <c r="G525" s="8"/>
      <c r="H525" s="8"/>
      <c r="I525" s="8"/>
    </row>
    <row r="526">
      <c r="A526" s="146" t="str">
        <f t="shared" si="54"/>
        <v>Taper Jar - Bidding 1.0 Ltr/FB/-</v>
      </c>
      <c r="B526" s="147" t="s">
        <v>497</v>
      </c>
      <c r="C526" s="148"/>
      <c r="D526" s="8"/>
      <c r="E526" s="149" t="s">
        <v>960</v>
      </c>
      <c r="F526" s="146" t="s">
        <v>1394</v>
      </c>
      <c r="G526" s="8"/>
      <c r="H526" s="8"/>
      <c r="I526" s="8"/>
    </row>
    <row r="527">
      <c r="A527" s="146" t="str">
        <f t="shared" si="54"/>
        <v>Taper Jar - Bidding 1.0 Ltr/FC/-</v>
      </c>
      <c r="B527" s="147" t="s">
        <v>497</v>
      </c>
      <c r="C527" s="148"/>
      <c r="D527" s="8"/>
      <c r="E527" s="149" t="s">
        <v>918</v>
      </c>
      <c r="F527" s="146" t="s">
        <v>1395</v>
      </c>
      <c r="G527" s="8"/>
      <c r="H527" s="8"/>
      <c r="I527" s="8"/>
    </row>
    <row r="528">
      <c r="A528" s="146" t="str">
        <f t="shared" si="54"/>
        <v>Taper Jar - Bidding 1.0 Ltr/QC/-</v>
      </c>
      <c r="B528" s="147" t="s">
        <v>497</v>
      </c>
      <c r="C528" s="148"/>
      <c r="D528" s="8"/>
      <c r="E528" s="149" t="s">
        <v>629</v>
      </c>
      <c r="F528" s="146" t="s">
        <v>1396</v>
      </c>
      <c r="G528" s="8"/>
      <c r="H528" s="8"/>
      <c r="I528" s="8"/>
    </row>
    <row r="529">
      <c r="A529" s="146" t="str">
        <f t="shared" si="54"/>
        <v>Taper Jar - Bidding 1.0 Ltr/FG/-</v>
      </c>
      <c r="B529" s="147" t="s">
        <v>497</v>
      </c>
      <c r="C529" s="148"/>
      <c r="D529" s="8"/>
      <c r="E529" s="149" t="s">
        <v>921</v>
      </c>
      <c r="F529" s="146" t="s">
        <v>1397</v>
      </c>
      <c r="G529" s="8"/>
      <c r="H529" s="8"/>
      <c r="I529" s="8"/>
    </row>
    <row r="530">
      <c r="A530" s="146" t="str">
        <f t="shared" si="54"/>
        <v>Taper Jar - Patti 1.5 Ltr/CC/-</v>
      </c>
      <c r="B530" s="147" t="s">
        <v>499</v>
      </c>
      <c r="C530" s="148"/>
      <c r="D530" s="8"/>
      <c r="E530" s="149" t="s">
        <v>889</v>
      </c>
      <c r="F530" s="146" t="s">
        <v>1398</v>
      </c>
      <c r="G530" s="8"/>
      <c r="H530" s="8"/>
      <c r="I530" s="8"/>
    </row>
    <row r="531">
      <c r="A531" s="146" t="str">
        <f t="shared" si="54"/>
        <v>Taper Jar - Patti 1.5 Ltr/PR1/-</v>
      </c>
      <c r="B531" s="147" t="s">
        <v>499</v>
      </c>
      <c r="C531" s="148"/>
      <c r="D531" s="8"/>
      <c r="E531" s="149" t="s">
        <v>892</v>
      </c>
      <c r="F531" s="146" t="s">
        <v>1399</v>
      </c>
      <c r="G531" s="8"/>
      <c r="H531" s="8"/>
      <c r="I531" s="8"/>
    </row>
    <row r="532">
      <c r="A532" s="146" t="str">
        <f t="shared" si="54"/>
        <v>Taper Jar - Patti 1.5 Ltr/SD/-</v>
      </c>
      <c r="B532" s="147" t="s">
        <v>499</v>
      </c>
      <c r="C532" s="148"/>
      <c r="D532" s="8"/>
      <c r="E532" s="149" t="s">
        <v>946</v>
      </c>
      <c r="F532" s="146" t="s">
        <v>1400</v>
      </c>
      <c r="G532" s="8"/>
      <c r="H532" s="8"/>
      <c r="I532" s="8"/>
    </row>
    <row r="533">
      <c r="A533" s="146" t="str">
        <f t="shared" si="54"/>
        <v>Taper Jar - Patti 1.5 Ltr/SF/-</v>
      </c>
      <c r="B533" s="147" t="s">
        <v>499</v>
      </c>
      <c r="C533" s="148"/>
      <c r="D533" s="8"/>
      <c r="E533" s="149" t="s">
        <v>948</v>
      </c>
      <c r="F533" s="146" t="s">
        <v>1401</v>
      </c>
      <c r="G533" s="8"/>
      <c r="H533" s="8"/>
      <c r="I533" s="8"/>
    </row>
    <row r="534">
      <c r="A534" s="146" t="str">
        <f t="shared" si="54"/>
        <v>Taper Jar - Patti 1.5 Ltr/CU/-</v>
      </c>
      <c r="B534" s="147" t="s">
        <v>499</v>
      </c>
      <c r="C534" s="148"/>
      <c r="D534" s="8"/>
      <c r="E534" s="149" t="s">
        <v>899</v>
      </c>
      <c r="F534" s="146" t="s">
        <v>1402</v>
      </c>
      <c r="G534" s="8"/>
      <c r="H534" s="8"/>
      <c r="I534" s="8"/>
    </row>
    <row r="535">
      <c r="A535" s="146" t="str">
        <f t="shared" si="54"/>
        <v>Taper Jar - Patti 1.5 Ltr/RF/-</v>
      </c>
      <c r="B535" s="147" t="s">
        <v>499</v>
      </c>
      <c r="C535" s="148"/>
      <c r="D535" s="8"/>
      <c r="E535" s="149" t="s">
        <v>1199</v>
      </c>
      <c r="F535" s="146" t="s">
        <v>1403</v>
      </c>
      <c r="G535" s="8"/>
      <c r="H535" s="8"/>
      <c r="I535" s="8"/>
    </row>
    <row r="536">
      <c r="A536" s="146" t="str">
        <f t="shared" si="54"/>
        <v>Taper Jar - Patti 1.5 Ltr/GB/-</v>
      </c>
      <c r="B536" s="147" t="s">
        <v>499</v>
      </c>
      <c r="C536" s="148"/>
      <c r="D536" s="8"/>
      <c r="E536" s="149" t="s">
        <v>902</v>
      </c>
      <c r="F536" s="146" t="s">
        <v>1404</v>
      </c>
      <c r="G536" s="8"/>
      <c r="H536" s="8"/>
      <c r="I536" s="8"/>
    </row>
    <row r="537">
      <c r="A537" s="146" t="str">
        <f t="shared" si="54"/>
        <v>Taper Jar - Patti 1.5 Ltr/POL/-</v>
      </c>
      <c r="B537" s="147" t="s">
        <v>499</v>
      </c>
      <c r="C537" s="148"/>
      <c r="D537" s="8"/>
      <c r="E537" s="149" t="s">
        <v>908</v>
      </c>
      <c r="F537" s="146" t="s">
        <v>1405</v>
      </c>
      <c r="G537" s="8"/>
      <c r="H537" s="8"/>
      <c r="I537" s="8"/>
    </row>
    <row r="538">
      <c r="A538" s="146" t="str">
        <f t="shared" si="54"/>
        <v>Taper Jar - Patti 1.5 Ltr/CL/-</v>
      </c>
      <c r="B538" s="147" t="s">
        <v>499</v>
      </c>
      <c r="C538" s="148"/>
      <c r="D538" s="8"/>
      <c r="E538" s="149" t="s">
        <v>912</v>
      </c>
      <c r="F538" s="146" t="s">
        <v>1406</v>
      </c>
      <c r="G538" s="8"/>
      <c r="H538" s="8"/>
      <c r="I538" s="8"/>
    </row>
    <row r="539">
      <c r="A539" s="146" t="str">
        <f t="shared" si="54"/>
        <v>Taper Jar - Patti 1.5 Ltr/HH/-</v>
      </c>
      <c r="B539" s="147" t="s">
        <v>499</v>
      </c>
      <c r="C539" s="148"/>
      <c r="D539" s="8"/>
      <c r="E539" s="149" t="s">
        <v>914</v>
      </c>
      <c r="F539" s="146" t="s">
        <v>1407</v>
      </c>
      <c r="G539" s="8"/>
      <c r="H539" s="8"/>
      <c r="I539" s="8"/>
    </row>
    <row r="540">
      <c r="A540" s="146" t="str">
        <f t="shared" si="54"/>
        <v>Taper Jar - Patti 1.5 Ltr/BH/-</v>
      </c>
      <c r="B540" s="147" t="s">
        <v>499</v>
      </c>
      <c r="C540" s="148"/>
      <c r="D540" s="8"/>
      <c r="E540" s="149" t="s">
        <v>916</v>
      </c>
      <c r="F540" s="146" t="s">
        <v>1408</v>
      </c>
      <c r="G540" s="8"/>
      <c r="H540" s="8"/>
      <c r="I540" s="8"/>
    </row>
    <row r="541">
      <c r="A541" s="146" t="str">
        <f t="shared" si="54"/>
        <v>Taper Jar - Patti 1.5 Ltr/FB/-</v>
      </c>
      <c r="B541" s="147" t="s">
        <v>499</v>
      </c>
      <c r="C541" s="148"/>
      <c r="D541" s="8"/>
      <c r="E541" s="149" t="s">
        <v>960</v>
      </c>
      <c r="F541" s="146" t="s">
        <v>1409</v>
      </c>
      <c r="G541" s="8"/>
      <c r="H541" s="8"/>
      <c r="I541" s="8"/>
    </row>
    <row r="542">
      <c r="A542" s="146" t="str">
        <f t="shared" si="54"/>
        <v>Taper Jar - Patti 1.5 Ltr/FC/-</v>
      </c>
      <c r="B542" s="147" t="s">
        <v>499</v>
      </c>
      <c r="C542" s="148"/>
      <c r="D542" s="8"/>
      <c r="E542" s="149" t="s">
        <v>918</v>
      </c>
      <c r="F542" s="146" t="s">
        <v>1410</v>
      </c>
      <c r="G542" s="8"/>
      <c r="H542" s="8"/>
      <c r="I542" s="8"/>
    </row>
    <row r="543">
      <c r="A543" s="146" t="str">
        <f t="shared" si="54"/>
        <v>Taper Jar - Patti 1.5 Ltr/QC/-</v>
      </c>
      <c r="B543" s="147" t="s">
        <v>499</v>
      </c>
      <c r="C543" s="148"/>
      <c r="D543" s="8"/>
      <c r="E543" s="149" t="s">
        <v>629</v>
      </c>
      <c r="F543" s="146" t="s">
        <v>1411</v>
      </c>
      <c r="G543" s="8"/>
      <c r="H543" s="8"/>
      <c r="I543" s="8"/>
    </row>
    <row r="544">
      <c r="A544" s="146" t="str">
        <f t="shared" si="54"/>
        <v>Taper Jar - Patti 1.5 Ltr/FG/-</v>
      </c>
      <c r="B544" s="147" t="s">
        <v>499</v>
      </c>
      <c r="C544" s="148"/>
      <c r="D544" s="8"/>
      <c r="E544" s="149" t="s">
        <v>921</v>
      </c>
      <c r="F544" s="146" t="s">
        <v>1412</v>
      </c>
      <c r="G544" s="8"/>
      <c r="H544" s="8"/>
      <c r="I544" s="8"/>
    </row>
    <row r="545">
      <c r="A545" s="146" t="str">
        <f t="shared" si="54"/>
        <v>Taper Jar - Patti 1.0 Ltr/CC/-</v>
      </c>
      <c r="B545" s="147" t="s">
        <v>501</v>
      </c>
      <c r="C545" s="148"/>
      <c r="D545" s="8"/>
      <c r="E545" s="149" t="s">
        <v>889</v>
      </c>
      <c r="F545" s="146" t="s">
        <v>1413</v>
      </c>
      <c r="G545" s="8"/>
      <c r="H545" s="8"/>
      <c r="I545" s="8"/>
    </row>
    <row r="546">
      <c r="A546" s="146" t="str">
        <f t="shared" si="54"/>
        <v>Taper Jar - Patti 1.0 Ltr/PR1/-</v>
      </c>
      <c r="B546" s="147" t="s">
        <v>501</v>
      </c>
      <c r="C546" s="148"/>
      <c r="D546" s="8"/>
      <c r="E546" s="149" t="s">
        <v>892</v>
      </c>
      <c r="F546" s="146" t="s">
        <v>1414</v>
      </c>
      <c r="G546" s="8"/>
      <c r="H546" s="8"/>
      <c r="I546" s="8"/>
    </row>
    <row r="547">
      <c r="A547" s="146" t="str">
        <f t="shared" si="54"/>
        <v>Taper Jar - Patti 1.0 Ltr/CU/-</v>
      </c>
      <c r="B547" s="147" t="s">
        <v>501</v>
      </c>
      <c r="C547" s="148"/>
      <c r="D547" s="8"/>
      <c r="E547" s="149" t="s">
        <v>899</v>
      </c>
      <c r="F547" s="146" t="s">
        <v>1415</v>
      </c>
      <c r="G547" s="8"/>
      <c r="H547" s="8"/>
      <c r="I547" s="8"/>
    </row>
    <row r="548">
      <c r="A548" s="146" t="str">
        <f t="shared" si="54"/>
        <v>Taper Jar - Patti 1.0 Ltr/RF/-</v>
      </c>
      <c r="B548" s="147" t="s">
        <v>501</v>
      </c>
      <c r="C548" s="148"/>
      <c r="D548" s="8"/>
      <c r="E548" s="149" t="s">
        <v>1199</v>
      </c>
      <c r="F548" s="146" t="s">
        <v>1416</v>
      </c>
      <c r="G548" s="8"/>
      <c r="H548" s="8"/>
      <c r="I548" s="8"/>
    </row>
    <row r="549">
      <c r="A549" s="146" t="str">
        <f t="shared" si="54"/>
        <v>Taper Jar - Patti 1.0 Ltr/GB/-</v>
      </c>
      <c r="B549" s="147" t="s">
        <v>501</v>
      </c>
      <c r="C549" s="148"/>
      <c r="D549" s="8"/>
      <c r="E549" s="149" t="s">
        <v>902</v>
      </c>
      <c r="F549" s="146" t="s">
        <v>1417</v>
      </c>
      <c r="G549" s="8"/>
      <c r="H549" s="8"/>
      <c r="I549" s="8"/>
    </row>
    <row r="550">
      <c r="A550" s="146" t="str">
        <f t="shared" si="54"/>
        <v>Taper Jar - Patti 1.0 Ltr/POL/-</v>
      </c>
      <c r="B550" s="147" t="s">
        <v>501</v>
      </c>
      <c r="C550" s="148"/>
      <c r="D550" s="8"/>
      <c r="E550" s="149" t="s">
        <v>908</v>
      </c>
      <c r="F550" s="146" t="s">
        <v>1418</v>
      </c>
      <c r="G550" s="8"/>
      <c r="H550" s="8"/>
      <c r="I550" s="8"/>
    </row>
    <row r="551">
      <c r="A551" s="146" t="str">
        <f t="shared" si="54"/>
        <v>Taper Jar - Patti 1.0 Ltr/CL/-</v>
      </c>
      <c r="B551" s="147" t="s">
        <v>501</v>
      </c>
      <c r="C551" s="148"/>
      <c r="D551" s="8"/>
      <c r="E551" s="149" t="s">
        <v>912</v>
      </c>
      <c r="F551" s="146" t="s">
        <v>1419</v>
      </c>
      <c r="G551" s="8"/>
      <c r="H551" s="8"/>
      <c r="I551" s="8"/>
    </row>
    <row r="552">
      <c r="A552" s="146" t="str">
        <f t="shared" si="54"/>
        <v>Taper Jar - Patti 1.0 Ltr/HH/-</v>
      </c>
      <c r="B552" s="147" t="s">
        <v>501</v>
      </c>
      <c r="C552" s="148"/>
      <c r="D552" s="8"/>
      <c r="E552" s="149" t="s">
        <v>914</v>
      </c>
      <c r="F552" s="146" t="s">
        <v>1420</v>
      </c>
      <c r="G552" s="8"/>
      <c r="H552" s="8"/>
      <c r="I552" s="8"/>
    </row>
    <row r="553">
      <c r="A553" s="146" t="str">
        <f t="shared" si="54"/>
        <v>Taper Jar - Patti 1.0 Ltr/BH/-</v>
      </c>
      <c r="B553" s="147" t="s">
        <v>501</v>
      </c>
      <c r="C553" s="148"/>
      <c r="D553" s="8"/>
      <c r="E553" s="149" t="s">
        <v>916</v>
      </c>
      <c r="F553" s="146" t="s">
        <v>1421</v>
      </c>
      <c r="G553" s="8"/>
      <c r="H553" s="8"/>
      <c r="I553" s="8"/>
    </row>
    <row r="554">
      <c r="A554" s="146" t="str">
        <f t="shared" si="54"/>
        <v>Taper Jar - Patti 1.0 Ltr/FB/-</v>
      </c>
      <c r="B554" s="147" t="s">
        <v>501</v>
      </c>
      <c r="C554" s="148"/>
      <c r="D554" s="8"/>
      <c r="E554" s="149" t="s">
        <v>960</v>
      </c>
      <c r="F554" s="146" t="s">
        <v>1422</v>
      </c>
      <c r="G554" s="8"/>
      <c r="H554" s="8"/>
      <c r="I554" s="8"/>
    </row>
    <row r="555">
      <c r="A555" s="146" t="str">
        <f t="shared" si="54"/>
        <v>Taper Jar - Patti 1.0 Ltr/FC/-</v>
      </c>
      <c r="B555" s="147" t="s">
        <v>501</v>
      </c>
      <c r="C555" s="148"/>
      <c r="D555" s="8"/>
      <c r="E555" s="149" t="s">
        <v>918</v>
      </c>
      <c r="F555" s="146" t="s">
        <v>1423</v>
      </c>
      <c r="G555" s="8"/>
      <c r="H555" s="8"/>
      <c r="I555" s="8"/>
    </row>
    <row r="556">
      <c r="A556" s="146" t="str">
        <f t="shared" si="54"/>
        <v>Taper Jar - Patti 1.0 Ltr/QC/-</v>
      </c>
      <c r="B556" s="147" t="s">
        <v>501</v>
      </c>
      <c r="C556" s="148"/>
      <c r="D556" s="8"/>
      <c r="E556" s="149" t="s">
        <v>629</v>
      </c>
      <c r="F556" s="146" t="s">
        <v>1424</v>
      </c>
      <c r="G556" s="8"/>
      <c r="H556" s="8"/>
      <c r="I556" s="8"/>
    </row>
    <row r="557">
      <c r="A557" s="146" t="str">
        <f t="shared" si="54"/>
        <v>Taper Jar - Patti 1.0 Ltr/FG/-</v>
      </c>
      <c r="B557" s="147" t="s">
        <v>501</v>
      </c>
      <c r="C557" s="148"/>
      <c r="D557" s="8"/>
      <c r="E557" s="149" t="s">
        <v>921</v>
      </c>
      <c r="F557" s="146" t="s">
        <v>1425</v>
      </c>
      <c r="G557" s="8"/>
      <c r="H557" s="8"/>
      <c r="I557" s="8"/>
    </row>
    <row r="558">
      <c r="A558" s="146" t="str">
        <f t="shared" si="54"/>
        <v>Taper Jar - Patti 0.750 Ltr/CC/-</v>
      </c>
      <c r="B558" s="147" t="s">
        <v>503</v>
      </c>
      <c r="C558" s="148"/>
      <c r="D558" s="8"/>
      <c r="E558" s="149" t="s">
        <v>889</v>
      </c>
      <c r="F558" s="146" t="s">
        <v>1426</v>
      </c>
      <c r="G558" s="8"/>
      <c r="H558" s="8"/>
      <c r="I558" s="8"/>
    </row>
    <row r="559">
      <c r="A559" s="146" t="str">
        <f t="shared" si="54"/>
        <v>Taper Jar - Patti 0.750 Ltr/PR1/-</v>
      </c>
      <c r="B559" s="147" t="s">
        <v>503</v>
      </c>
      <c r="C559" s="148"/>
      <c r="D559" s="8"/>
      <c r="E559" s="149" t="s">
        <v>892</v>
      </c>
      <c r="F559" s="146" t="s">
        <v>1427</v>
      </c>
      <c r="G559" s="8"/>
      <c r="H559" s="8"/>
      <c r="I559" s="8"/>
    </row>
    <row r="560">
      <c r="A560" s="146" t="str">
        <f t="shared" si="54"/>
        <v>Taper Jar - Patti 0.750 Ltr/SX/-</v>
      </c>
      <c r="B560" s="147" t="s">
        <v>503</v>
      </c>
      <c r="C560" s="148"/>
      <c r="D560" s="8"/>
      <c r="E560" s="149" t="s">
        <v>896</v>
      </c>
      <c r="F560" s="146" t="s">
        <v>1428</v>
      </c>
      <c r="G560" s="8"/>
      <c r="H560" s="8"/>
      <c r="I560" s="8"/>
    </row>
    <row r="561">
      <c r="A561" s="146" t="str">
        <f t="shared" si="54"/>
        <v>Taper Jar - Patti 0.750 Ltr/CU/-</v>
      </c>
      <c r="B561" s="147" t="s">
        <v>503</v>
      </c>
      <c r="C561" s="148"/>
      <c r="D561" s="8"/>
      <c r="E561" s="149" t="s">
        <v>899</v>
      </c>
      <c r="F561" s="146" t="s">
        <v>1429</v>
      </c>
      <c r="G561" s="8"/>
      <c r="H561" s="8"/>
      <c r="I561" s="8"/>
    </row>
    <row r="562">
      <c r="A562" s="146" t="str">
        <f t="shared" si="54"/>
        <v>Taper Jar - Patti 0.750 Ltr/RF/-</v>
      </c>
      <c r="B562" s="147" t="s">
        <v>503</v>
      </c>
      <c r="C562" s="148"/>
      <c r="D562" s="8"/>
      <c r="E562" s="149" t="s">
        <v>1199</v>
      </c>
      <c r="F562" s="146" t="s">
        <v>1430</v>
      </c>
      <c r="G562" s="8"/>
      <c r="H562" s="8"/>
      <c r="I562" s="8"/>
    </row>
    <row r="563">
      <c r="A563" s="146" t="str">
        <f t="shared" si="54"/>
        <v>Taper Jar - Patti 0.750 Ltr/GB/-</v>
      </c>
      <c r="B563" s="147" t="s">
        <v>503</v>
      </c>
      <c r="C563" s="148"/>
      <c r="D563" s="8"/>
      <c r="E563" s="149" t="s">
        <v>902</v>
      </c>
      <c r="F563" s="146" t="s">
        <v>1431</v>
      </c>
      <c r="G563" s="8"/>
      <c r="H563" s="8"/>
      <c r="I563" s="8"/>
    </row>
    <row r="564">
      <c r="A564" s="146" t="str">
        <f t="shared" si="54"/>
        <v>Taper Jar - Patti 0.750 Ltr/POL/-</v>
      </c>
      <c r="B564" s="147" t="s">
        <v>503</v>
      </c>
      <c r="C564" s="148"/>
      <c r="D564" s="8"/>
      <c r="E564" s="149" t="s">
        <v>908</v>
      </c>
      <c r="F564" s="146" t="s">
        <v>1432</v>
      </c>
      <c r="G564" s="8"/>
      <c r="H564" s="8"/>
      <c r="I564" s="8"/>
    </row>
    <row r="565">
      <c r="A565" s="146" t="str">
        <f t="shared" si="54"/>
        <v>Taper Jar - Patti 0.750 Ltr/CL/-</v>
      </c>
      <c r="B565" s="147" t="s">
        <v>503</v>
      </c>
      <c r="C565" s="148"/>
      <c r="D565" s="8"/>
      <c r="E565" s="149" t="s">
        <v>912</v>
      </c>
      <c r="F565" s="146" t="s">
        <v>1433</v>
      </c>
      <c r="G565" s="8"/>
      <c r="H565" s="8"/>
      <c r="I565" s="8"/>
    </row>
    <row r="566">
      <c r="A566" s="146" t="str">
        <f t="shared" si="54"/>
        <v>Taper Jar - Patti 0.750 Ltr/HH/-</v>
      </c>
      <c r="B566" s="147" t="s">
        <v>503</v>
      </c>
      <c r="C566" s="148"/>
      <c r="D566" s="8"/>
      <c r="E566" s="149" t="s">
        <v>914</v>
      </c>
      <c r="F566" s="146" t="s">
        <v>1434</v>
      </c>
      <c r="G566" s="8"/>
      <c r="H566" s="8"/>
      <c r="I566" s="8"/>
    </row>
    <row r="567">
      <c r="A567" s="146" t="str">
        <f t="shared" si="54"/>
        <v>Taper Jar - Patti 0.750 Ltr/BH/-</v>
      </c>
      <c r="B567" s="147" t="s">
        <v>503</v>
      </c>
      <c r="C567" s="148"/>
      <c r="D567" s="8"/>
      <c r="E567" s="149" t="s">
        <v>916</v>
      </c>
      <c r="F567" s="146" t="s">
        <v>1435</v>
      </c>
      <c r="G567" s="8"/>
      <c r="H567" s="8"/>
      <c r="I567" s="8"/>
    </row>
    <row r="568">
      <c r="A568" s="146" t="str">
        <f t="shared" si="54"/>
        <v>Taper Jar - Patti 0.750 Ltr/FB/-</v>
      </c>
      <c r="B568" s="147" t="s">
        <v>503</v>
      </c>
      <c r="C568" s="148"/>
      <c r="D568" s="8"/>
      <c r="E568" s="149" t="s">
        <v>960</v>
      </c>
      <c r="F568" s="146" t="s">
        <v>1436</v>
      </c>
      <c r="G568" s="8"/>
      <c r="H568" s="8"/>
      <c r="I568" s="8"/>
    </row>
    <row r="569">
      <c r="A569" s="146" t="str">
        <f t="shared" si="54"/>
        <v>Taper Jar - Patti 0.750 Ltr/FC/-</v>
      </c>
      <c r="B569" s="147" t="s">
        <v>503</v>
      </c>
      <c r="C569" s="148"/>
      <c r="D569" s="8"/>
      <c r="E569" s="149" t="s">
        <v>918</v>
      </c>
      <c r="F569" s="146" t="s">
        <v>1437</v>
      </c>
      <c r="G569" s="8"/>
      <c r="H569" s="8"/>
      <c r="I569" s="8"/>
    </row>
    <row r="570">
      <c r="A570" s="146" t="str">
        <f t="shared" si="54"/>
        <v>Taper Jar - Patti 0.750 Ltr/QC/-</v>
      </c>
      <c r="B570" s="147" t="s">
        <v>503</v>
      </c>
      <c r="C570" s="148"/>
      <c r="D570" s="8"/>
      <c r="E570" s="149" t="s">
        <v>629</v>
      </c>
      <c r="F570" s="146" t="s">
        <v>1438</v>
      </c>
      <c r="G570" s="8"/>
      <c r="H570" s="8"/>
      <c r="I570" s="8"/>
    </row>
    <row r="571">
      <c r="A571" s="146" t="str">
        <f t="shared" si="54"/>
        <v>Taper Jar - Patti 0.750 Ltr/FG/-</v>
      </c>
      <c r="B571" s="147" t="s">
        <v>503</v>
      </c>
      <c r="C571" s="148"/>
      <c r="D571" s="8"/>
      <c r="E571" s="149" t="s">
        <v>921</v>
      </c>
      <c r="F571" s="146" t="s">
        <v>1439</v>
      </c>
      <c r="G571" s="8"/>
      <c r="H571" s="8"/>
      <c r="I571" s="8"/>
    </row>
    <row r="572">
      <c r="A572" s="146" t="str">
        <f t="shared" si="54"/>
        <v>//-</v>
      </c>
      <c r="B572" s="152"/>
      <c r="C572" s="148"/>
      <c r="D572" s="8"/>
      <c r="E572" s="146"/>
      <c r="F572" s="146"/>
      <c r="G572" s="8"/>
      <c r="H572" s="8"/>
      <c r="I572" s="8"/>
    </row>
    <row r="573">
      <c r="A573" s="146" t="str">
        <f t="shared" si="54"/>
        <v>//-</v>
      </c>
      <c r="B573" s="152"/>
      <c r="C573" s="148"/>
      <c r="D573" s="8"/>
      <c r="E573" s="146"/>
      <c r="F573" s="146"/>
      <c r="G573" s="8"/>
      <c r="H573" s="8"/>
      <c r="I573" s="8"/>
    </row>
    <row r="574">
      <c r="A574" s="146" t="str">
        <f t="shared" si="54"/>
        <v>//-</v>
      </c>
      <c r="B574" s="152"/>
      <c r="C574" s="148"/>
      <c r="D574" s="8"/>
      <c r="E574" s="146"/>
      <c r="F574" s="146"/>
      <c r="G574" s="8"/>
      <c r="H574" s="8"/>
      <c r="I574" s="8"/>
    </row>
    <row r="575">
      <c r="A575" s="146" t="str">
        <f t="shared" si="54"/>
        <v>//-</v>
      </c>
      <c r="B575" s="152"/>
      <c r="C575" s="148"/>
      <c r="D575" s="8"/>
      <c r="E575" s="146"/>
      <c r="F575" s="146"/>
      <c r="G575" s="8"/>
      <c r="H575" s="8"/>
      <c r="I575" s="8"/>
    </row>
    <row r="576">
      <c r="A576" s="146" t="str">
        <f t="shared" si="54"/>
        <v>//-</v>
      </c>
      <c r="B576" s="152"/>
      <c r="C576" s="148"/>
      <c r="D576" s="8"/>
      <c r="E576" s="146"/>
      <c r="F576" s="146"/>
      <c r="G576" s="8"/>
      <c r="H576" s="8"/>
      <c r="I576" s="8"/>
    </row>
    <row r="577">
      <c r="A577" s="146" t="str">
        <f t="shared" si="54"/>
        <v>//-</v>
      </c>
      <c r="B577" s="152"/>
      <c r="C577" s="148"/>
      <c r="D577" s="8"/>
      <c r="E577" s="146"/>
      <c r="F577" s="146"/>
      <c r="G577" s="8"/>
      <c r="H577" s="8"/>
      <c r="I577" s="8"/>
    </row>
    <row r="578">
      <c r="A578" s="146" t="str">
        <f t="shared" si="54"/>
        <v>//-</v>
      </c>
      <c r="B578" s="152"/>
      <c r="C578" s="148"/>
      <c r="D578" s="8"/>
      <c r="E578" s="146"/>
      <c r="F578" s="146"/>
      <c r="G578" s="8"/>
      <c r="H578" s="8"/>
      <c r="I578" s="8"/>
    </row>
    <row r="579">
      <c r="A579" s="146" t="str">
        <f t="shared" si="54"/>
        <v>//-</v>
      </c>
      <c r="B579" s="152"/>
      <c r="C579" s="148"/>
      <c r="D579" s="8"/>
      <c r="E579" s="146"/>
      <c r="F579" s="146"/>
      <c r="G579" s="8"/>
      <c r="H579" s="8"/>
      <c r="I579" s="8"/>
    </row>
    <row r="580">
      <c r="A580" s="146" t="str">
        <f t="shared" si="54"/>
        <v>//-</v>
      </c>
      <c r="B580" s="152"/>
      <c r="C580" s="148"/>
      <c r="D580" s="8"/>
      <c r="E580" s="146"/>
      <c r="F580" s="146"/>
      <c r="G580" s="8"/>
      <c r="H580" s="8"/>
      <c r="I580" s="8"/>
    </row>
    <row r="581">
      <c r="A581" s="146" t="str">
        <f t="shared" si="54"/>
        <v>//-</v>
      </c>
      <c r="B581" s="152"/>
      <c r="C581" s="148"/>
      <c r="D581" s="8"/>
      <c r="E581" s="146"/>
      <c r="F581" s="146"/>
      <c r="G581" s="8"/>
      <c r="H581" s="8"/>
      <c r="I581" s="8"/>
    </row>
    <row r="582">
      <c r="A582" s="146" t="str">
        <f t="shared" si="54"/>
        <v>//-</v>
      </c>
      <c r="B582" s="152"/>
      <c r="C582" s="148"/>
      <c r="D582" s="8"/>
      <c r="E582" s="146"/>
      <c r="F582" s="146"/>
      <c r="G582" s="8"/>
      <c r="H582" s="8"/>
      <c r="I582" s="8"/>
    </row>
    <row r="583">
      <c r="A583" s="146" t="str">
        <f t="shared" si="54"/>
        <v>//-</v>
      </c>
      <c r="B583" s="152"/>
      <c r="C583" s="148"/>
      <c r="D583" s="8"/>
      <c r="E583" s="146"/>
      <c r="F583" s="146"/>
      <c r="G583" s="8"/>
      <c r="H583" s="8"/>
      <c r="I583" s="8"/>
    </row>
    <row r="584">
      <c r="A584" s="146" t="str">
        <f t="shared" si="54"/>
        <v>//-</v>
      </c>
      <c r="B584" s="152"/>
      <c r="C584" s="148"/>
      <c r="D584" s="8"/>
      <c r="E584" s="146"/>
      <c r="F584" s="146"/>
      <c r="G584" s="8"/>
      <c r="H584" s="8"/>
      <c r="I584" s="8"/>
    </row>
    <row r="585">
      <c r="A585" s="146" t="str">
        <f t="shared" si="54"/>
        <v>//-</v>
      </c>
      <c r="B585" s="152"/>
      <c r="C585" s="148"/>
      <c r="D585" s="8"/>
      <c r="E585" s="146"/>
      <c r="F585" s="146"/>
      <c r="G585" s="8"/>
      <c r="H585" s="8"/>
      <c r="I585" s="8"/>
    </row>
    <row r="586">
      <c r="A586" s="146" t="str">
        <f t="shared" si="54"/>
        <v>//-</v>
      </c>
      <c r="B586" s="152"/>
      <c r="C586" s="148"/>
      <c r="D586" s="8"/>
      <c r="E586" s="146"/>
      <c r="F586" s="146"/>
      <c r="G586" s="8"/>
      <c r="H586" s="8"/>
      <c r="I586" s="8"/>
    </row>
    <row r="587">
      <c r="A587" s="146" t="str">
        <f t="shared" si="54"/>
        <v>//-</v>
      </c>
      <c r="B587" s="152"/>
      <c r="C587" s="148"/>
      <c r="D587" s="8"/>
      <c r="E587" s="146"/>
      <c r="F587" s="146"/>
      <c r="G587" s="8"/>
      <c r="H587" s="8"/>
      <c r="I587" s="8"/>
    </row>
    <row r="588">
      <c r="A588" s="146" t="str">
        <f t="shared" si="54"/>
        <v>//-</v>
      </c>
      <c r="B588" s="152"/>
      <c r="C588" s="148"/>
      <c r="D588" s="8"/>
      <c r="E588" s="146"/>
      <c r="F588" s="146"/>
      <c r="G588" s="8"/>
      <c r="H588" s="8"/>
      <c r="I588" s="8"/>
    </row>
    <row r="589">
      <c r="A589" s="146" t="str">
        <f t="shared" si="54"/>
        <v>//-</v>
      </c>
      <c r="B589" s="152"/>
      <c r="C589" s="148"/>
      <c r="D589" s="8"/>
      <c r="E589" s="146"/>
      <c r="F589" s="146"/>
      <c r="G589" s="8"/>
      <c r="H589" s="8"/>
      <c r="I589" s="8"/>
    </row>
    <row r="590">
      <c r="A590" s="146" t="str">
        <f t="shared" si="54"/>
        <v>//-</v>
      </c>
      <c r="B590" s="152"/>
      <c r="C590" s="148"/>
      <c r="D590" s="8"/>
      <c r="E590" s="146"/>
      <c r="F590" s="146"/>
      <c r="G590" s="8"/>
      <c r="H590" s="8"/>
      <c r="I590" s="8"/>
    </row>
    <row r="591">
      <c r="A591" s="146" t="str">
        <f t="shared" si="54"/>
        <v>//-</v>
      </c>
      <c r="B591" s="152"/>
      <c r="C591" s="148"/>
      <c r="D591" s="8"/>
      <c r="E591" s="146"/>
      <c r="F591" s="146"/>
      <c r="G591" s="8"/>
      <c r="H591" s="8"/>
      <c r="I591" s="8"/>
    </row>
    <row r="592">
      <c r="A592" s="146" t="str">
        <f t="shared" si="54"/>
        <v>//-</v>
      </c>
      <c r="B592" s="152"/>
      <c r="C592" s="148"/>
      <c r="D592" s="8"/>
      <c r="E592" s="146"/>
      <c r="F592" s="146"/>
      <c r="G592" s="8"/>
      <c r="H592" s="8"/>
      <c r="I592" s="8"/>
    </row>
    <row r="593">
      <c r="A593" s="146" t="str">
        <f t="shared" si="54"/>
        <v>//-</v>
      </c>
      <c r="B593" s="152"/>
      <c r="C593" s="148"/>
      <c r="D593" s="8"/>
      <c r="E593" s="146"/>
      <c r="F593" s="146"/>
      <c r="G593" s="8"/>
      <c r="H593" s="8"/>
      <c r="I593" s="8"/>
    </row>
    <row r="594">
      <c r="A594" s="146" t="str">
        <f t="shared" si="54"/>
        <v>//-</v>
      </c>
      <c r="B594" s="152"/>
      <c r="C594" s="148"/>
      <c r="D594" s="8"/>
      <c r="E594" s="146"/>
      <c r="F594" s="146"/>
      <c r="G594" s="8"/>
      <c r="H594" s="8"/>
      <c r="I594" s="8"/>
    </row>
    <row r="595">
      <c r="A595" s="146" t="str">
        <f t="shared" si="54"/>
        <v>//-</v>
      </c>
      <c r="B595" s="152"/>
      <c r="C595" s="148"/>
      <c r="D595" s="8"/>
      <c r="E595" s="146"/>
      <c r="F595" s="146"/>
      <c r="G595" s="8"/>
      <c r="H595" s="8"/>
      <c r="I595" s="8"/>
    </row>
    <row r="596">
      <c r="A596" s="146" t="str">
        <f t="shared" si="54"/>
        <v>//-</v>
      </c>
      <c r="B596" s="152"/>
      <c r="C596" s="148"/>
      <c r="D596" s="8"/>
      <c r="E596" s="146"/>
      <c r="F596" s="146"/>
      <c r="G596" s="8"/>
      <c r="H596" s="8"/>
      <c r="I596" s="8"/>
    </row>
    <row r="597">
      <c r="A597" s="146" t="str">
        <f t="shared" si="54"/>
        <v>//-</v>
      </c>
      <c r="B597" s="152"/>
      <c r="C597" s="148"/>
      <c r="D597" s="8"/>
      <c r="E597" s="146"/>
      <c r="F597" s="146"/>
      <c r="G597" s="8"/>
      <c r="H597" s="8"/>
      <c r="I597" s="8"/>
    </row>
    <row r="598">
      <c r="A598" s="146" t="str">
        <f t="shared" si="54"/>
        <v>//-</v>
      </c>
      <c r="B598" s="152"/>
      <c r="C598" s="148"/>
      <c r="D598" s="8"/>
      <c r="E598" s="146"/>
      <c r="F598" s="146"/>
      <c r="G598" s="8"/>
      <c r="H598" s="8"/>
      <c r="I598" s="8"/>
    </row>
    <row r="599">
      <c r="A599" s="146" t="str">
        <f t="shared" si="54"/>
        <v>//-</v>
      </c>
      <c r="B599" s="152"/>
      <c r="C599" s="148"/>
      <c r="D599" s="8"/>
      <c r="E599" s="146"/>
      <c r="F599" s="146"/>
      <c r="G599" s="8"/>
      <c r="H599" s="8"/>
      <c r="I599" s="8"/>
    </row>
    <row r="600">
      <c r="A600" s="146" t="str">
        <f t="shared" si="54"/>
        <v>//-</v>
      </c>
      <c r="B600" s="152"/>
      <c r="C600" s="148"/>
      <c r="D600" s="8"/>
      <c r="E600" s="146"/>
      <c r="F600" s="146"/>
      <c r="G600" s="8"/>
      <c r="H600" s="8"/>
      <c r="I600" s="8"/>
    </row>
    <row r="601">
      <c r="A601" s="146" t="str">
        <f t="shared" si="54"/>
        <v>//-</v>
      </c>
      <c r="B601" s="152"/>
      <c r="C601" s="148"/>
      <c r="D601" s="8"/>
      <c r="E601" s="146"/>
      <c r="F601" s="146"/>
      <c r="G601" s="8"/>
      <c r="H601" s="8"/>
      <c r="I601" s="8"/>
    </row>
    <row r="602">
      <c r="A602" s="146" t="str">
        <f t="shared" si="54"/>
        <v>//-</v>
      </c>
      <c r="B602" s="152"/>
      <c r="C602" s="148"/>
      <c r="D602" s="8"/>
      <c r="E602" s="146"/>
      <c r="F602" s="146"/>
      <c r="G602" s="8"/>
      <c r="H602" s="8"/>
      <c r="I602" s="8"/>
    </row>
    <row r="603">
      <c r="A603" s="146" t="str">
        <f t="shared" si="54"/>
        <v>//-</v>
      </c>
      <c r="B603" s="152"/>
      <c r="C603" s="148"/>
      <c r="D603" s="8"/>
      <c r="E603" s="146"/>
      <c r="F603" s="146"/>
      <c r="G603" s="8"/>
      <c r="H603" s="8"/>
      <c r="I603" s="8"/>
    </row>
    <row r="604">
      <c r="A604" s="146" t="str">
        <f t="shared" si="54"/>
        <v>//-</v>
      </c>
      <c r="B604" s="152"/>
      <c r="C604" s="148"/>
      <c r="D604" s="8"/>
      <c r="E604" s="146"/>
      <c r="F604" s="146"/>
      <c r="G604" s="8"/>
      <c r="H604" s="8"/>
      <c r="I604" s="8"/>
    </row>
    <row r="605">
      <c r="A605" s="146" t="str">
        <f t="shared" si="54"/>
        <v>//-</v>
      </c>
      <c r="B605" s="152"/>
      <c r="C605" s="148"/>
      <c r="D605" s="8"/>
      <c r="E605" s="146"/>
      <c r="F605" s="146"/>
      <c r="G605" s="8"/>
      <c r="H605" s="8"/>
      <c r="I605" s="8"/>
    </row>
    <row r="606">
      <c r="A606" s="146" t="str">
        <f t="shared" si="54"/>
        <v>//-</v>
      </c>
      <c r="B606" s="152"/>
      <c r="C606" s="148"/>
      <c r="D606" s="8"/>
      <c r="E606" s="146"/>
      <c r="F606" s="146"/>
      <c r="G606" s="8"/>
      <c r="H606" s="8"/>
      <c r="I606" s="8"/>
    </row>
    <row r="607">
      <c r="A607" s="146" t="str">
        <f t="shared" si="54"/>
        <v>//-</v>
      </c>
      <c r="B607" s="152"/>
      <c r="C607" s="148"/>
      <c r="D607" s="8"/>
      <c r="E607" s="146"/>
      <c r="F607" s="146"/>
      <c r="G607" s="8"/>
      <c r="H607" s="8"/>
      <c r="I607" s="8"/>
    </row>
    <row r="608">
      <c r="A608" s="146" t="str">
        <f t="shared" si="54"/>
        <v>//-</v>
      </c>
      <c r="B608" s="152"/>
      <c r="C608" s="148"/>
      <c r="D608" s="8"/>
      <c r="E608" s="146"/>
      <c r="F608" s="146"/>
      <c r="G608" s="8"/>
      <c r="H608" s="8"/>
      <c r="I608" s="8"/>
    </row>
    <row r="609">
      <c r="A609" s="146" t="str">
        <f t="shared" si="54"/>
        <v>//-</v>
      </c>
      <c r="B609" s="152"/>
      <c r="C609" s="148"/>
      <c r="D609" s="8"/>
      <c r="E609" s="146"/>
      <c r="F609" s="146"/>
      <c r="G609" s="8"/>
      <c r="H609" s="8"/>
      <c r="I609" s="8"/>
    </row>
    <row r="610">
      <c r="A610" s="146" t="str">
        <f t="shared" si="54"/>
        <v>//-</v>
      </c>
      <c r="B610" s="152"/>
      <c r="C610" s="148"/>
      <c r="D610" s="8"/>
      <c r="E610" s="146"/>
      <c r="F610" s="146"/>
      <c r="G610" s="8"/>
      <c r="H610" s="8"/>
      <c r="I610" s="8"/>
    </row>
    <row r="611">
      <c r="A611" s="146" t="str">
        <f t="shared" si="54"/>
        <v>//-</v>
      </c>
      <c r="B611" s="152"/>
      <c r="C611" s="148"/>
      <c r="D611" s="8"/>
      <c r="E611" s="146"/>
      <c r="F611" s="146"/>
      <c r="G611" s="8"/>
      <c r="H611" s="8"/>
      <c r="I611" s="8"/>
    </row>
    <row r="612">
      <c r="A612" s="146" t="str">
        <f t="shared" si="54"/>
        <v>//-</v>
      </c>
      <c r="B612" s="152"/>
      <c r="C612" s="148"/>
      <c r="D612" s="8"/>
      <c r="E612" s="146"/>
      <c r="F612" s="146"/>
      <c r="G612" s="8"/>
      <c r="H612" s="8"/>
      <c r="I612" s="8"/>
    </row>
    <row r="613">
      <c r="A613" s="146" t="str">
        <f t="shared" si="54"/>
        <v>//-</v>
      </c>
      <c r="B613" s="152"/>
      <c r="C613" s="148"/>
      <c r="D613" s="8"/>
      <c r="E613" s="146"/>
      <c r="F613" s="146"/>
      <c r="G613" s="8"/>
      <c r="H613" s="8"/>
      <c r="I613" s="8"/>
    </row>
    <row r="614">
      <c r="A614" s="146" t="str">
        <f t="shared" si="54"/>
        <v>//-</v>
      </c>
      <c r="B614" s="152"/>
      <c r="C614" s="148"/>
      <c r="D614" s="8"/>
      <c r="E614" s="146"/>
      <c r="F614" s="146"/>
      <c r="G614" s="8"/>
      <c r="H614" s="8"/>
      <c r="I614" s="8"/>
    </row>
    <row r="615">
      <c r="A615" s="146" t="str">
        <f t="shared" si="54"/>
        <v>//-</v>
      </c>
      <c r="B615" s="152"/>
      <c r="C615" s="148"/>
      <c r="D615" s="8"/>
      <c r="E615" s="146"/>
      <c r="F615" s="146"/>
      <c r="G615" s="8"/>
      <c r="H615" s="8"/>
      <c r="I615" s="8"/>
    </row>
    <row r="616">
      <c r="A616" s="146" t="str">
        <f t="shared" si="54"/>
        <v>//-</v>
      </c>
      <c r="B616" s="152"/>
      <c r="C616" s="148"/>
      <c r="D616" s="8"/>
      <c r="E616" s="146"/>
      <c r="F616" s="146"/>
      <c r="G616" s="8"/>
      <c r="H616" s="8"/>
      <c r="I616" s="8"/>
    </row>
    <row r="617">
      <c r="A617" s="146" t="str">
        <f t="shared" si="54"/>
        <v>//-</v>
      </c>
      <c r="B617" s="152"/>
      <c r="C617" s="148"/>
      <c r="D617" s="8"/>
      <c r="E617" s="146"/>
      <c r="F617" s="146"/>
      <c r="G617" s="8"/>
      <c r="H617" s="8"/>
      <c r="I617" s="8"/>
    </row>
    <row r="618">
      <c r="A618" s="146" t="str">
        <f t="shared" si="54"/>
        <v>//-</v>
      </c>
      <c r="B618" s="152"/>
      <c r="C618" s="148"/>
      <c r="D618" s="8"/>
      <c r="E618" s="146"/>
      <c r="F618" s="146"/>
      <c r="G618" s="8"/>
      <c r="H618" s="8"/>
      <c r="I618" s="8"/>
    </row>
    <row r="619">
      <c r="A619" s="146" t="str">
        <f t="shared" si="54"/>
        <v>//-</v>
      </c>
      <c r="B619" s="152"/>
      <c r="C619" s="148"/>
      <c r="D619" s="8"/>
      <c r="E619" s="146"/>
      <c r="F619" s="146"/>
      <c r="G619" s="8"/>
      <c r="H619" s="8"/>
      <c r="I619" s="8"/>
    </row>
    <row r="620">
      <c r="A620" s="146" t="str">
        <f t="shared" si="54"/>
        <v>//-</v>
      </c>
      <c r="B620" s="152"/>
      <c r="C620" s="148"/>
      <c r="D620" s="8"/>
      <c r="E620" s="146"/>
      <c r="F620" s="146"/>
      <c r="G620" s="8"/>
      <c r="H620" s="8"/>
      <c r="I620" s="8"/>
    </row>
    <row r="621">
      <c r="A621" s="146" t="str">
        <f t="shared" si="54"/>
        <v>//-</v>
      </c>
      <c r="B621" s="152"/>
      <c r="C621" s="148"/>
      <c r="D621" s="8"/>
      <c r="E621" s="146"/>
      <c r="F621" s="146"/>
      <c r="G621" s="8"/>
      <c r="H621" s="8"/>
      <c r="I621" s="8"/>
    </row>
    <row r="622">
      <c r="A622" s="146" t="str">
        <f t="shared" si="54"/>
        <v>//-</v>
      </c>
      <c r="B622" s="152"/>
      <c r="C622" s="148"/>
      <c r="D622" s="8"/>
      <c r="E622" s="146"/>
      <c r="F622" s="146"/>
      <c r="G622" s="8"/>
      <c r="H622" s="8"/>
      <c r="I622" s="8"/>
    </row>
    <row r="623">
      <c r="A623" s="146" t="str">
        <f t="shared" si="54"/>
        <v>//-</v>
      </c>
      <c r="B623" s="152"/>
      <c r="C623" s="148"/>
      <c r="D623" s="8"/>
      <c r="E623" s="146"/>
      <c r="F623" s="146"/>
      <c r="G623" s="8"/>
      <c r="H623" s="8"/>
      <c r="I623" s="8"/>
    </row>
    <row r="624">
      <c r="A624" s="146" t="str">
        <f t="shared" si="54"/>
        <v>//-</v>
      </c>
      <c r="B624" s="152"/>
      <c r="C624" s="148"/>
      <c r="D624" s="8"/>
      <c r="E624" s="146"/>
      <c r="F624" s="146"/>
      <c r="G624" s="8"/>
      <c r="H624" s="8"/>
      <c r="I624" s="8"/>
    </row>
    <row r="625">
      <c r="A625" s="146" t="str">
        <f t="shared" si="54"/>
        <v>//-</v>
      </c>
      <c r="B625" s="152"/>
      <c r="C625" s="148"/>
      <c r="D625" s="8"/>
      <c r="E625" s="146"/>
      <c r="F625" s="146"/>
      <c r="G625" s="8"/>
      <c r="H625" s="8"/>
      <c r="I625" s="8"/>
    </row>
    <row r="626">
      <c r="A626" s="146" t="str">
        <f t="shared" si="54"/>
        <v>//-</v>
      </c>
      <c r="B626" s="152"/>
      <c r="C626" s="148"/>
      <c r="D626" s="8"/>
      <c r="E626" s="146"/>
      <c r="F626" s="146"/>
      <c r="G626" s="8"/>
      <c r="H626" s="8"/>
      <c r="I626" s="8"/>
    </row>
    <row r="627">
      <c r="A627" s="146" t="str">
        <f t="shared" si="54"/>
        <v>//-</v>
      </c>
      <c r="B627" s="152"/>
      <c r="C627" s="148"/>
      <c r="D627" s="8"/>
      <c r="E627" s="146"/>
      <c r="F627" s="146"/>
      <c r="G627" s="8"/>
      <c r="H627" s="8"/>
      <c r="I627" s="8"/>
    </row>
    <row r="628">
      <c r="A628" s="146" t="str">
        <f t="shared" si="54"/>
        <v>//-</v>
      </c>
      <c r="B628" s="152"/>
      <c r="C628" s="148"/>
      <c r="D628" s="8"/>
      <c r="E628" s="146"/>
      <c r="F628" s="146"/>
      <c r="G628" s="8"/>
      <c r="H628" s="8"/>
      <c r="I628" s="8"/>
    </row>
    <row r="629">
      <c r="A629" s="146" t="str">
        <f t="shared" si="54"/>
        <v>//-</v>
      </c>
      <c r="B629" s="152"/>
      <c r="C629" s="148"/>
      <c r="D629" s="8"/>
      <c r="E629" s="146"/>
      <c r="F629" s="146"/>
      <c r="G629" s="8"/>
      <c r="H629" s="8"/>
      <c r="I629" s="8"/>
    </row>
    <row r="630">
      <c r="A630" s="146" t="str">
        <f t="shared" si="54"/>
        <v>//-</v>
      </c>
      <c r="B630" s="152"/>
      <c r="C630" s="148"/>
      <c r="D630" s="8"/>
      <c r="E630" s="146"/>
      <c r="F630" s="146"/>
      <c r="G630" s="8"/>
      <c r="H630" s="8"/>
      <c r="I630" s="8"/>
    </row>
    <row r="631">
      <c r="A631" s="146" t="str">
        <f t="shared" si="54"/>
        <v>//-</v>
      </c>
      <c r="B631" s="152"/>
      <c r="C631" s="148"/>
      <c r="D631" s="8"/>
      <c r="E631" s="146"/>
      <c r="F631" s="146"/>
      <c r="G631" s="8"/>
      <c r="H631" s="8"/>
      <c r="I631" s="8"/>
    </row>
    <row r="632">
      <c r="A632" s="146" t="str">
        <f t="shared" si="54"/>
        <v>//-</v>
      </c>
      <c r="B632" s="152"/>
      <c r="C632" s="148"/>
      <c r="D632" s="8"/>
      <c r="E632" s="146"/>
      <c r="F632" s="146"/>
      <c r="G632" s="8"/>
      <c r="H632" s="8"/>
      <c r="I632" s="8"/>
    </row>
    <row r="633">
      <c r="A633" s="146" t="str">
        <f t="shared" si="54"/>
        <v>//-</v>
      </c>
      <c r="B633" s="152"/>
      <c r="C633" s="148"/>
      <c r="D633" s="8"/>
      <c r="E633" s="146"/>
      <c r="F633" s="146"/>
      <c r="G633" s="8"/>
      <c r="H633" s="8"/>
      <c r="I633" s="8"/>
    </row>
    <row r="634">
      <c r="A634" s="146" t="str">
        <f t="shared" si="54"/>
        <v>//-</v>
      </c>
      <c r="B634" s="152"/>
      <c r="C634" s="148"/>
      <c r="D634" s="8"/>
      <c r="E634" s="146"/>
      <c r="F634" s="146"/>
      <c r="G634" s="8"/>
      <c r="H634" s="8"/>
      <c r="I634" s="8"/>
    </row>
    <row r="635">
      <c r="A635" s="146" t="str">
        <f t="shared" si="54"/>
        <v>//-</v>
      </c>
      <c r="B635" s="152"/>
      <c r="C635" s="148"/>
      <c r="D635" s="8"/>
      <c r="E635" s="146"/>
      <c r="F635" s="146"/>
      <c r="G635" s="8"/>
      <c r="H635" s="8"/>
      <c r="I635" s="8"/>
    </row>
    <row r="636">
      <c r="A636" s="146" t="str">
        <f t="shared" si="54"/>
        <v>//-</v>
      </c>
      <c r="B636" s="152"/>
      <c r="C636" s="148"/>
      <c r="D636" s="8"/>
      <c r="E636" s="146"/>
      <c r="F636" s="146"/>
      <c r="G636" s="8"/>
      <c r="H636" s="8"/>
      <c r="I636" s="8"/>
    </row>
    <row r="637">
      <c r="A637" s="146" t="str">
        <f t="shared" si="54"/>
        <v>//-</v>
      </c>
      <c r="B637" s="152"/>
      <c r="C637" s="148"/>
      <c r="D637" s="8"/>
      <c r="E637" s="146"/>
      <c r="F637" s="146"/>
      <c r="G637" s="8"/>
      <c r="H637" s="8"/>
      <c r="I637" s="8"/>
    </row>
    <row r="638">
      <c r="A638" s="146" t="str">
        <f t="shared" si="54"/>
        <v>//-</v>
      </c>
      <c r="B638" s="152"/>
      <c r="C638" s="148"/>
      <c r="D638" s="8"/>
      <c r="E638" s="146"/>
      <c r="F638" s="146"/>
      <c r="G638" s="8"/>
      <c r="H638" s="8"/>
      <c r="I638" s="8"/>
    </row>
    <row r="639">
      <c r="A639" s="146" t="str">
        <f t="shared" si="54"/>
        <v>//-</v>
      </c>
      <c r="B639" s="152"/>
      <c r="C639" s="148"/>
      <c r="D639" s="8"/>
      <c r="E639" s="146"/>
      <c r="F639" s="146"/>
      <c r="G639" s="8"/>
      <c r="H639" s="8"/>
      <c r="I639" s="8"/>
    </row>
    <row r="640">
      <c r="A640" s="146" t="str">
        <f t="shared" si="54"/>
        <v>//-</v>
      </c>
      <c r="B640" s="152"/>
      <c r="C640" s="148"/>
      <c r="D640" s="8"/>
      <c r="E640" s="146"/>
      <c r="F640" s="146"/>
      <c r="G640" s="8"/>
      <c r="H640" s="8"/>
      <c r="I640" s="8"/>
    </row>
    <row r="641">
      <c r="A641" s="146" t="str">
        <f t="shared" si="54"/>
        <v>//-</v>
      </c>
      <c r="B641" s="152"/>
      <c r="C641" s="148"/>
      <c r="D641" s="8"/>
      <c r="E641" s="146"/>
      <c r="F641" s="146"/>
      <c r="G641" s="8"/>
      <c r="H641" s="8"/>
      <c r="I641" s="8"/>
    </row>
    <row r="642">
      <c r="A642" s="146" t="str">
        <f t="shared" si="54"/>
        <v>//-</v>
      </c>
      <c r="B642" s="152"/>
      <c r="C642" s="148"/>
      <c r="D642" s="8"/>
      <c r="E642" s="146"/>
      <c r="F642" s="146"/>
      <c r="G642" s="8"/>
      <c r="H642" s="8"/>
      <c r="I642" s="8"/>
    </row>
    <row r="643">
      <c r="A643" s="146" t="str">
        <f t="shared" si="54"/>
        <v>//-</v>
      </c>
      <c r="B643" s="152"/>
      <c r="C643" s="148"/>
      <c r="D643" s="8"/>
      <c r="E643" s="146"/>
      <c r="F643" s="146"/>
      <c r="G643" s="8"/>
      <c r="H643" s="8"/>
      <c r="I643" s="8"/>
    </row>
    <row r="644">
      <c r="A644" s="146" t="str">
        <f t="shared" si="54"/>
        <v>//-</v>
      </c>
      <c r="B644" s="152"/>
      <c r="C644" s="148"/>
      <c r="D644" s="8"/>
      <c r="E644" s="146"/>
      <c r="F644" s="146"/>
      <c r="G644" s="8"/>
      <c r="H644" s="8"/>
      <c r="I644" s="8"/>
    </row>
    <row r="645">
      <c r="A645" s="146" t="str">
        <f t="shared" si="54"/>
        <v>//-</v>
      </c>
      <c r="B645" s="152"/>
      <c r="C645" s="148"/>
      <c r="D645" s="8"/>
      <c r="E645" s="146"/>
      <c r="F645" s="146"/>
      <c r="G645" s="8"/>
      <c r="H645" s="8"/>
      <c r="I645" s="8"/>
    </row>
    <row r="646">
      <c r="A646" s="146" t="str">
        <f t="shared" si="54"/>
        <v>//-</v>
      </c>
      <c r="B646" s="152"/>
      <c r="C646" s="148"/>
      <c r="D646" s="8"/>
      <c r="E646" s="146"/>
      <c r="F646" s="146"/>
      <c r="G646" s="8"/>
      <c r="H646" s="8"/>
      <c r="I646" s="8"/>
    </row>
    <row r="647">
      <c r="A647" s="146" t="str">
        <f t="shared" si="54"/>
        <v>//-</v>
      </c>
      <c r="B647" s="152"/>
      <c r="C647" s="148"/>
      <c r="D647" s="8"/>
      <c r="E647" s="146"/>
      <c r="F647" s="146"/>
      <c r="G647" s="8"/>
      <c r="H647" s="8"/>
      <c r="I647" s="8"/>
    </row>
    <row r="648">
      <c r="A648" s="146" t="str">
        <f t="shared" si="54"/>
        <v>//-</v>
      </c>
      <c r="B648" s="152"/>
      <c r="C648" s="148"/>
      <c r="D648" s="8"/>
      <c r="E648" s="146"/>
      <c r="F648" s="146"/>
      <c r="G648" s="8"/>
      <c r="H648" s="8"/>
      <c r="I648" s="8"/>
    </row>
    <row r="649">
      <c r="A649" s="146" t="str">
        <f t="shared" si="54"/>
        <v>//-</v>
      </c>
      <c r="B649" s="152"/>
      <c r="C649" s="148"/>
      <c r="D649" s="8"/>
      <c r="E649" s="146"/>
      <c r="F649" s="146"/>
      <c r="G649" s="8"/>
      <c r="H649" s="8"/>
      <c r="I649" s="8"/>
    </row>
    <row r="650">
      <c r="A650" s="146" t="str">
        <f t="shared" si="54"/>
        <v>//-</v>
      </c>
      <c r="B650" s="152"/>
      <c r="C650" s="148"/>
      <c r="D650" s="8"/>
      <c r="E650" s="146"/>
      <c r="F650" s="146"/>
      <c r="G650" s="8"/>
      <c r="H650" s="8"/>
      <c r="I650" s="8"/>
    </row>
    <row r="651">
      <c r="A651" s="146" t="str">
        <f t="shared" si="54"/>
        <v>//-</v>
      </c>
      <c r="B651" s="152"/>
      <c r="C651" s="148"/>
      <c r="D651" s="8"/>
      <c r="E651" s="146"/>
      <c r="F651" s="146"/>
      <c r="G651" s="8"/>
      <c r="H651" s="8"/>
      <c r="I651" s="8"/>
    </row>
    <row r="652">
      <c r="A652" s="146" t="str">
        <f t="shared" si="54"/>
        <v>//-</v>
      </c>
      <c r="B652" s="152"/>
      <c r="C652" s="148"/>
      <c r="D652" s="8"/>
      <c r="E652" s="146"/>
      <c r="F652" s="146"/>
      <c r="G652" s="8"/>
      <c r="H652" s="8"/>
      <c r="I652" s="8"/>
    </row>
    <row r="653">
      <c r="A653" s="146" t="str">
        <f t="shared" si="54"/>
        <v>//-</v>
      </c>
      <c r="B653" s="152"/>
      <c r="C653" s="148"/>
      <c r="D653" s="8"/>
      <c r="E653" s="146"/>
      <c r="F653" s="146"/>
      <c r="G653" s="8"/>
      <c r="H653" s="8"/>
      <c r="I653" s="8"/>
    </row>
    <row r="654">
      <c r="A654" s="146" t="str">
        <f t="shared" si="54"/>
        <v>//-</v>
      </c>
      <c r="B654" s="152"/>
      <c r="C654" s="148"/>
      <c r="D654" s="8"/>
      <c r="E654" s="146"/>
      <c r="F654" s="146"/>
      <c r="G654" s="8"/>
      <c r="H654" s="8"/>
      <c r="I654" s="8"/>
    </row>
    <row r="655">
      <c r="A655" s="146" t="str">
        <f t="shared" si="54"/>
        <v>//-</v>
      </c>
      <c r="B655" s="152"/>
      <c r="C655" s="148"/>
      <c r="D655" s="8"/>
      <c r="E655" s="146"/>
      <c r="F655" s="146"/>
      <c r="G655" s="8"/>
      <c r="H655" s="8"/>
      <c r="I655" s="8"/>
    </row>
    <row r="656">
      <c r="A656" s="146" t="str">
        <f t="shared" si="54"/>
        <v>//-</v>
      </c>
      <c r="B656" s="152"/>
      <c r="C656" s="148"/>
      <c r="D656" s="8"/>
      <c r="E656" s="146"/>
      <c r="F656" s="146"/>
      <c r="G656" s="8"/>
      <c r="H656" s="8"/>
      <c r="I656" s="8"/>
    </row>
    <row r="657">
      <c r="A657" s="146" t="str">
        <f t="shared" si="54"/>
        <v>//-</v>
      </c>
      <c r="B657" s="152"/>
      <c r="C657" s="148"/>
      <c r="D657" s="8"/>
      <c r="E657" s="146"/>
      <c r="F657" s="146"/>
      <c r="G657" s="8"/>
      <c r="H657" s="8"/>
      <c r="I657" s="8"/>
    </row>
    <row r="658">
      <c r="A658" s="146" t="str">
        <f t="shared" si="54"/>
        <v>//-</v>
      </c>
      <c r="B658" s="152"/>
      <c r="C658" s="148"/>
      <c r="D658" s="8"/>
      <c r="E658" s="146"/>
      <c r="F658" s="146"/>
      <c r="G658" s="8"/>
      <c r="H658" s="8"/>
      <c r="I658" s="8"/>
    </row>
    <row r="659">
      <c r="A659" s="146" t="str">
        <f t="shared" si="54"/>
        <v>//-</v>
      </c>
      <c r="B659" s="152"/>
      <c r="C659" s="148"/>
      <c r="D659" s="8"/>
      <c r="E659" s="146"/>
      <c r="F659" s="146"/>
      <c r="G659" s="8"/>
      <c r="H659" s="8"/>
      <c r="I659" s="8"/>
    </row>
    <row r="660">
      <c r="A660" s="146" t="str">
        <f t="shared" si="54"/>
        <v>//-</v>
      </c>
      <c r="B660" s="152"/>
      <c r="C660" s="148"/>
      <c r="D660" s="8"/>
      <c r="E660" s="146"/>
      <c r="F660" s="146"/>
      <c r="G660" s="8"/>
      <c r="H660" s="8"/>
      <c r="I660" s="8"/>
    </row>
    <row r="661">
      <c r="A661" s="146" t="str">
        <f t="shared" si="54"/>
        <v>//-</v>
      </c>
      <c r="B661" s="152"/>
      <c r="C661" s="148"/>
      <c r="D661" s="8"/>
      <c r="E661" s="146"/>
      <c r="F661" s="146"/>
      <c r="G661" s="8"/>
      <c r="H661" s="8"/>
      <c r="I661" s="8"/>
    </row>
    <row r="662">
      <c r="A662" s="146" t="str">
        <f t="shared" si="54"/>
        <v>//-</v>
      </c>
      <c r="B662" s="152"/>
      <c r="C662" s="148"/>
      <c r="D662" s="8"/>
      <c r="E662" s="146"/>
      <c r="F662" s="146"/>
      <c r="G662" s="8"/>
      <c r="H662" s="8"/>
      <c r="I662" s="8"/>
    </row>
    <row r="663">
      <c r="A663" s="146" t="str">
        <f t="shared" si="54"/>
        <v>//-</v>
      </c>
      <c r="B663" s="152"/>
      <c r="C663" s="148"/>
      <c r="D663" s="8"/>
      <c r="E663" s="146"/>
      <c r="F663" s="146"/>
      <c r="G663" s="8"/>
      <c r="H663" s="8"/>
      <c r="I663" s="8"/>
    </row>
    <row r="664">
      <c r="A664" s="146" t="str">
        <f t="shared" si="54"/>
        <v>//-</v>
      </c>
      <c r="B664" s="152"/>
      <c r="C664" s="148"/>
      <c r="D664" s="8"/>
      <c r="E664" s="146"/>
      <c r="F664" s="146"/>
      <c r="G664" s="8"/>
      <c r="H664" s="8"/>
      <c r="I664" s="8"/>
    </row>
    <row r="665">
      <c r="A665" s="146" t="str">
        <f t="shared" si="54"/>
        <v>//-</v>
      </c>
      <c r="B665" s="152"/>
      <c r="C665" s="148"/>
      <c r="D665" s="8"/>
      <c r="E665" s="146"/>
      <c r="F665" s="146"/>
      <c r="G665" s="8"/>
      <c r="H665" s="8"/>
      <c r="I665" s="8"/>
    </row>
    <row r="666">
      <c r="A666" s="146" t="str">
        <f t="shared" si="54"/>
        <v>//-</v>
      </c>
      <c r="B666" s="152"/>
      <c r="C666" s="148"/>
      <c r="D666" s="8"/>
      <c r="E666" s="146"/>
      <c r="F666" s="146"/>
      <c r="G666" s="8"/>
      <c r="H666" s="8"/>
      <c r="I666" s="8"/>
    </row>
    <row r="667">
      <c r="A667" s="146" t="str">
        <f t="shared" si="54"/>
        <v>//-</v>
      </c>
      <c r="B667" s="152"/>
      <c r="C667" s="148"/>
      <c r="D667" s="8"/>
      <c r="E667" s="146"/>
      <c r="F667" s="146"/>
      <c r="G667" s="8"/>
      <c r="H667" s="8"/>
      <c r="I667" s="8"/>
    </row>
    <row r="668">
      <c r="A668" s="146" t="str">
        <f t="shared" si="54"/>
        <v>//-</v>
      </c>
      <c r="B668" s="152"/>
      <c r="C668" s="148"/>
      <c r="D668" s="8"/>
      <c r="E668" s="146"/>
      <c r="F668" s="146"/>
      <c r="G668" s="8"/>
      <c r="H668" s="8"/>
      <c r="I668" s="8"/>
    </row>
    <row r="669">
      <c r="A669" s="146" t="str">
        <f t="shared" si="54"/>
        <v>//-</v>
      </c>
      <c r="B669" s="152"/>
      <c r="C669" s="148"/>
      <c r="D669" s="8"/>
      <c r="E669" s="146"/>
      <c r="F669" s="146"/>
      <c r="G669" s="8"/>
      <c r="H669" s="8"/>
      <c r="I669" s="8"/>
    </row>
    <row r="670">
      <c r="A670" s="146" t="str">
        <f t="shared" si="54"/>
        <v>//-</v>
      </c>
      <c r="B670" s="152"/>
      <c r="C670" s="148"/>
      <c r="D670" s="8"/>
      <c r="E670" s="146"/>
      <c r="F670" s="146"/>
      <c r="G670" s="8"/>
      <c r="H670" s="8"/>
      <c r="I670" s="8"/>
    </row>
    <row r="671">
      <c r="A671" s="146" t="str">
        <f t="shared" si="54"/>
        <v>//-</v>
      </c>
      <c r="B671" s="152"/>
      <c r="C671" s="148"/>
      <c r="D671" s="8"/>
      <c r="E671" s="146"/>
      <c r="F671" s="146"/>
      <c r="G671" s="8"/>
      <c r="H671" s="8"/>
      <c r="I671" s="8"/>
    </row>
    <row r="672">
      <c r="A672" s="146" t="str">
        <f t="shared" si="54"/>
        <v>//-</v>
      </c>
      <c r="B672" s="152"/>
      <c r="C672" s="148"/>
      <c r="D672" s="8"/>
      <c r="E672" s="146"/>
      <c r="F672" s="146"/>
      <c r="G672" s="8"/>
      <c r="H672" s="8"/>
      <c r="I672" s="8"/>
    </row>
    <row r="673">
      <c r="A673" s="146" t="str">
        <f t="shared" si="54"/>
        <v>//-</v>
      </c>
      <c r="B673" s="152"/>
      <c r="C673" s="148"/>
      <c r="D673" s="8"/>
      <c r="E673" s="146"/>
      <c r="F673" s="146"/>
      <c r="G673" s="8"/>
      <c r="H673" s="8"/>
      <c r="I673" s="8"/>
    </row>
    <row r="674">
      <c r="A674" s="146" t="str">
        <f t="shared" si="54"/>
        <v>//-</v>
      </c>
      <c r="B674" s="152"/>
      <c r="C674" s="148"/>
      <c r="D674" s="8"/>
      <c r="E674" s="146"/>
      <c r="F674" s="146"/>
      <c r="G674" s="8"/>
      <c r="H674" s="8"/>
      <c r="I674" s="8"/>
    </row>
    <row r="675">
      <c r="A675" s="146" t="str">
        <f t="shared" si="54"/>
        <v>//-</v>
      </c>
      <c r="B675" s="152"/>
      <c r="C675" s="148"/>
      <c r="D675" s="8"/>
      <c r="E675" s="146"/>
      <c r="F675" s="146"/>
      <c r="G675" s="8"/>
      <c r="H675" s="8"/>
      <c r="I675" s="8"/>
    </row>
    <row r="676">
      <c r="A676" s="146" t="str">
        <f t="shared" si="54"/>
        <v>//-</v>
      </c>
      <c r="B676" s="152"/>
      <c r="C676" s="148"/>
      <c r="D676" s="8"/>
      <c r="E676" s="146"/>
      <c r="F676" s="146"/>
      <c r="G676" s="8"/>
      <c r="H676" s="8"/>
      <c r="I676" s="8"/>
    </row>
    <row r="677">
      <c r="A677" s="146" t="str">
        <f t="shared" si="54"/>
        <v>//-</v>
      </c>
      <c r="B677" s="152"/>
      <c r="C677" s="148"/>
      <c r="D677" s="8"/>
      <c r="E677" s="146"/>
      <c r="F677" s="146"/>
      <c r="G677" s="8"/>
      <c r="H677" s="8"/>
      <c r="I677" s="8"/>
    </row>
    <row r="678">
      <c r="A678" s="146" t="str">
        <f t="shared" si="54"/>
        <v>//-</v>
      </c>
      <c r="B678" s="152"/>
      <c r="C678" s="148"/>
      <c r="D678" s="8"/>
      <c r="E678" s="146"/>
      <c r="F678" s="146"/>
      <c r="G678" s="8"/>
      <c r="H678" s="8"/>
      <c r="I678" s="8"/>
    </row>
    <row r="679">
      <c r="A679" s="146" t="str">
        <f t="shared" si="54"/>
        <v>//-</v>
      </c>
      <c r="B679" s="152"/>
      <c r="C679" s="148"/>
      <c r="D679" s="8"/>
      <c r="E679" s="146"/>
      <c r="F679" s="146"/>
      <c r="G679" s="8"/>
      <c r="H679" s="8"/>
      <c r="I679" s="8"/>
    </row>
    <row r="680">
      <c r="A680" s="146" t="str">
        <f t="shared" si="54"/>
        <v>//-</v>
      </c>
      <c r="B680" s="152"/>
      <c r="C680" s="148"/>
      <c r="D680" s="8"/>
      <c r="E680" s="146"/>
      <c r="F680" s="146"/>
      <c r="G680" s="8"/>
      <c r="H680" s="8"/>
      <c r="I680" s="8"/>
    </row>
    <row r="681">
      <c r="A681" s="146" t="str">
        <f t="shared" si="54"/>
        <v>//-</v>
      </c>
      <c r="B681" s="152"/>
      <c r="C681" s="148"/>
      <c r="D681" s="8"/>
      <c r="E681" s="146"/>
      <c r="F681" s="146"/>
      <c r="G681" s="8"/>
      <c r="H681" s="8"/>
      <c r="I681" s="8"/>
    </row>
    <row r="682">
      <c r="A682" s="146" t="str">
        <f t="shared" si="54"/>
        <v>//-</v>
      </c>
      <c r="B682" s="152"/>
      <c r="C682" s="148"/>
      <c r="D682" s="8"/>
      <c r="E682" s="146"/>
      <c r="F682" s="146"/>
      <c r="G682" s="8"/>
      <c r="H682" s="8"/>
      <c r="I682" s="8"/>
    </row>
    <row r="683">
      <c r="A683" s="146" t="str">
        <f t="shared" si="54"/>
        <v>//-</v>
      </c>
      <c r="B683" s="152"/>
      <c r="C683" s="148"/>
      <c r="D683" s="8"/>
      <c r="E683" s="146"/>
      <c r="F683" s="146"/>
      <c r="G683" s="8"/>
      <c r="H683" s="8"/>
      <c r="I683" s="8"/>
    </row>
    <row r="684">
      <c r="A684" s="146" t="str">
        <f t="shared" si="54"/>
        <v>//-</v>
      </c>
      <c r="B684" s="152"/>
      <c r="C684" s="148"/>
      <c r="D684" s="8"/>
      <c r="E684" s="146"/>
      <c r="F684" s="146"/>
      <c r="G684" s="8"/>
      <c r="H684" s="8"/>
      <c r="I684" s="8"/>
    </row>
    <row r="685">
      <c r="A685" s="146" t="str">
        <f t="shared" si="54"/>
        <v>//-</v>
      </c>
      <c r="B685" s="152"/>
      <c r="C685" s="148"/>
      <c r="D685" s="8"/>
      <c r="E685" s="146"/>
      <c r="F685" s="146"/>
      <c r="G685" s="8"/>
      <c r="H685" s="8"/>
      <c r="I685" s="8"/>
    </row>
    <row r="686">
      <c r="A686" s="146" t="str">
        <f t="shared" si="54"/>
        <v>//-</v>
      </c>
      <c r="B686" s="152"/>
      <c r="C686" s="148"/>
      <c r="D686" s="8"/>
      <c r="E686" s="146"/>
      <c r="F686" s="146"/>
      <c r="G686" s="8"/>
      <c r="H686" s="8"/>
      <c r="I686" s="8"/>
    </row>
    <row r="687">
      <c r="A687" s="146" t="str">
        <f t="shared" si="54"/>
        <v>//-</v>
      </c>
      <c r="B687" s="152"/>
      <c r="C687" s="148"/>
      <c r="D687" s="8"/>
      <c r="E687" s="146"/>
      <c r="F687" s="146"/>
      <c r="G687" s="8"/>
      <c r="H687" s="8"/>
      <c r="I687" s="8"/>
    </row>
    <row r="688">
      <c r="A688" s="146" t="str">
        <f t="shared" si="54"/>
        <v>//-</v>
      </c>
      <c r="B688" s="152"/>
      <c r="C688" s="148"/>
      <c r="D688" s="8"/>
      <c r="E688" s="146"/>
      <c r="F688" s="146"/>
      <c r="G688" s="8"/>
      <c r="H688" s="8"/>
      <c r="I688" s="8"/>
    </row>
    <row r="689">
      <c r="A689" s="146" t="str">
        <f t="shared" si="54"/>
        <v>//-</v>
      </c>
      <c r="B689" s="152"/>
      <c r="C689" s="148"/>
      <c r="D689" s="8"/>
      <c r="E689" s="146"/>
      <c r="F689" s="146"/>
      <c r="G689" s="8"/>
      <c r="H689" s="8"/>
      <c r="I689" s="8"/>
    </row>
    <row r="690">
      <c r="A690" s="146" t="str">
        <f t="shared" si="54"/>
        <v>//-</v>
      </c>
      <c r="B690" s="152"/>
      <c r="C690" s="148"/>
      <c r="D690" s="8"/>
      <c r="E690" s="146"/>
      <c r="F690" s="146"/>
      <c r="G690" s="8"/>
      <c r="H690" s="8"/>
      <c r="I690" s="8"/>
    </row>
    <row r="691">
      <c r="A691" s="146" t="str">
        <f t="shared" si="54"/>
        <v>//-</v>
      </c>
      <c r="B691" s="152"/>
      <c r="C691" s="148"/>
      <c r="D691" s="8"/>
      <c r="E691" s="146"/>
      <c r="F691" s="146"/>
      <c r="G691" s="8"/>
      <c r="H691" s="8"/>
      <c r="I691" s="8"/>
    </row>
    <row r="692">
      <c r="A692" s="146" t="str">
        <f t="shared" si="54"/>
        <v>//-</v>
      </c>
      <c r="B692" s="152"/>
      <c r="C692" s="148"/>
      <c r="D692" s="8"/>
      <c r="E692" s="146"/>
      <c r="F692" s="146"/>
      <c r="G692" s="8"/>
      <c r="H692" s="8"/>
      <c r="I692" s="8"/>
    </row>
    <row r="693">
      <c r="A693" s="146" t="str">
        <f t="shared" si="54"/>
        <v>//-</v>
      </c>
      <c r="B693" s="152"/>
      <c r="C693" s="148"/>
      <c r="D693" s="8"/>
      <c r="E693" s="146"/>
      <c r="F693" s="146"/>
      <c r="G693" s="8"/>
      <c r="H693" s="8"/>
      <c r="I693" s="8"/>
    </row>
    <row r="694">
      <c r="A694" s="146" t="str">
        <f t="shared" si="54"/>
        <v>//-</v>
      </c>
      <c r="B694" s="152"/>
      <c r="C694" s="148"/>
      <c r="D694" s="8"/>
      <c r="E694" s="146"/>
      <c r="F694" s="146"/>
      <c r="G694" s="8"/>
      <c r="H694" s="8"/>
      <c r="I694" s="8"/>
    </row>
    <row r="695">
      <c r="A695" s="146" t="str">
        <f t="shared" si="54"/>
        <v>//-</v>
      </c>
      <c r="B695" s="152"/>
      <c r="C695" s="148"/>
      <c r="D695" s="8"/>
      <c r="E695" s="146"/>
      <c r="F695" s="146"/>
      <c r="G695" s="8"/>
      <c r="H695" s="8"/>
      <c r="I695" s="8"/>
    </row>
    <row r="696">
      <c r="A696" s="146" t="str">
        <f t="shared" si="54"/>
        <v>//-</v>
      </c>
      <c r="B696" s="152"/>
      <c r="C696" s="148"/>
      <c r="D696" s="8"/>
      <c r="E696" s="146"/>
      <c r="F696" s="146"/>
      <c r="G696" s="8"/>
      <c r="H696" s="8"/>
      <c r="I696" s="8"/>
    </row>
    <row r="697">
      <c r="A697" s="146" t="str">
        <f t="shared" si="54"/>
        <v>//-</v>
      </c>
      <c r="B697" s="152"/>
      <c r="C697" s="148"/>
      <c r="D697" s="8"/>
      <c r="E697" s="146"/>
      <c r="F697" s="146"/>
      <c r="G697" s="8"/>
      <c r="H697" s="8"/>
      <c r="I697" s="8"/>
    </row>
    <row r="698">
      <c r="A698" s="146" t="str">
        <f t="shared" si="54"/>
        <v>//-</v>
      </c>
      <c r="B698" s="152"/>
      <c r="C698" s="148"/>
      <c r="D698" s="8"/>
      <c r="E698" s="146"/>
      <c r="F698" s="146"/>
      <c r="G698" s="8"/>
      <c r="H698" s="8"/>
      <c r="I698" s="8"/>
    </row>
    <row r="699">
      <c r="A699" s="146" t="str">
        <f t="shared" si="54"/>
        <v>//-</v>
      </c>
      <c r="B699" s="152"/>
      <c r="C699" s="148"/>
      <c r="D699" s="8"/>
      <c r="E699" s="146"/>
      <c r="F699" s="146"/>
      <c r="G699" s="8"/>
      <c r="H699" s="8"/>
      <c r="I699" s="8"/>
    </row>
    <row r="700">
      <c r="A700" s="146" t="str">
        <f t="shared" si="54"/>
        <v>//-</v>
      </c>
      <c r="B700" s="152"/>
      <c r="C700" s="148"/>
      <c r="D700" s="8"/>
      <c r="E700" s="146"/>
      <c r="F700" s="146"/>
      <c r="G700" s="8"/>
      <c r="H700" s="8"/>
      <c r="I700" s="8"/>
    </row>
    <row r="701">
      <c r="A701" s="146" t="str">
        <f t="shared" si="54"/>
        <v>//-</v>
      </c>
      <c r="B701" s="152"/>
      <c r="C701" s="148"/>
      <c r="D701" s="8"/>
      <c r="E701" s="146"/>
      <c r="F701" s="146"/>
      <c r="G701" s="8"/>
      <c r="H701" s="8"/>
      <c r="I701" s="8"/>
    </row>
    <row r="702">
      <c r="A702" s="146" t="str">
        <f t="shared" si="54"/>
        <v>//-</v>
      </c>
      <c r="B702" s="152"/>
      <c r="C702" s="148"/>
      <c r="D702" s="8"/>
      <c r="E702" s="146"/>
      <c r="F702" s="146"/>
      <c r="G702" s="8"/>
      <c r="H702" s="8"/>
      <c r="I702" s="8"/>
    </row>
    <row r="703">
      <c r="A703" s="146" t="str">
        <f t="shared" si="54"/>
        <v>//-</v>
      </c>
      <c r="B703" s="152"/>
      <c r="C703" s="148"/>
      <c r="D703" s="8"/>
      <c r="E703" s="146"/>
      <c r="F703" s="146"/>
      <c r="G703" s="8"/>
      <c r="H703" s="8"/>
      <c r="I703" s="8"/>
    </row>
    <row r="704">
      <c r="A704" s="146" t="str">
        <f t="shared" si="54"/>
        <v>//-</v>
      </c>
      <c r="B704" s="152"/>
      <c r="C704" s="148"/>
      <c r="D704" s="8"/>
      <c r="E704" s="146"/>
      <c r="F704" s="146"/>
      <c r="G704" s="8"/>
      <c r="H704" s="8"/>
      <c r="I704" s="8"/>
    </row>
    <row r="705">
      <c r="A705" s="146" t="str">
        <f t="shared" si="54"/>
        <v>//-</v>
      </c>
      <c r="B705" s="152"/>
      <c r="C705" s="148"/>
      <c r="D705" s="8"/>
      <c r="E705" s="146"/>
      <c r="F705" s="146"/>
      <c r="G705" s="8"/>
      <c r="H705" s="8"/>
      <c r="I705" s="8"/>
    </row>
    <row r="706">
      <c r="A706" s="146" t="str">
        <f t="shared" si="54"/>
        <v>//-</v>
      </c>
      <c r="B706" s="152"/>
      <c r="C706" s="148"/>
      <c r="D706" s="8"/>
      <c r="E706" s="146"/>
      <c r="F706" s="146"/>
      <c r="G706" s="8"/>
      <c r="H706" s="8"/>
      <c r="I706" s="8"/>
    </row>
    <row r="707">
      <c r="A707" s="146" t="str">
        <f t="shared" si="54"/>
        <v>//-</v>
      </c>
      <c r="B707" s="152"/>
      <c r="C707" s="148"/>
      <c r="D707" s="8"/>
      <c r="E707" s="146"/>
      <c r="F707" s="146"/>
      <c r="G707" s="8"/>
      <c r="H707" s="8"/>
      <c r="I707" s="8"/>
    </row>
    <row r="708">
      <c r="A708" s="146" t="str">
        <f t="shared" si="54"/>
        <v>//-</v>
      </c>
      <c r="B708" s="152"/>
      <c r="C708" s="148"/>
      <c r="D708" s="8"/>
      <c r="E708" s="146"/>
      <c r="F708" s="146"/>
      <c r="G708" s="8"/>
      <c r="H708" s="8"/>
      <c r="I708" s="8"/>
    </row>
    <row r="709">
      <c r="A709" s="146" t="str">
        <f t="shared" si="54"/>
        <v>//-</v>
      </c>
      <c r="B709" s="152"/>
      <c r="C709" s="148"/>
      <c r="D709" s="8"/>
      <c r="E709" s="146"/>
      <c r="F709" s="146"/>
      <c r="G709" s="8"/>
      <c r="H709" s="8"/>
      <c r="I709" s="8"/>
    </row>
    <row r="710">
      <c r="A710" s="146" t="str">
        <f t="shared" si="54"/>
        <v>//-</v>
      </c>
      <c r="B710" s="152"/>
      <c r="C710" s="148"/>
      <c r="D710" s="8"/>
      <c r="E710" s="146"/>
      <c r="F710" s="146"/>
      <c r="G710" s="8"/>
      <c r="H710" s="8"/>
      <c r="I710" s="8"/>
    </row>
    <row r="711">
      <c r="A711" s="146" t="str">
        <f t="shared" si="54"/>
        <v>//-</v>
      </c>
      <c r="B711" s="152"/>
      <c r="C711" s="148"/>
      <c r="D711" s="8"/>
      <c r="E711" s="146"/>
      <c r="F711" s="146"/>
      <c r="G711" s="8"/>
      <c r="H711" s="8"/>
      <c r="I711" s="8"/>
    </row>
    <row r="712">
      <c r="A712" s="146" t="str">
        <f t="shared" si="54"/>
        <v>//-</v>
      </c>
      <c r="B712" s="152"/>
      <c r="C712" s="148"/>
      <c r="D712" s="8"/>
      <c r="E712" s="146"/>
      <c r="F712" s="146"/>
      <c r="G712" s="8"/>
      <c r="H712" s="8"/>
      <c r="I712" s="8"/>
    </row>
    <row r="713">
      <c r="A713" s="146" t="str">
        <f t="shared" si="54"/>
        <v>//-</v>
      </c>
      <c r="B713" s="152"/>
      <c r="C713" s="148"/>
      <c r="D713" s="8"/>
      <c r="E713" s="146"/>
      <c r="F713" s="146"/>
      <c r="G713" s="8"/>
      <c r="H713" s="8"/>
      <c r="I713" s="8"/>
    </row>
    <row r="714">
      <c r="A714" s="146" t="str">
        <f t="shared" si="54"/>
        <v>//-</v>
      </c>
      <c r="B714" s="152"/>
      <c r="C714" s="148"/>
      <c r="D714" s="8"/>
      <c r="E714" s="146"/>
      <c r="F714" s="146"/>
      <c r="G714" s="8"/>
      <c r="H714" s="8"/>
      <c r="I714" s="8"/>
    </row>
    <row r="715">
      <c r="A715" s="146" t="str">
        <f t="shared" si="54"/>
        <v>//-</v>
      </c>
      <c r="B715" s="152"/>
      <c r="C715" s="148"/>
      <c r="D715" s="8"/>
      <c r="E715" s="146"/>
      <c r="F715" s="146"/>
      <c r="G715" s="8"/>
      <c r="H715" s="8"/>
      <c r="I715" s="8"/>
    </row>
    <row r="716">
      <c r="A716" s="146" t="str">
        <f t="shared" si="54"/>
        <v>//-</v>
      </c>
      <c r="B716" s="152"/>
      <c r="C716" s="148"/>
      <c r="D716" s="8"/>
      <c r="E716" s="146"/>
      <c r="F716" s="146"/>
      <c r="G716" s="8"/>
      <c r="H716" s="8"/>
      <c r="I716" s="8"/>
    </row>
    <row r="717">
      <c r="A717" s="146" t="str">
        <f t="shared" si="54"/>
        <v>//-</v>
      </c>
      <c r="B717" s="152"/>
      <c r="C717" s="148"/>
      <c r="D717" s="8"/>
      <c r="E717" s="146"/>
      <c r="F717" s="146"/>
      <c r="G717" s="8"/>
      <c r="H717" s="8"/>
      <c r="I717" s="8"/>
    </row>
    <row r="718">
      <c r="A718" s="146" t="str">
        <f t="shared" si="54"/>
        <v>//-</v>
      </c>
      <c r="B718" s="152"/>
      <c r="C718" s="148"/>
      <c r="D718" s="8"/>
      <c r="E718" s="146"/>
      <c r="F718" s="146"/>
      <c r="G718" s="8"/>
      <c r="H718" s="8"/>
      <c r="I718" s="8"/>
    </row>
    <row r="719">
      <c r="A719" s="146" t="str">
        <f t="shared" si="54"/>
        <v>//-</v>
      </c>
      <c r="B719" s="152"/>
      <c r="C719" s="148"/>
      <c r="D719" s="8"/>
      <c r="E719" s="146"/>
      <c r="F719" s="146"/>
      <c r="G719" s="8"/>
      <c r="H719" s="8"/>
      <c r="I719" s="8"/>
    </row>
    <row r="720">
      <c r="A720" s="146" t="str">
        <f t="shared" si="54"/>
        <v>//-</v>
      </c>
      <c r="B720" s="152"/>
      <c r="C720" s="148"/>
      <c r="D720" s="8"/>
      <c r="E720" s="146"/>
      <c r="F720" s="146"/>
      <c r="G720" s="8"/>
      <c r="H720" s="8"/>
      <c r="I720" s="8"/>
    </row>
    <row r="721">
      <c r="A721" s="146" t="str">
        <f t="shared" si="54"/>
        <v>//-</v>
      </c>
      <c r="B721" s="152"/>
      <c r="C721" s="148"/>
      <c r="D721" s="8"/>
      <c r="E721" s="146"/>
      <c r="F721" s="146"/>
      <c r="G721" s="8"/>
      <c r="H721" s="8"/>
      <c r="I721" s="8"/>
    </row>
    <row r="722">
      <c r="A722" s="146" t="str">
        <f t="shared" si="54"/>
        <v>//-</v>
      </c>
      <c r="B722" s="152"/>
      <c r="C722" s="148"/>
      <c r="D722" s="8"/>
      <c r="E722" s="146"/>
      <c r="F722" s="146"/>
      <c r="G722" s="8"/>
      <c r="H722" s="8"/>
      <c r="I722" s="8"/>
    </row>
    <row r="723">
      <c r="A723" s="146" t="str">
        <f t="shared" si="54"/>
        <v>//-</v>
      </c>
      <c r="B723" s="152"/>
      <c r="C723" s="148"/>
      <c r="D723" s="8"/>
      <c r="E723" s="146"/>
      <c r="F723" s="146"/>
      <c r="G723" s="8"/>
      <c r="H723" s="8"/>
      <c r="I723" s="8"/>
    </row>
    <row r="724">
      <c r="A724" s="146" t="str">
        <f t="shared" si="54"/>
        <v>//-</v>
      </c>
      <c r="B724" s="152"/>
      <c r="C724" s="148"/>
      <c r="D724" s="8"/>
      <c r="E724" s="146"/>
      <c r="F724" s="146"/>
      <c r="G724" s="8"/>
      <c r="H724" s="8"/>
      <c r="I724" s="8"/>
    </row>
    <row r="725">
      <c r="A725" s="146" t="str">
        <f t="shared" si="54"/>
        <v>//-</v>
      </c>
      <c r="B725" s="152"/>
      <c r="C725" s="148"/>
      <c r="D725" s="8"/>
      <c r="E725" s="146"/>
      <c r="F725" s="146"/>
      <c r="G725" s="8"/>
      <c r="H725" s="8"/>
      <c r="I725" s="8"/>
    </row>
    <row r="726">
      <c r="A726" s="146" t="str">
        <f t="shared" si="54"/>
        <v>//-</v>
      </c>
      <c r="B726" s="152"/>
      <c r="C726" s="148"/>
      <c r="D726" s="8"/>
      <c r="E726" s="146"/>
      <c r="F726" s="146"/>
      <c r="G726" s="8"/>
      <c r="H726" s="8"/>
      <c r="I726" s="8"/>
    </row>
    <row r="727">
      <c r="A727" s="146" t="str">
        <f t="shared" si="54"/>
        <v>//-</v>
      </c>
      <c r="B727" s="152"/>
      <c r="C727" s="148"/>
      <c r="D727" s="8"/>
      <c r="E727" s="146"/>
      <c r="F727" s="146"/>
      <c r="G727" s="8"/>
      <c r="H727" s="8"/>
      <c r="I727" s="8"/>
    </row>
    <row r="728">
      <c r="A728" s="146" t="str">
        <f t="shared" si="54"/>
        <v>//-</v>
      </c>
      <c r="B728" s="152"/>
      <c r="C728" s="148"/>
      <c r="D728" s="8"/>
      <c r="E728" s="146"/>
      <c r="F728" s="146"/>
      <c r="G728" s="8"/>
      <c r="H728" s="8"/>
      <c r="I728" s="8"/>
    </row>
    <row r="729">
      <c r="A729" s="146" t="str">
        <f t="shared" si="54"/>
        <v>//-</v>
      </c>
      <c r="B729" s="152"/>
      <c r="C729" s="148"/>
      <c r="D729" s="8"/>
      <c r="E729" s="146"/>
      <c r="F729" s="146"/>
      <c r="G729" s="8"/>
      <c r="H729" s="8"/>
      <c r="I729" s="8"/>
    </row>
    <row r="730">
      <c r="A730" s="146" t="str">
        <f t="shared" si="54"/>
        <v>//-</v>
      </c>
      <c r="B730" s="152"/>
      <c r="C730" s="148"/>
      <c r="D730" s="8"/>
      <c r="E730" s="146"/>
      <c r="F730" s="146"/>
      <c r="G730" s="8"/>
      <c r="H730" s="8"/>
      <c r="I730" s="8"/>
    </row>
    <row r="731">
      <c r="A731" s="146" t="str">
        <f t="shared" si="54"/>
        <v>//-</v>
      </c>
      <c r="B731" s="152"/>
      <c r="C731" s="148"/>
      <c r="D731" s="8"/>
      <c r="E731" s="146"/>
      <c r="F731" s="146"/>
      <c r="G731" s="8"/>
      <c r="H731" s="8"/>
      <c r="I731" s="8"/>
    </row>
    <row r="732">
      <c r="A732" s="146" t="str">
        <f t="shared" si="54"/>
        <v>//-</v>
      </c>
      <c r="B732" s="152"/>
      <c r="C732" s="148"/>
      <c r="D732" s="8"/>
      <c r="E732" s="146"/>
      <c r="F732" s="146"/>
      <c r="G732" s="8"/>
      <c r="H732" s="8"/>
      <c r="I732" s="8"/>
    </row>
    <row r="733">
      <c r="A733" s="146" t="str">
        <f t="shared" si="54"/>
        <v>//-</v>
      </c>
      <c r="B733" s="152"/>
      <c r="C733" s="148"/>
      <c r="D733" s="8"/>
      <c r="E733" s="146"/>
      <c r="F733" s="146"/>
      <c r="G733" s="8"/>
      <c r="H733" s="8"/>
      <c r="I733" s="8"/>
    </row>
    <row r="734">
      <c r="A734" s="146" t="str">
        <f t="shared" si="54"/>
        <v>//-</v>
      </c>
      <c r="B734" s="152"/>
      <c r="C734" s="148"/>
      <c r="D734" s="8"/>
      <c r="E734" s="146"/>
      <c r="F734" s="146"/>
      <c r="G734" s="8"/>
      <c r="H734" s="8"/>
      <c r="I734" s="8"/>
    </row>
    <row r="735">
      <c r="A735" s="146" t="str">
        <f t="shared" si="54"/>
        <v>//-</v>
      </c>
      <c r="B735" s="152"/>
      <c r="C735" s="148"/>
      <c r="D735" s="8"/>
      <c r="E735" s="146"/>
      <c r="F735" s="146"/>
      <c r="G735" s="8"/>
      <c r="H735" s="8"/>
      <c r="I735" s="8"/>
    </row>
    <row r="736">
      <c r="A736" s="146" t="str">
        <f t="shared" si="54"/>
        <v>//-</v>
      </c>
      <c r="B736" s="152"/>
      <c r="C736" s="148"/>
      <c r="D736" s="8"/>
      <c r="E736" s="146"/>
      <c r="F736" s="146"/>
      <c r="G736" s="8"/>
      <c r="H736" s="8"/>
      <c r="I736" s="8"/>
    </row>
    <row r="737">
      <c r="A737" s="146" t="str">
        <f t="shared" si="54"/>
        <v>//-</v>
      </c>
      <c r="B737" s="152"/>
      <c r="C737" s="148"/>
      <c r="D737" s="8"/>
      <c r="E737" s="146"/>
      <c r="F737" s="146"/>
      <c r="G737" s="8"/>
      <c r="H737" s="8"/>
      <c r="I737" s="8"/>
    </row>
    <row r="738">
      <c r="A738" s="146" t="str">
        <f t="shared" si="54"/>
        <v>//-</v>
      </c>
      <c r="B738" s="152"/>
      <c r="C738" s="148"/>
      <c r="D738" s="8"/>
      <c r="E738" s="146"/>
      <c r="F738" s="146"/>
      <c r="G738" s="8"/>
      <c r="H738" s="8"/>
      <c r="I738" s="8"/>
    </row>
    <row r="739">
      <c r="A739" s="146" t="str">
        <f t="shared" si="54"/>
        <v>//-</v>
      </c>
      <c r="B739" s="152"/>
      <c r="C739" s="148"/>
      <c r="D739" s="8"/>
      <c r="E739" s="146"/>
      <c r="F739" s="146"/>
      <c r="G739" s="8"/>
      <c r="H739" s="8"/>
      <c r="I739" s="8"/>
    </row>
    <row r="740">
      <c r="A740" s="146" t="str">
        <f t="shared" si="54"/>
        <v>//-</v>
      </c>
      <c r="B740" s="152"/>
      <c r="C740" s="148"/>
      <c r="D740" s="8"/>
      <c r="E740" s="146"/>
      <c r="F740" s="146"/>
      <c r="G740" s="8"/>
      <c r="H740" s="8"/>
      <c r="I740" s="8"/>
    </row>
    <row r="741">
      <c r="A741" s="146" t="str">
        <f t="shared" si="54"/>
        <v>//-</v>
      </c>
      <c r="B741" s="152"/>
      <c r="C741" s="148"/>
      <c r="D741" s="8"/>
      <c r="E741" s="146"/>
      <c r="F741" s="146"/>
      <c r="G741" s="8"/>
      <c r="H741" s="8"/>
      <c r="I741" s="8"/>
    </row>
    <row r="742">
      <c r="A742" s="146" t="str">
        <f t="shared" si="54"/>
        <v>//-</v>
      </c>
      <c r="B742" s="152"/>
      <c r="C742" s="148"/>
      <c r="D742" s="8"/>
      <c r="E742" s="146"/>
      <c r="F742" s="146"/>
      <c r="G742" s="8"/>
      <c r="H742" s="8"/>
      <c r="I742" s="8"/>
    </row>
    <row r="743">
      <c r="A743" s="146" t="str">
        <f t="shared" si="54"/>
        <v>//-</v>
      </c>
      <c r="B743" s="152"/>
      <c r="C743" s="148"/>
      <c r="D743" s="8"/>
      <c r="E743" s="146"/>
      <c r="F743" s="146"/>
      <c r="G743" s="8"/>
      <c r="H743" s="8"/>
      <c r="I743" s="8"/>
    </row>
    <row r="744">
      <c r="A744" s="146" t="str">
        <f t="shared" si="54"/>
        <v>//-</v>
      </c>
      <c r="B744" s="152"/>
      <c r="C744" s="148"/>
      <c r="D744" s="8"/>
      <c r="E744" s="146"/>
      <c r="F744" s="146"/>
      <c r="G744" s="8"/>
      <c r="H744" s="8"/>
      <c r="I744" s="8"/>
    </row>
    <row r="745">
      <c r="A745" s="146" t="str">
        <f t="shared" si="54"/>
        <v>//-</v>
      </c>
      <c r="B745" s="152"/>
      <c r="C745" s="148"/>
      <c r="D745" s="8"/>
      <c r="E745" s="146"/>
      <c r="F745" s="146"/>
      <c r="G745" s="8"/>
      <c r="H745" s="8"/>
      <c r="I745" s="8"/>
    </row>
    <row r="746">
      <c r="A746" s="146" t="str">
        <f t="shared" si="54"/>
        <v>//-</v>
      </c>
      <c r="B746" s="152"/>
      <c r="C746" s="148"/>
      <c r="D746" s="8"/>
      <c r="E746" s="146"/>
      <c r="F746" s="146"/>
      <c r="G746" s="8"/>
      <c r="H746" s="8"/>
      <c r="I746" s="8"/>
    </row>
    <row r="747">
      <c r="A747" s="146" t="str">
        <f t="shared" si="54"/>
        <v>//-</v>
      </c>
      <c r="B747" s="152"/>
      <c r="C747" s="148"/>
      <c r="D747" s="8"/>
      <c r="E747" s="146"/>
      <c r="F747" s="146"/>
      <c r="G747" s="8"/>
      <c r="H747" s="8"/>
      <c r="I747" s="8"/>
    </row>
    <row r="748">
      <c r="A748" s="146" t="str">
        <f t="shared" si="54"/>
        <v>//-</v>
      </c>
      <c r="B748" s="152"/>
      <c r="C748" s="148"/>
      <c r="D748" s="8"/>
      <c r="E748" s="146"/>
      <c r="F748" s="146"/>
      <c r="G748" s="8"/>
      <c r="H748" s="8"/>
      <c r="I748" s="8"/>
    </row>
    <row r="749">
      <c r="A749" s="146" t="str">
        <f t="shared" si="54"/>
        <v>//-</v>
      </c>
      <c r="B749" s="152"/>
      <c r="C749" s="148"/>
      <c r="D749" s="8"/>
      <c r="E749" s="146"/>
      <c r="F749" s="146"/>
      <c r="G749" s="8"/>
      <c r="H749" s="8"/>
      <c r="I749" s="8"/>
    </row>
    <row r="750">
      <c r="A750" s="146" t="str">
        <f t="shared" si="54"/>
        <v>//-</v>
      </c>
      <c r="B750" s="152"/>
      <c r="C750" s="148"/>
      <c r="D750" s="8"/>
      <c r="E750" s="146"/>
      <c r="F750" s="146"/>
      <c r="G750" s="8"/>
      <c r="H750" s="8"/>
      <c r="I750" s="8"/>
    </row>
    <row r="751">
      <c r="A751" s="146" t="str">
        <f t="shared" si="54"/>
        <v>//-</v>
      </c>
      <c r="B751" s="152"/>
      <c r="C751" s="148"/>
      <c r="D751" s="8"/>
      <c r="E751" s="146"/>
      <c r="F751" s="146"/>
      <c r="G751" s="8"/>
      <c r="H751" s="8"/>
      <c r="I751" s="8"/>
    </row>
    <row r="752">
      <c r="A752" s="146" t="str">
        <f t="shared" si="54"/>
        <v>//-</v>
      </c>
      <c r="B752" s="152"/>
      <c r="C752" s="148"/>
      <c r="D752" s="8"/>
      <c r="E752" s="146"/>
      <c r="F752" s="146"/>
      <c r="G752" s="8"/>
      <c r="H752" s="8"/>
      <c r="I752" s="8"/>
    </row>
    <row r="753">
      <c r="A753" s="146" t="str">
        <f t="shared" si="54"/>
        <v>//-</v>
      </c>
      <c r="B753" s="152"/>
      <c r="C753" s="148"/>
      <c r="D753" s="8"/>
      <c r="E753" s="146"/>
      <c r="F753" s="146"/>
      <c r="G753" s="8"/>
      <c r="H753" s="8"/>
      <c r="I753" s="8"/>
    </row>
    <row r="754">
      <c r="A754" s="146" t="str">
        <f t="shared" si="54"/>
        <v>//-</v>
      </c>
      <c r="B754" s="152"/>
      <c r="C754" s="148"/>
      <c r="D754" s="8"/>
      <c r="E754" s="146"/>
      <c r="F754" s="146"/>
      <c r="G754" s="8"/>
      <c r="H754" s="8"/>
      <c r="I754" s="8"/>
    </row>
    <row r="755">
      <c r="A755" s="146" t="str">
        <f t="shared" si="54"/>
        <v>//-</v>
      </c>
      <c r="B755" s="152"/>
      <c r="C755" s="148"/>
      <c r="D755" s="8"/>
      <c r="E755" s="146"/>
      <c r="F755" s="146"/>
      <c r="G755" s="8"/>
      <c r="H755" s="8"/>
      <c r="I755" s="8"/>
    </row>
    <row r="756">
      <c r="A756" s="146" t="str">
        <f t="shared" si="54"/>
        <v>//-</v>
      </c>
      <c r="B756" s="152"/>
      <c r="C756" s="148"/>
      <c r="D756" s="8"/>
      <c r="E756" s="146"/>
      <c r="F756" s="146"/>
      <c r="G756" s="8"/>
      <c r="H756" s="8"/>
      <c r="I756" s="8"/>
    </row>
    <row r="757">
      <c r="A757" s="146" t="str">
        <f t="shared" si="54"/>
        <v>//-</v>
      </c>
      <c r="B757" s="152"/>
      <c r="C757" s="148"/>
      <c r="D757" s="8"/>
      <c r="E757" s="146"/>
      <c r="F757" s="146"/>
      <c r="G757" s="8"/>
      <c r="H757" s="8"/>
      <c r="I757" s="8"/>
    </row>
    <row r="758">
      <c r="A758" s="146" t="str">
        <f t="shared" si="54"/>
        <v>//-</v>
      </c>
      <c r="B758" s="152"/>
      <c r="C758" s="148"/>
      <c r="D758" s="8"/>
      <c r="E758" s="146"/>
      <c r="F758" s="146"/>
      <c r="G758" s="8"/>
      <c r="H758" s="8"/>
      <c r="I758" s="8"/>
    </row>
    <row r="759">
      <c r="A759" s="146" t="str">
        <f t="shared" si="54"/>
        <v>//-</v>
      </c>
      <c r="B759" s="152"/>
      <c r="C759" s="148"/>
      <c r="D759" s="8"/>
      <c r="E759" s="146"/>
      <c r="F759" s="146"/>
      <c r="G759" s="8"/>
      <c r="H759" s="8"/>
      <c r="I759" s="8"/>
    </row>
    <row r="760">
      <c r="A760" s="146" t="str">
        <f t="shared" si="54"/>
        <v>//-</v>
      </c>
      <c r="B760" s="152"/>
      <c r="C760" s="148"/>
      <c r="D760" s="8"/>
      <c r="E760" s="146"/>
      <c r="F760" s="146"/>
      <c r="G760" s="8"/>
      <c r="H760" s="8"/>
      <c r="I760" s="8"/>
    </row>
    <row r="761">
      <c r="A761" s="146" t="str">
        <f t="shared" si="54"/>
        <v>//-</v>
      </c>
      <c r="B761" s="152"/>
      <c r="C761" s="148"/>
      <c r="D761" s="8"/>
      <c r="E761" s="146"/>
      <c r="F761" s="146"/>
      <c r="G761" s="8"/>
      <c r="H761" s="8"/>
      <c r="I761" s="8"/>
    </row>
    <row r="762">
      <c r="A762" s="146" t="str">
        <f t="shared" si="54"/>
        <v>//-</v>
      </c>
      <c r="B762" s="152"/>
      <c r="C762" s="148"/>
      <c r="D762" s="8"/>
      <c r="E762" s="146"/>
      <c r="F762" s="146"/>
      <c r="G762" s="8"/>
      <c r="H762" s="8"/>
      <c r="I762" s="8"/>
    </row>
    <row r="763">
      <c r="A763" s="146" t="str">
        <f t="shared" si="54"/>
        <v>//-</v>
      </c>
      <c r="B763" s="152"/>
      <c r="C763" s="148"/>
      <c r="D763" s="8"/>
      <c r="E763" s="146"/>
      <c r="F763" s="146"/>
      <c r="G763" s="8"/>
      <c r="H763" s="8"/>
      <c r="I763" s="8"/>
    </row>
    <row r="764">
      <c r="A764" s="146" t="str">
        <f t="shared" si="54"/>
        <v>//-</v>
      </c>
      <c r="B764" s="152"/>
      <c r="C764" s="148"/>
      <c r="D764" s="8"/>
      <c r="E764" s="146"/>
      <c r="F764" s="146"/>
      <c r="G764" s="8"/>
      <c r="H764" s="8"/>
      <c r="I764" s="8"/>
    </row>
    <row r="765">
      <c r="A765" s="146" t="str">
        <f t="shared" si="54"/>
        <v>//-</v>
      </c>
      <c r="B765" s="152"/>
      <c r="C765" s="148"/>
      <c r="D765" s="8"/>
      <c r="E765" s="146"/>
      <c r="F765" s="146"/>
      <c r="G765" s="8"/>
      <c r="H765" s="8"/>
      <c r="I765" s="8"/>
    </row>
    <row r="766">
      <c r="A766" s="146" t="str">
        <f t="shared" si="54"/>
        <v>//-</v>
      </c>
      <c r="B766" s="152"/>
      <c r="C766" s="148"/>
      <c r="D766" s="8"/>
      <c r="E766" s="146"/>
      <c r="F766" s="146"/>
      <c r="G766" s="8"/>
      <c r="H766" s="8"/>
      <c r="I766" s="8"/>
    </row>
    <row r="767">
      <c r="A767" s="146" t="str">
        <f t="shared" si="54"/>
        <v>//-</v>
      </c>
      <c r="B767" s="152"/>
      <c r="C767" s="148"/>
      <c r="D767" s="8"/>
      <c r="E767" s="146"/>
      <c r="F767" s="146"/>
      <c r="G767" s="8"/>
      <c r="H767" s="8"/>
      <c r="I767" s="8"/>
    </row>
    <row r="768">
      <c r="A768" s="146" t="str">
        <f t="shared" si="54"/>
        <v>//-</v>
      </c>
      <c r="B768" s="152"/>
      <c r="C768" s="148"/>
      <c r="D768" s="8"/>
      <c r="E768" s="146"/>
      <c r="F768" s="146"/>
      <c r="G768" s="8"/>
      <c r="H768" s="8"/>
      <c r="I768" s="8"/>
    </row>
    <row r="769">
      <c r="A769" s="146" t="str">
        <f t="shared" si="54"/>
        <v>//-</v>
      </c>
      <c r="B769" s="152"/>
      <c r="C769" s="148"/>
      <c r="D769" s="8"/>
      <c r="E769" s="146"/>
      <c r="F769" s="146"/>
      <c r="G769" s="8"/>
      <c r="H769" s="8"/>
      <c r="I769" s="8"/>
    </row>
    <row r="770">
      <c r="A770" s="146" t="str">
        <f t="shared" si="54"/>
        <v>//-</v>
      </c>
      <c r="B770" s="152"/>
      <c r="C770" s="148"/>
      <c r="D770" s="8"/>
      <c r="E770" s="146"/>
      <c r="F770" s="146"/>
      <c r="G770" s="8"/>
      <c r="H770" s="8"/>
      <c r="I770" s="8"/>
    </row>
    <row r="771">
      <c r="A771" s="146" t="str">
        <f t="shared" si="54"/>
        <v>//-</v>
      </c>
      <c r="B771" s="152"/>
      <c r="C771" s="148"/>
      <c r="D771" s="8"/>
      <c r="E771" s="146"/>
      <c r="F771" s="146"/>
      <c r="G771" s="8"/>
      <c r="H771" s="8"/>
      <c r="I771" s="8"/>
    </row>
    <row r="772">
      <c r="A772" s="146" t="str">
        <f t="shared" si="54"/>
        <v>//-</v>
      </c>
      <c r="B772" s="152"/>
      <c r="C772" s="148"/>
      <c r="D772" s="8"/>
      <c r="E772" s="146"/>
      <c r="F772" s="146"/>
      <c r="G772" s="8"/>
      <c r="H772" s="8"/>
      <c r="I772" s="8"/>
    </row>
    <row r="773">
      <c r="A773" s="146" t="str">
        <f t="shared" si="54"/>
        <v>//-</v>
      </c>
      <c r="B773" s="152"/>
      <c r="C773" s="148"/>
      <c r="D773" s="8"/>
      <c r="E773" s="146"/>
      <c r="F773" s="146"/>
      <c r="G773" s="8"/>
      <c r="H773" s="8"/>
      <c r="I773" s="8"/>
    </row>
    <row r="774">
      <c r="A774" s="146" t="str">
        <f t="shared" si="54"/>
        <v>//-</v>
      </c>
      <c r="B774" s="152"/>
      <c r="C774" s="148"/>
      <c r="D774" s="8"/>
      <c r="E774" s="146"/>
      <c r="F774" s="146"/>
      <c r="G774" s="8"/>
      <c r="H774" s="8"/>
      <c r="I774" s="8"/>
    </row>
    <row r="775">
      <c r="A775" s="146" t="str">
        <f t="shared" si="54"/>
        <v>//-</v>
      </c>
      <c r="B775" s="152"/>
      <c r="C775" s="148"/>
      <c r="D775" s="8"/>
      <c r="E775" s="146"/>
      <c r="F775" s="146"/>
      <c r="G775" s="8"/>
      <c r="H775" s="8"/>
      <c r="I775" s="8"/>
    </row>
    <row r="776">
      <c r="A776" s="146" t="str">
        <f t="shared" si="54"/>
        <v>//-</v>
      </c>
      <c r="B776" s="152"/>
      <c r="C776" s="148"/>
      <c r="D776" s="8"/>
      <c r="E776" s="146"/>
      <c r="F776" s="146"/>
      <c r="G776" s="8"/>
      <c r="H776" s="8"/>
      <c r="I776" s="8"/>
    </row>
    <row r="777">
      <c r="A777" s="146" t="str">
        <f t="shared" si="54"/>
        <v>//-</v>
      </c>
      <c r="B777" s="152"/>
      <c r="C777" s="148"/>
      <c r="D777" s="8"/>
      <c r="E777" s="146"/>
      <c r="F777" s="146"/>
      <c r="G777" s="8"/>
      <c r="H777" s="8"/>
      <c r="I777" s="8"/>
    </row>
    <row r="778">
      <c r="A778" s="146" t="str">
        <f t="shared" si="54"/>
        <v>//-</v>
      </c>
      <c r="B778" s="152"/>
      <c r="C778" s="148"/>
      <c r="D778" s="8"/>
      <c r="E778" s="146"/>
      <c r="F778" s="146"/>
      <c r="G778" s="8"/>
      <c r="H778" s="8"/>
      <c r="I778" s="8"/>
    </row>
    <row r="779">
      <c r="A779" s="146" t="str">
        <f t="shared" si="54"/>
        <v>//-</v>
      </c>
      <c r="B779" s="152"/>
      <c r="C779" s="148"/>
      <c r="D779" s="8"/>
      <c r="E779" s="146"/>
      <c r="F779" s="146"/>
      <c r="G779" s="8"/>
      <c r="H779" s="8"/>
      <c r="I779" s="8"/>
    </row>
    <row r="780">
      <c r="A780" s="146" t="str">
        <f t="shared" si="54"/>
        <v>//-</v>
      </c>
      <c r="B780" s="152"/>
      <c r="C780" s="148"/>
      <c r="D780" s="8"/>
      <c r="E780" s="146"/>
      <c r="F780" s="146"/>
      <c r="G780" s="8"/>
      <c r="H780" s="8"/>
      <c r="I780" s="8"/>
    </row>
    <row r="781">
      <c r="A781" s="146" t="str">
        <f t="shared" si="54"/>
        <v>//-</v>
      </c>
      <c r="B781" s="152"/>
      <c r="C781" s="148"/>
      <c r="D781" s="8"/>
      <c r="E781" s="146"/>
      <c r="F781" s="146"/>
      <c r="G781" s="8"/>
      <c r="H781" s="8"/>
      <c r="I781" s="8"/>
    </row>
    <row r="782">
      <c r="A782" s="146" t="str">
        <f t="shared" si="54"/>
        <v>//-</v>
      </c>
      <c r="B782" s="152"/>
      <c r="C782" s="148"/>
      <c r="D782" s="8"/>
      <c r="E782" s="146"/>
      <c r="F782" s="146"/>
      <c r="G782" s="8"/>
      <c r="H782" s="8"/>
      <c r="I782" s="8"/>
    </row>
    <row r="783">
      <c r="A783" s="146" t="str">
        <f t="shared" si="54"/>
        <v>//-</v>
      </c>
      <c r="B783" s="152"/>
      <c r="C783" s="148"/>
      <c r="D783" s="8"/>
      <c r="E783" s="146"/>
      <c r="F783" s="146"/>
      <c r="G783" s="8"/>
      <c r="H783" s="8"/>
      <c r="I783" s="8"/>
    </row>
    <row r="784">
      <c r="A784" s="146" t="str">
        <f t="shared" si="54"/>
        <v>//-</v>
      </c>
      <c r="B784" s="152"/>
      <c r="C784" s="148"/>
      <c r="D784" s="8"/>
      <c r="E784" s="146"/>
      <c r="F784" s="146"/>
      <c r="G784" s="8"/>
      <c r="H784" s="8"/>
      <c r="I784" s="8"/>
    </row>
    <row r="785">
      <c r="A785" s="146" t="str">
        <f t="shared" si="54"/>
        <v>//-</v>
      </c>
      <c r="B785" s="152"/>
      <c r="C785" s="148"/>
      <c r="D785" s="8"/>
      <c r="E785" s="146"/>
      <c r="F785" s="146"/>
      <c r="G785" s="8"/>
      <c r="H785" s="8"/>
      <c r="I785" s="8"/>
    </row>
    <row r="786">
      <c r="A786" s="146" t="str">
        <f t="shared" si="54"/>
        <v>//-</v>
      </c>
      <c r="B786" s="152"/>
      <c r="C786" s="148"/>
      <c r="D786" s="8"/>
      <c r="E786" s="146"/>
      <c r="F786" s="146"/>
      <c r="G786" s="8"/>
      <c r="H786" s="8"/>
      <c r="I786" s="8"/>
    </row>
    <row r="787">
      <c r="A787" s="146" t="str">
        <f t="shared" si="54"/>
        <v>//-</v>
      </c>
      <c r="B787" s="152"/>
      <c r="C787" s="148"/>
      <c r="D787" s="8"/>
      <c r="E787" s="146"/>
      <c r="F787" s="146"/>
      <c r="G787" s="8"/>
      <c r="H787" s="8"/>
      <c r="I787" s="8"/>
    </row>
    <row r="788">
      <c r="A788" s="146" t="str">
        <f t="shared" si="54"/>
        <v>//-</v>
      </c>
      <c r="B788" s="152"/>
      <c r="C788" s="148"/>
      <c r="D788" s="8"/>
      <c r="E788" s="146"/>
      <c r="F788" s="146"/>
      <c r="G788" s="8"/>
      <c r="H788" s="8"/>
      <c r="I788" s="8"/>
    </row>
    <row r="789">
      <c r="A789" s="146" t="str">
        <f t="shared" si="54"/>
        <v>//-</v>
      </c>
      <c r="B789" s="152"/>
      <c r="C789" s="148"/>
      <c r="D789" s="8"/>
      <c r="E789" s="146"/>
      <c r="F789" s="146"/>
      <c r="G789" s="8"/>
      <c r="H789" s="8"/>
      <c r="I789" s="8"/>
    </row>
    <row r="790">
      <c r="A790" s="146" t="str">
        <f t="shared" si="54"/>
        <v>//-</v>
      </c>
      <c r="B790" s="152"/>
      <c r="C790" s="148"/>
      <c r="D790" s="8"/>
      <c r="E790" s="146"/>
      <c r="F790" s="146"/>
      <c r="G790" s="8"/>
      <c r="H790" s="8"/>
      <c r="I790" s="8"/>
    </row>
    <row r="791">
      <c r="A791" s="146" t="str">
        <f t="shared" si="54"/>
        <v>//-</v>
      </c>
      <c r="B791" s="152"/>
      <c r="C791" s="148"/>
      <c r="D791" s="8"/>
      <c r="E791" s="146"/>
      <c r="F791" s="146"/>
      <c r="G791" s="8"/>
      <c r="H791" s="8"/>
      <c r="I791" s="8"/>
    </row>
    <row r="792">
      <c r="A792" s="146" t="str">
        <f t="shared" si="54"/>
        <v>//-</v>
      </c>
      <c r="B792" s="152"/>
      <c r="C792" s="148"/>
      <c r="D792" s="8"/>
      <c r="E792" s="146"/>
      <c r="F792" s="146"/>
      <c r="G792" s="8"/>
      <c r="H792" s="8"/>
      <c r="I792" s="8"/>
    </row>
    <row r="793">
      <c r="A793" s="146" t="str">
        <f t="shared" si="54"/>
        <v>//-</v>
      </c>
      <c r="B793" s="152"/>
      <c r="C793" s="148"/>
      <c r="D793" s="8"/>
      <c r="E793" s="146"/>
      <c r="F793" s="146"/>
      <c r="G793" s="8"/>
      <c r="H793" s="8"/>
      <c r="I793" s="8"/>
    </row>
    <row r="794">
      <c r="A794" s="146" t="str">
        <f t="shared" si="54"/>
        <v>//-</v>
      </c>
      <c r="B794" s="152"/>
      <c r="C794" s="148"/>
      <c r="D794" s="8"/>
      <c r="E794" s="146"/>
      <c r="F794" s="146"/>
      <c r="G794" s="8"/>
      <c r="H794" s="8"/>
      <c r="I794" s="8"/>
    </row>
    <row r="795">
      <c r="A795" s="146" t="str">
        <f t="shared" si="54"/>
        <v>//-</v>
      </c>
      <c r="B795" s="152"/>
      <c r="C795" s="148"/>
      <c r="D795" s="8"/>
      <c r="E795" s="146"/>
      <c r="F795" s="146"/>
      <c r="G795" s="8"/>
      <c r="H795" s="8"/>
      <c r="I795" s="8"/>
    </row>
    <row r="796">
      <c r="A796" s="146" t="str">
        <f t="shared" si="54"/>
        <v>//-</v>
      </c>
      <c r="B796" s="152"/>
      <c r="C796" s="148"/>
      <c r="D796" s="8"/>
      <c r="E796" s="146"/>
      <c r="F796" s="146"/>
      <c r="G796" s="8"/>
      <c r="H796" s="8"/>
      <c r="I796" s="8"/>
    </row>
    <row r="797">
      <c r="A797" s="146" t="str">
        <f t="shared" si="54"/>
        <v>//-</v>
      </c>
      <c r="B797" s="152"/>
      <c r="C797" s="148"/>
      <c r="D797" s="8"/>
      <c r="E797" s="146"/>
      <c r="F797" s="146"/>
      <c r="G797" s="8"/>
      <c r="H797" s="8"/>
      <c r="I797" s="8"/>
    </row>
    <row r="798">
      <c r="A798" s="146" t="str">
        <f t="shared" si="54"/>
        <v>//-</v>
      </c>
      <c r="B798" s="152"/>
      <c r="C798" s="148"/>
      <c r="D798" s="8"/>
      <c r="E798" s="146"/>
      <c r="F798" s="146"/>
      <c r="G798" s="8"/>
      <c r="H798" s="8"/>
      <c r="I798" s="8"/>
    </row>
    <row r="799">
      <c r="A799" s="146" t="str">
        <f t="shared" si="54"/>
        <v>//-</v>
      </c>
      <c r="B799" s="152"/>
      <c r="C799" s="148"/>
      <c r="D799" s="8"/>
      <c r="E799" s="146"/>
      <c r="F799" s="146"/>
      <c r="G799" s="8"/>
      <c r="H799" s="8"/>
      <c r="I799" s="8"/>
    </row>
    <row r="800">
      <c r="A800" s="146" t="str">
        <f t="shared" si="54"/>
        <v>//-</v>
      </c>
      <c r="B800" s="152"/>
      <c r="C800" s="148"/>
      <c r="D800" s="8"/>
      <c r="E800" s="146"/>
      <c r="F800" s="146"/>
      <c r="G800" s="8"/>
      <c r="H800" s="8"/>
      <c r="I800" s="8"/>
    </row>
    <row r="801">
      <c r="A801" s="146" t="str">
        <f t="shared" si="54"/>
        <v>//-</v>
      </c>
      <c r="B801" s="152"/>
      <c r="C801" s="148"/>
      <c r="D801" s="8"/>
      <c r="E801" s="146"/>
      <c r="F801" s="146"/>
      <c r="G801" s="8"/>
      <c r="H801" s="8"/>
      <c r="I801" s="8"/>
    </row>
    <row r="802">
      <c r="A802" s="146" t="str">
        <f t="shared" si="54"/>
        <v>//-</v>
      </c>
      <c r="B802" s="152"/>
      <c r="C802" s="148"/>
      <c r="D802" s="8"/>
      <c r="E802" s="146"/>
      <c r="F802" s="146"/>
      <c r="G802" s="8"/>
      <c r="H802" s="8"/>
      <c r="I802" s="8"/>
    </row>
    <row r="803">
      <c r="A803" s="146" t="str">
        <f t="shared" si="54"/>
        <v>//-</v>
      </c>
      <c r="B803" s="152"/>
      <c r="C803" s="148"/>
      <c r="D803" s="8"/>
      <c r="E803" s="146"/>
      <c r="F803" s="146"/>
      <c r="G803" s="8"/>
      <c r="H803" s="8"/>
      <c r="I803" s="8"/>
    </row>
    <row r="804">
      <c r="A804" s="146" t="str">
        <f t="shared" si="54"/>
        <v>//-</v>
      </c>
      <c r="B804" s="152"/>
      <c r="C804" s="148"/>
      <c r="D804" s="8"/>
      <c r="E804" s="146"/>
      <c r="F804" s="146"/>
      <c r="G804" s="8"/>
      <c r="H804" s="8"/>
      <c r="I804" s="8"/>
    </row>
    <row r="805">
      <c r="A805" s="146" t="str">
        <f t="shared" si="54"/>
        <v>//-</v>
      </c>
      <c r="B805" s="152"/>
      <c r="C805" s="148"/>
      <c r="D805" s="8"/>
      <c r="E805" s="146"/>
      <c r="F805" s="146"/>
      <c r="G805" s="8"/>
      <c r="H805" s="8"/>
      <c r="I805" s="8"/>
    </row>
    <row r="806">
      <c r="A806" s="146" t="str">
        <f t="shared" si="54"/>
        <v>//-</v>
      </c>
      <c r="B806" s="152"/>
      <c r="C806" s="148"/>
      <c r="D806" s="8"/>
      <c r="E806" s="146"/>
      <c r="F806" s="146"/>
      <c r="G806" s="8"/>
      <c r="H806" s="8"/>
      <c r="I806" s="8"/>
    </row>
    <row r="807">
      <c r="A807" s="146" t="str">
        <f t="shared" si="54"/>
        <v>//-</v>
      </c>
      <c r="B807" s="152"/>
      <c r="C807" s="148"/>
      <c r="D807" s="8"/>
      <c r="E807" s="146"/>
      <c r="F807" s="146"/>
      <c r="G807" s="8"/>
      <c r="H807" s="8"/>
      <c r="I807" s="8"/>
    </row>
    <row r="808">
      <c r="A808" s="146" t="str">
        <f t="shared" si="54"/>
        <v>//-</v>
      </c>
      <c r="B808" s="152"/>
      <c r="C808" s="148"/>
      <c r="D808" s="8"/>
      <c r="E808" s="146"/>
      <c r="F808" s="146"/>
      <c r="G808" s="8"/>
      <c r="H808" s="8"/>
      <c r="I808" s="8"/>
    </row>
    <row r="809">
      <c r="A809" s="146" t="str">
        <f t="shared" si="54"/>
        <v>//-</v>
      </c>
      <c r="B809" s="152"/>
      <c r="C809" s="148"/>
      <c r="D809" s="8"/>
      <c r="E809" s="146"/>
      <c r="F809" s="146"/>
      <c r="G809" s="8"/>
      <c r="H809" s="8"/>
      <c r="I809" s="8"/>
    </row>
    <row r="810">
      <c r="A810" s="146" t="str">
        <f t="shared" si="54"/>
        <v>//-</v>
      </c>
      <c r="B810" s="152"/>
      <c r="C810" s="148"/>
      <c r="D810" s="8"/>
      <c r="E810" s="146"/>
      <c r="F810" s="146"/>
      <c r="G810" s="8"/>
      <c r="H810" s="8"/>
      <c r="I810" s="8"/>
    </row>
    <row r="811">
      <c r="A811" s="146" t="str">
        <f t="shared" si="54"/>
        <v>//-</v>
      </c>
      <c r="B811" s="152"/>
      <c r="C811" s="148"/>
      <c r="D811" s="8"/>
      <c r="E811" s="146"/>
      <c r="F811" s="146"/>
      <c r="G811" s="8"/>
      <c r="H811" s="8"/>
      <c r="I811" s="8"/>
    </row>
    <row r="812">
      <c r="A812" s="146" t="str">
        <f t="shared" si="54"/>
        <v>//-</v>
      </c>
      <c r="B812" s="152"/>
      <c r="C812" s="148"/>
      <c r="D812" s="8"/>
      <c r="E812" s="146"/>
      <c r="F812" s="146"/>
      <c r="G812" s="8"/>
      <c r="H812" s="8"/>
      <c r="I812" s="8"/>
    </row>
    <row r="813">
      <c r="A813" s="146" t="str">
        <f t="shared" si="54"/>
        <v>//-</v>
      </c>
      <c r="B813" s="152"/>
      <c r="C813" s="148"/>
      <c r="D813" s="8"/>
      <c r="E813" s="146"/>
      <c r="F813" s="146"/>
      <c r="G813" s="8"/>
      <c r="H813" s="8"/>
      <c r="I813" s="8"/>
    </row>
    <row r="814">
      <c r="A814" s="146" t="str">
        <f t="shared" si="54"/>
        <v>//-</v>
      </c>
      <c r="B814" s="152"/>
      <c r="C814" s="148"/>
      <c r="D814" s="8"/>
      <c r="E814" s="146"/>
      <c r="F814" s="146"/>
      <c r="G814" s="8"/>
      <c r="H814" s="8"/>
      <c r="I814" s="8"/>
    </row>
    <row r="815">
      <c r="A815" s="146" t="str">
        <f t="shared" si="54"/>
        <v>//-</v>
      </c>
      <c r="B815" s="152"/>
      <c r="C815" s="148"/>
      <c r="D815" s="8"/>
      <c r="E815" s="146"/>
      <c r="F815" s="146"/>
      <c r="G815" s="8"/>
      <c r="H815" s="8"/>
      <c r="I815" s="8"/>
    </row>
    <row r="816">
      <c r="A816" s="146" t="str">
        <f t="shared" si="54"/>
        <v>//-</v>
      </c>
      <c r="B816" s="152"/>
      <c r="C816" s="148"/>
      <c r="D816" s="8"/>
      <c r="E816" s="146"/>
      <c r="F816" s="146"/>
      <c r="G816" s="8"/>
      <c r="H816" s="8"/>
      <c r="I816" s="8"/>
    </row>
    <row r="817">
      <c r="A817" s="146" t="str">
        <f t="shared" si="54"/>
        <v>//-</v>
      </c>
      <c r="B817" s="152"/>
      <c r="C817" s="148"/>
      <c r="D817" s="8"/>
      <c r="E817" s="146"/>
      <c r="F817" s="146"/>
      <c r="G817" s="8"/>
      <c r="H817" s="8"/>
      <c r="I817" s="8"/>
    </row>
    <row r="818">
      <c r="A818" s="146" t="str">
        <f t="shared" si="54"/>
        <v>//-</v>
      </c>
      <c r="B818" s="152"/>
      <c r="C818" s="148"/>
      <c r="D818" s="8"/>
      <c r="E818" s="146"/>
      <c r="F818" s="146"/>
      <c r="G818" s="8"/>
      <c r="H818" s="8"/>
      <c r="I818" s="8"/>
    </row>
    <row r="819">
      <c r="A819" s="146" t="str">
        <f t="shared" si="54"/>
        <v>//-</v>
      </c>
      <c r="B819" s="152"/>
      <c r="C819" s="148"/>
      <c r="D819" s="8"/>
      <c r="E819" s="146"/>
      <c r="F819" s="146"/>
      <c r="G819" s="8"/>
      <c r="H819" s="8"/>
      <c r="I819" s="8"/>
    </row>
    <row r="820">
      <c r="A820" s="146" t="str">
        <f t="shared" si="54"/>
        <v>//-</v>
      </c>
      <c r="B820" s="152"/>
      <c r="C820" s="148"/>
      <c r="D820" s="8"/>
      <c r="E820" s="146"/>
      <c r="F820" s="146"/>
      <c r="G820" s="8"/>
      <c r="H820" s="8"/>
      <c r="I820" s="8"/>
    </row>
    <row r="821">
      <c r="A821" s="146" t="str">
        <f t="shared" si="54"/>
        <v>//-</v>
      </c>
      <c r="B821" s="152"/>
      <c r="C821" s="148"/>
      <c r="D821" s="8"/>
      <c r="E821" s="146"/>
      <c r="F821" s="146"/>
      <c r="G821" s="8"/>
      <c r="H821" s="8"/>
      <c r="I821" s="8"/>
    </row>
    <row r="822">
      <c r="A822" s="146" t="str">
        <f t="shared" si="54"/>
        <v>//-</v>
      </c>
      <c r="B822" s="152"/>
      <c r="C822" s="148"/>
      <c r="D822" s="8"/>
      <c r="E822" s="146"/>
      <c r="F822" s="146"/>
      <c r="G822" s="8"/>
      <c r="H822" s="8"/>
      <c r="I822" s="8"/>
    </row>
    <row r="823">
      <c r="A823" s="146" t="str">
        <f t="shared" si="54"/>
        <v>//-</v>
      </c>
      <c r="B823" s="152"/>
      <c r="C823" s="148"/>
      <c r="D823" s="8"/>
      <c r="E823" s="146"/>
      <c r="F823" s="146"/>
      <c r="G823" s="8"/>
      <c r="H823" s="8"/>
      <c r="I823" s="8"/>
    </row>
    <row r="824">
      <c r="A824" s="146" t="str">
        <f t="shared" si="54"/>
        <v>//-</v>
      </c>
      <c r="B824" s="152"/>
      <c r="C824" s="148"/>
      <c r="D824" s="8"/>
      <c r="E824" s="146"/>
      <c r="F824" s="146"/>
      <c r="G824" s="8"/>
      <c r="H824" s="8"/>
      <c r="I824" s="8"/>
    </row>
    <row r="825">
      <c r="A825" s="146" t="str">
        <f t="shared" si="54"/>
        <v>//-</v>
      </c>
      <c r="B825" s="152"/>
      <c r="C825" s="148"/>
      <c r="D825" s="8"/>
      <c r="E825" s="146"/>
      <c r="F825" s="146"/>
      <c r="G825" s="8"/>
      <c r="H825" s="8"/>
      <c r="I825" s="8"/>
    </row>
    <row r="826">
      <c r="A826" s="146" t="str">
        <f t="shared" si="54"/>
        <v>//-</v>
      </c>
      <c r="B826" s="152"/>
      <c r="C826" s="148"/>
      <c r="D826" s="8"/>
      <c r="E826" s="146"/>
      <c r="F826" s="146"/>
      <c r="G826" s="8"/>
      <c r="H826" s="8"/>
      <c r="I826" s="8"/>
    </row>
    <row r="827">
      <c r="A827" s="146" t="str">
        <f t="shared" si="54"/>
        <v>//-</v>
      </c>
      <c r="B827" s="152"/>
      <c r="C827" s="148"/>
      <c r="D827" s="8"/>
      <c r="E827" s="146"/>
      <c r="F827" s="146"/>
      <c r="G827" s="8"/>
      <c r="H827" s="8"/>
      <c r="I827" s="8"/>
    </row>
    <row r="828">
      <c r="A828" s="146" t="str">
        <f t="shared" si="54"/>
        <v>//-</v>
      </c>
      <c r="B828" s="152"/>
      <c r="C828" s="148"/>
      <c r="D828" s="8"/>
      <c r="E828" s="146"/>
      <c r="F828" s="146"/>
      <c r="G828" s="8"/>
      <c r="H828" s="8"/>
      <c r="I828" s="8"/>
    </row>
    <row r="829">
      <c r="A829" s="146" t="str">
        <f t="shared" si="54"/>
        <v>//-</v>
      </c>
      <c r="B829" s="152"/>
      <c r="C829" s="148"/>
      <c r="D829" s="8"/>
      <c r="E829" s="146"/>
      <c r="F829" s="146"/>
      <c r="G829" s="8"/>
      <c r="H829" s="8"/>
      <c r="I829" s="8"/>
    </row>
    <row r="830">
      <c r="A830" s="146" t="str">
        <f t="shared" si="54"/>
        <v>//-</v>
      </c>
      <c r="B830" s="152"/>
      <c r="C830" s="148"/>
      <c r="D830" s="8"/>
      <c r="E830" s="146"/>
      <c r="F830" s="146"/>
      <c r="G830" s="8"/>
      <c r="H830" s="8"/>
      <c r="I830" s="8"/>
    </row>
    <row r="831">
      <c r="A831" s="146" t="str">
        <f t="shared" si="54"/>
        <v>//-</v>
      </c>
      <c r="B831" s="152"/>
      <c r="C831" s="148"/>
      <c r="D831" s="8"/>
      <c r="E831" s="146"/>
      <c r="F831" s="146"/>
      <c r="G831" s="8"/>
      <c r="H831" s="8"/>
      <c r="I831" s="8"/>
    </row>
    <row r="832">
      <c r="A832" s="146" t="str">
        <f t="shared" si="54"/>
        <v>//-</v>
      </c>
      <c r="B832" s="152"/>
      <c r="C832" s="148"/>
      <c r="D832" s="8"/>
      <c r="E832" s="146"/>
      <c r="F832" s="146"/>
      <c r="G832" s="8"/>
      <c r="H832" s="8"/>
      <c r="I832" s="8"/>
    </row>
    <row r="833">
      <c r="A833" s="146" t="str">
        <f t="shared" si="54"/>
        <v>//-</v>
      </c>
      <c r="B833" s="152"/>
      <c r="C833" s="148"/>
      <c r="D833" s="8"/>
      <c r="E833" s="146"/>
      <c r="F833" s="146"/>
      <c r="G833" s="8"/>
      <c r="H833" s="8"/>
      <c r="I833" s="8"/>
    </row>
    <row r="834">
      <c r="A834" s="146" t="str">
        <f t="shared" si="54"/>
        <v>//-</v>
      </c>
      <c r="B834" s="152"/>
      <c r="C834" s="148"/>
      <c r="D834" s="8"/>
      <c r="E834" s="146"/>
      <c r="F834" s="146"/>
      <c r="G834" s="8"/>
      <c r="H834" s="8"/>
      <c r="I834" s="8"/>
    </row>
    <row r="835">
      <c r="A835" s="146" t="str">
        <f t="shared" si="54"/>
        <v>//-</v>
      </c>
      <c r="B835" s="152"/>
      <c r="C835" s="148"/>
      <c r="D835" s="8"/>
      <c r="E835" s="146"/>
      <c r="F835" s="146"/>
      <c r="G835" s="8"/>
      <c r="H835" s="8"/>
      <c r="I835" s="8"/>
    </row>
    <row r="836">
      <c r="A836" s="146" t="str">
        <f t="shared" si="54"/>
        <v>//-</v>
      </c>
      <c r="B836" s="152"/>
      <c r="C836" s="148"/>
      <c r="D836" s="8"/>
      <c r="E836" s="146"/>
      <c r="F836" s="146"/>
      <c r="G836" s="8"/>
      <c r="H836" s="8"/>
      <c r="I836" s="8"/>
    </row>
    <row r="837">
      <c r="A837" s="146" t="str">
        <f t="shared" si="54"/>
        <v>//-</v>
      </c>
      <c r="B837" s="152"/>
      <c r="C837" s="148"/>
      <c r="D837" s="8"/>
      <c r="E837" s="146"/>
      <c r="F837" s="146"/>
      <c r="G837" s="8"/>
      <c r="H837" s="8"/>
      <c r="I837" s="8"/>
    </row>
    <row r="838">
      <c r="A838" s="146" t="str">
        <f t="shared" si="54"/>
        <v>//-</v>
      </c>
      <c r="B838" s="152"/>
      <c r="C838" s="148"/>
      <c r="D838" s="8"/>
      <c r="E838" s="146"/>
      <c r="F838" s="146"/>
      <c r="G838" s="8"/>
      <c r="H838" s="8"/>
      <c r="I838" s="8"/>
    </row>
    <row r="839">
      <c r="A839" s="146" t="str">
        <f t="shared" si="54"/>
        <v>//-</v>
      </c>
      <c r="B839" s="152"/>
      <c r="C839" s="148"/>
      <c r="D839" s="8"/>
      <c r="E839" s="146"/>
      <c r="F839" s="146"/>
      <c r="G839" s="8"/>
      <c r="H839" s="8"/>
      <c r="I839" s="8"/>
    </row>
    <row r="840">
      <c r="A840" s="146" t="str">
        <f t="shared" si="54"/>
        <v>//-</v>
      </c>
      <c r="B840" s="152"/>
      <c r="C840" s="148"/>
      <c r="D840" s="8"/>
      <c r="E840" s="146"/>
      <c r="F840" s="146"/>
      <c r="G840" s="8"/>
      <c r="H840" s="8"/>
      <c r="I840" s="8"/>
    </row>
    <row r="841">
      <c r="A841" s="146" t="str">
        <f t="shared" si="54"/>
        <v>//-</v>
      </c>
      <c r="B841" s="152"/>
      <c r="C841" s="148"/>
      <c r="D841" s="8"/>
      <c r="E841" s="146"/>
      <c r="F841" s="146"/>
      <c r="G841" s="8"/>
      <c r="H841" s="8"/>
      <c r="I841" s="8"/>
    </row>
    <row r="842">
      <c r="A842" s="146" t="str">
        <f t="shared" si="54"/>
        <v>//-</v>
      </c>
      <c r="B842" s="152"/>
      <c r="C842" s="148"/>
      <c r="D842" s="8"/>
      <c r="E842" s="146"/>
      <c r="F842" s="146"/>
      <c r="G842" s="8"/>
      <c r="H842" s="8"/>
      <c r="I842" s="8"/>
    </row>
    <row r="843">
      <c r="A843" s="146" t="str">
        <f t="shared" si="54"/>
        <v>//-</v>
      </c>
      <c r="B843" s="152"/>
      <c r="C843" s="148"/>
      <c r="D843" s="8"/>
      <c r="E843" s="146"/>
      <c r="F843" s="146"/>
      <c r="G843" s="8"/>
      <c r="H843" s="8"/>
      <c r="I843" s="8"/>
    </row>
    <row r="844">
      <c r="A844" s="146" t="str">
        <f t="shared" si="54"/>
        <v>//-</v>
      </c>
      <c r="B844" s="152"/>
      <c r="C844" s="148"/>
      <c r="D844" s="8"/>
      <c r="E844" s="146"/>
      <c r="F844" s="146"/>
      <c r="G844" s="8"/>
      <c r="H844" s="8"/>
      <c r="I844" s="8"/>
    </row>
    <row r="845">
      <c r="A845" s="146" t="str">
        <f t="shared" si="54"/>
        <v>//-</v>
      </c>
      <c r="B845" s="152"/>
      <c r="C845" s="148"/>
      <c r="D845" s="8"/>
      <c r="E845" s="146"/>
      <c r="F845" s="146"/>
      <c r="G845" s="8"/>
      <c r="H845" s="8"/>
      <c r="I845" s="8"/>
    </row>
    <row r="846">
      <c r="A846" s="146" t="str">
        <f t="shared" si="54"/>
        <v>//-</v>
      </c>
      <c r="B846" s="152"/>
      <c r="C846" s="148"/>
      <c r="D846" s="8"/>
      <c r="E846" s="146"/>
      <c r="F846" s="146"/>
      <c r="G846" s="8"/>
      <c r="H846" s="8"/>
      <c r="I846" s="8"/>
    </row>
    <row r="847">
      <c r="A847" s="146" t="str">
        <f t="shared" si="54"/>
        <v>//-</v>
      </c>
      <c r="B847" s="152"/>
      <c r="C847" s="148"/>
      <c r="D847" s="8"/>
      <c r="E847" s="146"/>
      <c r="F847" s="146"/>
      <c r="G847" s="8"/>
      <c r="H847" s="8"/>
      <c r="I847" s="8"/>
    </row>
    <row r="848">
      <c r="A848" s="146" t="str">
        <f t="shared" si="54"/>
        <v>//-</v>
      </c>
      <c r="B848" s="152"/>
      <c r="C848" s="148"/>
      <c r="D848" s="8"/>
      <c r="E848" s="146"/>
      <c r="F848" s="146"/>
      <c r="G848" s="8"/>
      <c r="H848" s="8"/>
      <c r="I848" s="8"/>
    </row>
    <row r="849">
      <c r="A849" s="146" t="str">
        <f t="shared" si="54"/>
        <v>//-</v>
      </c>
      <c r="B849" s="152"/>
      <c r="C849" s="148"/>
      <c r="D849" s="8"/>
      <c r="E849" s="146"/>
      <c r="F849" s="146"/>
      <c r="G849" s="8"/>
      <c r="H849" s="8"/>
      <c r="I849" s="8"/>
    </row>
    <row r="850">
      <c r="A850" s="146" t="str">
        <f t="shared" si="54"/>
        <v>//-</v>
      </c>
      <c r="B850" s="152"/>
      <c r="C850" s="148"/>
      <c r="D850" s="8"/>
      <c r="E850" s="146"/>
      <c r="F850" s="146"/>
      <c r="G850" s="8"/>
      <c r="H850" s="8"/>
      <c r="I850" s="8"/>
    </row>
    <row r="851">
      <c r="A851" s="146" t="str">
        <f t="shared" si="54"/>
        <v>//-</v>
      </c>
      <c r="B851" s="152"/>
      <c r="C851" s="148"/>
      <c r="D851" s="8"/>
      <c r="E851" s="146"/>
      <c r="F851" s="146"/>
      <c r="G851" s="8"/>
      <c r="H851" s="8"/>
      <c r="I851" s="8"/>
    </row>
    <row r="852">
      <c r="A852" s="146" t="str">
        <f t="shared" si="54"/>
        <v>//-</v>
      </c>
      <c r="B852" s="152"/>
      <c r="C852" s="148"/>
      <c r="D852" s="8"/>
      <c r="E852" s="146"/>
      <c r="F852" s="146"/>
      <c r="G852" s="8"/>
      <c r="H852" s="8"/>
      <c r="I852" s="8"/>
    </row>
    <row r="853">
      <c r="A853" s="146" t="str">
        <f t="shared" si="54"/>
        <v>//-</v>
      </c>
      <c r="B853" s="152"/>
      <c r="C853" s="148"/>
      <c r="D853" s="8"/>
      <c r="E853" s="146"/>
      <c r="F853" s="146"/>
      <c r="G853" s="8"/>
      <c r="H853" s="8"/>
      <c r="I853" s="8"/>
    </row>
    <row r="854">
      <c r="A854" s="146" t="str">
        <f t="shared" si="54"/>
        <v>//-</v>
      </c>
      <c r="B854" s="152"/>
      <c r="C854" s="148"/>
      <c r="D854" s="8"/>
      <c r="E854" s="146"/>
      <c r="F854" s="146"/>
      <c r="G854" s="8"/>
      <c r="H854" s="8"/>
      <c r="I854" s="8"/>
    </row>
    <row r="855">
      <c r="A855" s="146" t="str">
        <f t="shared" si="54"/>
        <v>//-</v>
      </c>
      <c r="B855" s="152"/>
      <c r="C855" s="148"/>
      <c r="D855" s="8"/>
      <c r="E855" s="146"/>
      <c r="F855" s="146"/>
      <c r="G855" s="8"/>
      <c r="H855" s="8"/>
      <c r="I855" s="8"/>
    </row>
    <row r="856">
      <c r="A856" s="146" t="str">
        <f t="shared" si="54"/>
        <v>//-</v>
      </c>
      <c r="B856" s="152"/>
      <c r="C856" s="148"/>
      <c r="D856" s="8"/>
      <c r="E856" s="146"/>
      <c r="F856" s="146"/>
      <c r="G856" s="8"/>
      <c r="H856" s="8"/>
      <c r="I856" s="8"/>
    </row>
    <row r="857">
      <c r="A857" s="146" t="str">
        <f t="shared" si="54"/>
        <v>//-</v>
      </c>
      <c r="B857" s="152"/>
      <c r="C857" s="148"/>
      <c r="D857" s="8"/>
      <c r="E857" s="146"/>
      <c r="F857" s="146"/>
      <c r="G857" s="8"/>
      <c r="H857" s="8"/>
      <c r="I857" s="8"/>
    </row>
    <row r="858">
      <c r="A858" s="146" t="str">
        <f t="shared" si="54"/>
        <v>//-</v>
      </c>
      <c r="B858" s="152"/>
      <c r="C858" s="148"/>
      <c r="D858" s="8"/>
      <c r="E858" s="146"/>
      <c r="F858" s="146"/>
      <c r="G858" s="8"/>
      <c r="H858" s="8"/>
      <c r="I858" s="8"/>
    </row>
    <row r="859">
      <c r="A859" s="146" t="str">
        <f t="shared" si="54"/>
        <v>//-</v>
      </c>
      <c r="B859" s="152"/>
      <c r="C859" s="148"/>
      <c r="D859" s="8"/>
      <c r="E859" s="146"/>
      <c r="F859" s="146"/>
      <c r="G859" s="8"/>
      <c r="H859" s="8"/>
      <c r="I859" s="8"/>
    </row>
    <row r="860">
      <c r="A860" s="146" t="str">
        <f t="shared" si="54"/>
        <v>//-</v>
      </c>
      <c r="B860" s="152"/>
      <c r="C860" s="148"/>
      <c r="D860" s="8"/>
      <c r="E860" s="146"/>
      <c r="F860" s="146"/>
      <c r="G860" s="8"/>
      <c r="H860" s="8"/>
      <c r="I860" s="8"/>
    </row>
    <row r="861">
      <c r="A861" s="146" t="str">
        <f t="shared" si="54"/>
        <v>//-</v>
      </c>
      <c r="B861" s="152"/>
      <c r="C861" s="148"/>
      <c r="D861" s="8"/>
      <c r="E861" s="146"/>
      <c r="F861" s="146"/>
      <c r="G861" s="8"/>
      <c r="H861" s="8"/>
      <c r="I861" s="8"/>
    </row>
    <row r="862">
      <c r="A862" s="146" t="str">
        <f t="shared" si="54"/>
        <v>//-</v>
      </c>
      <c r="B862" s="152"/>
      <c r="C862" s="148"/>
      <c r="D862" s="8"/>
      <c r="E862" s="146"/>
      <c r="F862" s="146"/>
      <c r="G862" s="8"/>
      <c r="H862" s="8"/>
      <c r="I862" s="8"/>
    </row>
    <row r="863">
      <c r="A863" s="146" t="str">
        <f t="shared" si="54"/>
        <v>//-</v>
      </c>
      <c r="B863" s="152"/>
      <c r="C863" s="148"/>
      <c r="D863" s="8"/>
      <c r="E863" s="146"/>
      <c r="F863" s="146"/>
      <c r="G863" s="8"/>
      <c r="H863" s="8"/>
      <c r="I863" s="8"/>
    </row>
    <row r="864">
      <c r="A864" s="146" t="str">
        <f t="shared" si="54"/>
        <v>//-</v>
      </c>
      <c r="B864" s="152"/>
      <c r="C864" s="148"/>
      <c r="D864" s="8"/>
      <c r="E864" s="146"/>
      <c r="F864" s="146"/>
      <c r="G864" s="8"/>
      <c r="H864" s="8"/>
      <c r="I864" s="8"/>
    </row>
    <row r="865">
      <c r="A865" s="146" t="str">
        <f t="shared" si="54"/>
        <v>//-</v>
      </c>
      <c r="B865" s="152"/>
      <c r="C865" s="148"/>
      <c r="D865" s="8"/>
      <c r="E865" s="146"/>
      <c r="F865" s="146"/>
      <c r="G865" s="8"/>
      <c r="H865" s="8"/>
      <c r="I865" s="8"/>
    </row>
    <row r="866">
      <c r="A866" s="146" t="str">
        <f t="shared" si="54"/>
        <v>//-</v>
      </c>
      <c r="B866" s="152"/>
      <c r="C866" s="148"/>
      <c r="D866" s="8"/>
      <c r="E866" s="146"/>
      <c r="F866" s="146"/>
      <c r="G866" s="8"/>
      <c r="H866" s="8"/>
      <c r="I866" s="8"/>
    </row>
    <row r="867">
      <c r="A867" s="146" t="str">
        <f t="shared" si="54"/>
        <v>//-</v>
      </c>
      <c r="B867" s="152"/>
      <c r="C867" s="148"/>
      <c r="D867" s="8"/>
      <c r="E867" s="146"/>
      <c r="F867" s="146"/>
      <c r="G867" s="8"/>
      <c r="H867" s="8"/>
      <c r="I867" s="8"/>
    </row>
    <row r="868">
      <c r="A868" s="146" t="str">
        <f t="shared" si="54"/>
        <v>//-</v>
      </c>
      <c r="B868" s="152"/>
      <c r="C868" s="148"/>
      <c r="D868" s="8"/>
      <c r="E868" s="146"/>
      <c r="F868" s="146"/>
      <c r="G868" s="8"/>
      <c r="H868" s="8"/>
      <c r="I868" s="8"/>
    </row>
    <row r="869">
      <c r="A869" s="146" t="str">
        <f t="shared" si="54"/>
        <v>//-</v>
      </c>
      <c r="B869" s="152"/>
      <c r="C869" s="148"/>
      <c r="D869" s="8"/>
      <c r="E869" s="146"/>
      <c r="F869" s="146"/>
      <c r="G869" s="8"/>
      <c r="H869" s="8"/>
      <c r="I869" s="8"/>
    </row>
    <row r="870">
      <c r="A870" s="146" t="str">
        <f t="shared" si="54"/>
        <v>//-</v>
      </c>
      <c r="B870" s="152"/>
      <c r="C870" s="148"/>
      <c r="D870" s="8"/>
      <c r="E870" s="146"/>
      <c r="F870" s="146"/>
      <c r="G870" s="8"/>
      <c r="H870" s="8"/>
      <c r="I870" s="8"/>
    </row>
    <row r="871">
      <c r="A871" s="146" t="str">
        <f t="shared" si="54"/>
        <v>//-</v>
      </c>
      <c r="B871" s="152"/>
      <c r="C871" s="148"/>
      <c r="D871" s="8"/>
      <c r="E871" s="146"/>
      <c r="F871" s="146"/>
      <c r="G871" s="8"/>
      <c r="H871" s="8"/>
      <c r="I871" s="8"/>
    </row>
    <row r="872">
      <c r="A872" s="146" t="str">
        <f t="shared" si="54"/>
        <v>//-</v>
      </c>
      <c r="B872" s="152"/>
      <c r="C872" s="148"/>
      <c r="D872" s="8"/>
      <c r="E872" s="146"/>
      <c r="F872" s="146"/>
      <c r="G872" s="8"/>
      <c r="H872" s="8"/>
      <c r="I872" s="8"/>
    </row>
    <row r="873">
      <c r="A873" s="146" t="str">
        <f t="shared" si="54"/>
        <v>//-</v>
      </c>
      <c r="B873" s="152"/>
      <c r="C873" s="148"/>
      <c r="D873" s="8"/>
      <c r="E873" s="146"/>
      <c r="F873" s="146"/>
      <c r="G873" s="8"/>
      <c r="H873" s="8"/>
      <c r="I873" s="8"/>
    </row>
    <row r="874">
      <c r="A874" s="146" t="str">
        <f t="shared" si="54"/>
        <v>//-</v>
      </c>
      <c r="B874" s="152"/>
      <c r="C874" s="148"/>
      <c r="D874" s="8"/>
      <c r="E874" s="146"/>
      <c r="F874" s="146"/>
      <c r="G874" s="8"/>
      <c r="H874" s="8"/>
      <c r="I874" s="8"/>
    </row>
    <row r="875">
      <c r="A875" s="146" t="str">
        <f t="shared" si="54"/>
        <v>//-</v>
      </c>
      <c r="B875" s="152"/>
      <c r="C875" s="148"/>
      <c r="D875" s="8"/>
      <c r="E875" s="146"/>
      <c r="F875" s="146"/>
      <c r="G875" s="8"/>
      <c r="H875" s="8"/>
      <c r="I875" s="8"/>
    </row>
    <row r="876">
      <c r="A876" s="146" t="str">
        <f t="shared" si="54"/>
        <v>//-</v>
      </c>
      <c r="B876" s="152"/>
      <c r="C876" s="148"/>
      <c r="D876" s="8"/>
      <c r="E876" s="146"/>
      <c r="F876" s="146"/>
      <c r="G876" s="8"/>
      <c r="H876" s="8"/>
      <c r="I876" s="8"/>
    </row>
    <row r="877">
      <c r="A877" s="146" t="str">
        <f t="shared" si="54"/>
        <v>//-</v>
      </c>
      <c r="B877" s="152"/>
      <c r="C877" s="148"/>
      <c r="D877" s="8"/>
      <c r="E877" s="146"/>
      <c r="F877" s="146"/>
      <c r="G877" s="8"/>
      <c r="H877" s="8"/>
      <c r="I877" s="8"/>
    </row>
    <row r="878">
      <c r="A878" s="146" t="str">
        <f t="shared" si="54"/>
        <v>//-</v>
      </c>
      <c r="B878" s="152"/>
      <c r="C878" s="148"/>
      <c r="D878" s="8"/>
      <c r="E878" s="146"/>
      <c r="F878" s="146"/>
      <c r="G878" s="8"/>
      <c r="H878" s="8"/>
      <c r="I878" s="8"/>
    </row>
    <row r="879">
      <c r="A879" s="146" t="str">
        <f t="shared" si="54"/>
        <v>//-</v>
      </c>
      <c r="B879" s="152"/>
      <c r="C879" s="148"/>
      <c r="D879" s="8"/>
      <c r="E879" s="146"/>
      <c r="F879" s="146"/>
      <c r="G879" s="8"/>
      <c r="H879" s="8"/>
      <c r="I879" s="8"/>
    </row>
    <row r="880">
      <c r="A880" s="146" t="str">
        <f t="shared" si="54"/>
        <v>//-</v>
      </c>
      <c r="B880" s="152"/>
      <c r="C880" s="148"/>
      <c r="D880" s="8"/>
      <c r="E880" s="146"/>
      <c r="F880" s="146"/>
      <c r="G880" s="8"/>
      <c r="H880" s="8"/>
      <c r="I880" s="8"/>
    </row>
    <row r="881">
      <c r="A881" s="146" t="str">
        <f t="shared" si="54"/>
        <v>//-</v>
      </c>
      <c r="B881" s="152"/>
      <c r="C881" s="148"/>
      <c r="D881" s="8"/>
      <c r="E881" s="146"/>
      <c r="F881" s="146"/>
      <c r="G881" s="8"/>
      <c r="H881" s="8"/>
      <c r="I881" s="8"/>
    </row>
    <row r="882">
      <c r="A882" s="146" t="str">
        <f t="shared" si="54"/>
        <v>//-</v>
      </c>
      <c r="B882" s="152"/>
      <c r="C882" s="148"/>
      <c r="D882" s="8"/>
      <c r="E882" s="146"/>
      <c r="F882" s="146"/>
      <c r="G882" s="8"/>
      <c r="H882" s="8"/>
      <c r="I882" s="8"/>
    </row>
    <row r="883">
      <c r="A883" s="146" t="str">
        <f t="shared" si="54"/>
        <v>//-</v>
      </c>
      <c r="B883" s="152"/>
      <c r="C883" s="148"/>
      <c r="D883" s="8"/>
      <c r="E883" s="146"/>
      <c r="F883" s="146"/>
      <c r="G883" s="8"/>
      <c r="H883" s="8"/>
      <c r="I883" s="8"/>
    </row>
    <row r="884">
      <c r="A884" s="146" t="str">
        <f t="shared" si="54"/>
        <v>//-</v>
      </c>
      <c r="B884" s="152"/>
      <c r="C884" s="148"/>
      <c r="D884" s="8"/>
      <c r="E884" s="146"/>
      <c r="F884" s="146"/>
      <c r="G884" s="8"/>
      <c r="H884" s="8"/>
      <c r="I884" s="8"/>
    </row>
    <row r="885">
      <c r="A885" s="146" t="str">
        <f t="shared" si="54"/>
        <v>//-</v>
      </c>
      <c r="B885" s="152"/>
      <c r="C885" s="148"/>
      <c r="D885" s="8"/>
      <c r="E885" s="146"/>
      <c r="F885" s="146"/>
      <c r="G885" s="8"/>
      <c r="H885" s="8"/>
      <c r="I885" s="8"/>
    </row>
    <row r="886">
      <c r="A886" s="146" t="str">
        <f t="shared" si="54"/>
        <v>//-</v>
      </c>
      <c r="B886" s="152"/>
      <c r="C886" s="148"/>
      <c r="D886" s="8"/>
      <c r="E886" s="146"/>
      <c r="F886" s="146"/>
      <c r="G886" s="8"/>
      <c r="H886" s="8"/>
      <c r="I886" s="8"/>
    </row>
    <row r="887">
      <c r="A887" s="146" t="str">
        <f t="shared" si="54"/>
        <v>//-</v>
      </c>
      <c r="B887" s="152"/>
      <c r="C887" s="148"/>
      <c r="D887" s="8"/>
      <c r="E887" s="146"/>
      <c r="F887" s="146"/>
      <c r="G887" s="8"/>
      <c r="H887" s="8"/>
      <c r="I887" s="8"/>
    </row>
    <row r="888">
      <c r="A888" s="146" t="str">
        <f t="shared" si="54"/>
        <v>//-</v>
      </c>
      <c r="B888" s="152"/>
      <c r="C888" s="148"/>
      <c r="D888" s="8"/>
      <c r="E888" s="146"/>
      <c r="F888" s="146"/>
      <c r="G888" s="8"/>
      <c r="H888" s="8"/>
      <c r="I888" s="8"/>
    </row>
    <row r="889">
      <c r="A889" s="146" t="str">
        <f t="shared" si="54"/>
        <v>//-</v>
      </c>
      <c r="B889" s="152"/>
      <c r="C889" s="148"/>
      <c r="D889" s="8"/>
      <c r="E889" s="146"/>
      <c r="F889" s="146"/>
      <c r="G889" s="8"/>
      <c r="H889" s="8"/>
      <c r="I889" s="8"/>
    </row>
    <row r="890">
      <c r="A890" s="146" t="str">
        <f t="shared" si="54"/>
        <v>//-</v>
      </c>
      <c r="B890" s="152"/>
      <c r="C890" s="148"/>
      <c r="D890" s="8"/>
      <c r="E890" s="146"/>
      <c r="F890" s="146"/>
      <c r="G890" s="8"/>
      <c r="H890" s="8"/>
      <c r="I890" s="8"/>
    </row>
    <row r="891">
      <c r="A891" s="146" t="str">
        <f t="shared" si="54"/>
        <v>//-</v>
      </c>
      <c r="B891" s="152"/>
      <c r="C891" s="148"/>
      <c r="D891" s="8"/>
      <c r="E891" s="146"/>
      <c r="F891" s="146"/>
      <c r="G891" s="8"/>
      <c r="H891" s="8"/>
      <c r="I891" s="8"/>
    </row>
    <row r="892">
      <c r="A892" s="146" t="str">
        <f t="shared" si="54"/>
        <v>//-</v>
      </c>
      <c r="B892" s="152"/>
      <c r="C892" s="148"/>
      <c r="D892" s="8"/>
      <c r="E892" s="146"/>
      <c r="F892" s="146"/>
      <c r="G892" s="8"/>
      <c r="H892" s="8"/>
      <c r="I892" s="8"/>
    </row>
    <row r="893">
      <c r="A893" s="146" t="str">
        <f t="shared" si="54"/>
        <v>//-</v>
      </c>
      <c r="B893" s="152"/>
      <c r="C893" s="148"/>
      <c r="D893" s="8"/>
      <c r="E893" s="146"/>
      <c r="F893" s="146"/>
      <c r="G893" s="8"/>
      <c r="H893" s="8"/>
      <c r="I893" s="8"/>
    </row>
    <row r="894">
      <c r="A894" s="146" t="str">
        <f t="shared" si="54"/>
        <v>//-</v>
      </c>
      <c r="B894" s="152"/>
      <c r="C894" s="148"/>
      <c r="D894" s="8"/>
      <c r="E894" s="146"/>
      <c r="F894" s="146"/>
      <c r="G894" s="8"/>
      <c r="H894" s="8"/>
      <c r="I894" s="8"/>
    </row>
    <row r="895">
      <c r="A895" s="146" t="str">
        <f t="shared" si="54"/>
        <v>//-</v>
      </c>
      <c r="B895" s="152"/>
      <c r="C895" s="148"/>
      <c r="D895" s="8"/>
      <c r="E895" s="146"/>
      <c r="F895" s="146"/>
      <c r="G895" s="8"/>
      <c r="H895" s="8"/>
      <c r="I895" s="8"/>
    </row>
    <row r="896">
      <c r="A896" s="146" t="str">
        <f t="shared" si="54"/>
        <v>//-</v>
      </c>
      <c r="B896" s="152"/>
      <c r="C896" s="148"/>
      <c r="D896" s="8"/>
      <c r="E896" s="146"/>
      <c r="F896" s="146"/>
      <c r="G896" s="8"/>
      <c r="H896" s="8"/>
      <c r="I896" s="8"/>
    </row>
    <row r="897">
      <c r="A897" s="146" t="str">
        <f t="shared" si="54"/>
        <v>//-</v>
      </c>
      <c r="B897" s="152"/>
      <c r="C897" s="148"/>
      <c r="D897" s="8"/>
      <c r="E897" s="146"/>
      <c r="F897" s="146"/>
      <c r="G897" s="8"/>
      <c r="H897" s="8"/>
      <c r="I897" s="8"/>
    </row>
    <row r="898">
      <c r="A898" s="146" t="str">
        <f t="shared" si="54"/>
        <v>//-</v>
      </c>
      <c r="B898" s="152"/>
      <c r="C898" s="148"/>
      <c r="D898" s="8"/>
      <c r="E898" s="146"/>
      <c r="F898" s="146"/>
      <c r="G898" s="8"/>
      <c r="H898" s="8"/>
      <c r="I898" s="8"/>
    </row>
    <row r="899">
      <c r="A899" s="146" t="str">
        <f t="shared" si="54"/>
        <v>//-</v>
      </c>
      <c r="B899" s="152"/>
      <c r="C899" s="148"/>
      <c r="D899" s="8"/>
      <c r="E899" s="146"/>
      <c r="F899" s="146"/>
      <c r="G899" s="8"/>
      <c r="H899" s="8"/>
      <c r="I899" s="8"/>
    </row>
    <row r="900">
      <c r="A900" s="146" t="str">
        <f t="shared" si="54"/>
        <v>//-</v>
      </c>
      <c r="B900" s="152"/>
      <c r="C900" s="148"/>
      <c r="D900" s="8"/>
      <c r="E900" s="146"/>
      <c r="F900" s="146"/>
      <c r="G900" s="8"/>
      <c r="H900" s="8"/>
      <c r="I900" s="8"/>
    </row>
    <row r="901">
      <c r="A901" s="146" t="str">
        <f t="shared" si="54"/>
        <v>//-</v>
      </c>
      <c r="B901" s="152"/>
      <c r="C901" s="148"/>
      <c r="D901" s="8"/>
      <c r="E901" s="146"/>
      <c r="F901" s="146"/>
      <c r="G901" s="8"/>
      <c r="H901" s="8"/>
      <c r="I901" s="8"/>
    </row>
    <row r="902">
      <c r="A902" s="146" t="str">
        <f t="shared" si="54"/>
        <v>//-</v>
      </c>
      <c r="B902" s="152"/>
      <c r="C902" s="148"/>
      <c r="D902" s="8"/>
      <c r="E902" s="146"/>
      <c r="F902" s="146"/>
      <c r="G902" s="8"/>
      <c r="H902" s="8"/>
      <c r="I902" s="8"/>
    </row>
    <row r="903">
      <c r="A903" s="146" t="str">
        <f t="shared" si="54"/>
        <v>//-</v>
      </c>
      <c r="B903" s="152"/>
      <c r="C903" s="148"/>
      <c r="D903" s="8"/>
      <c r="E903" s="146"/>
      <c r="F903" s="146"/>
      <c r="G903" s="8"/>
      <c r="H903" s="8"/>
      <c r="I903" s="8"/>
    </row>
    <row r="904">
      <c r="A904" s="146" t="str">
        <f t="shared" si="54"/>
        <v>//-</v>
      </c>
      <c r="B904" s="152"/>
      <c r="C904" s="148"/>
      <c r="D904" s="8"/>
      <c r="E904" s="146"/>
      <c r="F904" s="146"/>
      <c r="G904" s="8"/>
      <c r="H904" s="8"/>
      <c r="I904" s="8"/>
    </row>
    <row r="905">
      <c r="A905" s="146" t="str">
        <f t="shared" si="54"/>
        <v>//-</v>
      </c>
      <c r="B905" s="152"/>
      <c r="C905" s="148"/>
      <c r="D905" s="8"/>
      <c r="E905" s="146"/>
      <c r="F905" s="146"/>
      <c r="G905" s="8"/>
      <c r="H905" s="8"/>
      <c r="I905" s="8"/>
    </row>
    <row r="906">
      <c r="A906" s="146" t="str">
        <f t="shared" si="54"/>
        <v>//-</v>
      </c>
      <c r="B906" s="152"/>
      <c r="C906" s="148"/>
      <c r="D906" s="8"/>
      <c r="E906" s="146"/>
      <c r="F906" s="146"/>
      <c r="G906" s="8"/>
      <c r="H906" s="8"/>
      <c r="I906" s="8"/>
    </row>
    <row r="907">
      <c r="A907" s="146" t="str">
        <f t="shared" si="54"/>
        <v>//-</v>
      </c>
      <c r="B907" s="152"/>
      <c r="C907" s="148"/>
      <c r="D907" s="8"/>
      <c r="E907" s="146"/>
      <c r="F907" s="146"/>
      <c r="G907" s="8"/>
      <c r="H907" s="8"/>
      <c r="I907" s="8"/>
    </row>
    <row r="908">
      <c r="A908" s="146" t="str">
        <f t="shared" si="54"/>
        <v>//-</v>
      </c>
      <c r="B908" s="152"/>
      <c r="C908" s="148"/>
      <c r="D908" s="8"/>
      <c r="E908" s="146"/>
      <c r="F908" s="146"/>
      <c r="G908" s="8"/>
      <c r="H908" s="8"/>
      <c r="I908" s="8"/>
    </row>
    <row r="909">
      <c r="A909" s="146" t="str">
        <f t="shared" si="54"/>
        <v>//-</v>
      </c>
      <c r="B909" s="152"/>
      <c r="C909" s="148"/>
      <c r="D909" s="8"/>
      <c r="E909" s="146"/>
      <c r="F909" s="146"/>
      <c r="G909" s="8"/>
      <c r="H909" s="8"/>
      <c r="I909" s="8"/>
    </row>
    <row r="910">
      <c r="A910" s="146" t="str">
        <f t="shared" si="54"/>
        <v>//-</v>
      </c>
      <c r="B910" s="152"/>
      <c r="C910" s="148"/>
      <c r="D910" s="8"/>
      <c r="E910" s="146"/>
      <c r="F910" s="146"/>
      <c r="G910" s="8"/>
      <c r="H910" s="8"/>
      <c r="I910" s="8"/>
    </row>
    <row r="911">
      <c r="A911" s="146" t="str">
        <f t="shared" si="54"/>
        <v>//-</v>
      </c>
      <c r="B911" s="152"/>
      <c r="C911" s="148"/>
      <c r="D911" s="8"/>
      <c r="E911" s="146"/>
      <c r="F911" s="146"/>
      <c r="G911" s="8"/>
      <c r="H911" s="8"/>
      <c r="I911" s="8"/>
    </row>
    <row r="912">
      <c r="A912" s="146" t="str">
        <f t="shared" si="54"/>
        <v>//-</v>
      </c>
      <c r="B912" s="152"/>
      <c r="C912" s="148"/>
      <c r="D912" s="8"/>
      <c r="E912" s="146"/>
      <c r="F912" s="146"/>
      <c r="G912" s="8"/>
      <c r="H912" s="8"/>
      <c r="I912" s="8"/>
    </row>
    <row r="913">
      <c r="A913" s="146" t="str">
        <f t="shared" si="54"/>
        <v>//-</v>
      </c>
      <c r="B913" s="152"/>
      <c r="C913" s="148"/>
      <c r="D913" s="8"/>
      <c r="E913" s="146"/>
      <c r="F913" s="146"/>
      <c r="G913" s="8"/>
      <c r="H913" s="8"/>
      <c r="I913" s="8"/>
    </row>
    <row r="914">
      <c r="A914" s="146" t="str">
        <f t="shared" si="54"/>
        <v>//-</v>
      </c>
      <c r="B914" s="152"/>
      <c r="C914" s="148"/>
      <c r="D914" s="8"/>
      <c r="E914" s="146"/>
      <c r="F914" s="146"/>
      <c r="G914" s="8"/>
      <c r="H914" s="8"/>
      <c r="I914" s="8"/>
    </row>
    <row r="915">
      <c r="A915" s="146" t="str">
        <f t="shared" si="54"/>
        <v>//-</v>
      </c>
      <c r="B915" s="152"/>
      <c r="C915" s="148"/>
      <c r="D915" s="8"/>
      <c r="E915" s="146"/>
      <c r="F915" s="146"/>
      <c r="G915" s="8"/>
      <c r="H915" s="8"/>
      <c r="I915" s="8"/>
    </row>
    <row r="916">
      <c r="A916" s="146" t="str">
        <f t="shared" si="54"/>
        <v>//-</v>
      </c>
      <c r="B916" s="152"/>
      <c r="C916" s="148"/>
      <c r="D916" s="8"/>
      <c r="E916" s="146"/>
      <c r="F916" s="146"/>
      <c r="G916" s="8"/>
      <c r="H916" s="8"/>
      <c r="I916" s="8"/>
    </row>
    <row r="917">
      <c r="A917" s="146" t="str">
        <f t="shared" si="54"/>
        <v>//-</v>
      </c>
      <c r="B917" s="152"/>
      <c r="C917" s="148"/>
      <c r="D917" s="8"/>
      <c r="E917" s="146"/>
      <c r="F917" s="146"/>
      <c r="G917" s="8"/>
      <c r="H917" s="8"/>
      <c r="I917" s="8"/>
    </row>
    <row r="918">
      <c r="A918" s="146" t="str">
        <f t="shared" si="54"/>
        <v>//-</v>
      </c>
      <c r="B918" s="152"/>
      <c r="C918" s="148"/>
      <c r="D918" s="8"/>
      <c r="E918" s="146"/>
      <c r="F918" s="146"/>
      <c r="G918" s="8"/>
      <c r="H918" s="8"/>
      <c r="I918" s="8"/>
    </row>
    <row r="919">
      <c r="A919" s="146" t="str">
        <f t="shared" si="54"/>
        <v>//-</v>
      </c>
      <c r="B919" s="152"/>
      <c r="C919" s="148"/>
      <c r="D919" s="8"/>
      <c r="E919" s="146"/>
      <c r="F919" s="146"/>
      <c r="G919" s="8"/>
      <c r="H919" s="8"/>
      <c r="I919" s="8"/>
    </row>
    <row r="920">
      <c r="A920" s="146" t="str">
        <f t="shared" si="54"/>
        <v>//-</v>
      </c>
      <c r="B920" s="152"/>
      <c r="C920" s="148"/>
      <c r="D920" s="8"/>
      <c r="E920" s="146"/>
      <c r="F920" s="146"/>
      <c r="G920" s="8"/>
      <c r="H920" s="8"/>
      <c r="I920" s="8"/>
    </row>
    <row r="921">
      <c r="A921" s="146" t="str">
        <f t="shared" si="54"/>
        <v>//-</v>
      </c>
      <c r="B921" s="152"/>
      <c r="C921" s="148"/>
      <c r="D921" s="8"/>
      <c r="E921" s="146"/>
      <c r="F921" s="146"/>
      <c r="G921" s="8"/>
      <c r="H921" s="8"/>
      <c r="I921" s="8"/>
    </row>
    <row r="922">
      <c r="A922" s="146" t="str">
        <f t="shared" si="54"/>
        <v>//-</v>
      </c>
      <c r="B922" s="152"/>
      <c r="C922" s="148"/>
      <c r="D922" s="8"/>
      <c r="E922" s="146"/>
      <c r="F922" s="146"/>
      <c r="G922" s="8"/>
      <c r="H922" s="8"/>
      <c r="I922" s="8"/>
    </row>
    <row r="923">
      <c r="A923" s="146" t="str">
        <f t="shared" si="54"/>
        <v>//-</v>
      </c>
      <c r="B923" s="152"/>
      <c r="C923" s="148"/>
      <c r="D923" s="8"/>
      <c r="E923" s="146"/>
      <c r="F923" s="146"/>
      <c r="G923" s="8"/>
      <c r="H923" s="8"/>
      <c r="I923" s="8"/>
    </row>
    <row r="924">
      <c r="A924" s="146" t="str">
        <f t="shared" si="54"/>
        <v>//-</v>
      </c>
      <c r="B924" s="152"/>
      <c r="C924" s="148"/>
      <c r="D924" s="8"/>
      <c r="E924" s="146"/>
      <c r="F924" s="146"/>
      <c r="G924" s="8"/>
      <c r="H924" s="8"/>
      <c r="I924" s="8"/>
    </row>
    <row r="925">
      <c r="A925" s="146" t="str">
        <f t="shared" si="54"/>
        <v>//-</v>
      </c>
      <c r="B925" s="152"/>
      <c r="C925" s="148"/>
      <c r="D925" s="8"/>
      <c r="E925" s="146"/>
      <c r="F925" s="146"/>
      <c r="G925" s="8"/>
      <c r="H925" s="8"/>
      <c r="I925" s="8"/>
    </row>
    <row r="926">
      <c r="A926" s="146" t="str">
        <f t="shared" si="54"/>
        <v>//-</v>
      </c>
      <c r="B926" s="152"/>
      <c r="C926" s="148"/>
      <c r="D926" s="8"/>
      <c r="E926" s="146"/>
      <c r="F926" s="146"/>
      <c r="G926" s="8"/>
      <c r="H926" s="8"/>
      <c r="I926" s="8"/>
    </row>
    <row r="927">
      <c r="A927" s="146" t="str">
        <f t="shared" si="54"/>
        <v>//-</v>
      </c>
      <c r="B927" s="152"/>
      <c r="C927" s="148"/>
      <c r="D927" s="8"/>
      <c r="E927" s="146"/>
      <c r="F927" s="146"/>
      <c r="G927" s="8"/>
      <c r="H927" s="8"/>
      <c r="I927" s="8"/>
    </row>
    <row r="928">
      <c r="A928" s="146" t="str">
        <f t="shared" si="54"/>
        <v>//-</v>
      </c>
      <c r="B928" s="152"/>
      <c r="C928" s="148"/>
      <c r="D928" s="8"/>
      <c r="E928" s="146"/>
      <c r="F928" s="146"/>
      <c r="G928" s="8"/>
      <c r="H928" s="8"/>
      <c r="I928" s="8"/>
    </row>
    <row r="929">
      <c r="A929" s="146" t="str">
        <f t="shared" si="54"/>
        <v>//-</v>
      </c>
      <c r="B929" s="152"/>
      <c r="C929" s="148"/>
      <c r="D929" s="8"/>
      <c r="E929" s="146"/>
      <c r="F929" s="146"/>
      <c r="G929" s="8"/>
      <c r="H929" s="8"/>
      <c r="I929" s="8"/>
    </row>
    <row r="930">
      <c r="A930" s="146" t="str">
        <f t="shared" si="54"/>
        <v>//-</v>
      </c>
      <c r="B930" s="152"/>
      <c r="C930" s="148"/>
      <c r="D930" s="8"/>
      <c r="E930" s="146"/>
      <c r="F930" s="146"/>
      <c r="G930" s="8"/>
      <c r="H930" s="8"/>
      <c r="I930" s="8"/>
    </row>
    <row r="931">
      <c r="A931" s="146" t="str">
        <f t="shared" si="54"/>
        <v>//-</v>
      </c>
      <c r="B931" s="152"/>
      <c r="C931" s="148"/>
      <c r="D931" s="8"/>
      <c r="E931" s="146"/>
      <c r="F931" s="146"/>
      <c r="G931" s="8"/>
      <c r="H931" s="8"/>
      <c r="I931" s="8"/>
    </row>
    <row r="932">
      <c r="A932" s="146" t="str">
        <f t="shared" si="54"/>
        <v>//-</v>
      </c>
      <c r="B932" s="152"/>
      <c r="C932" s="148"/>
      <c r="D932" s="8"/>
      <c r="E932" s="146"/>
      <c r="F932" s="146"/>
      <c r="G932" s="8"/>
      <c r="H932" s="8"/>
      <c r="I932" s="8"/>
    </row>
    <row r="933">
      <c r="A933" s="146" t="str">
        <f t="shared" si="54"/>
        <v>//-</v>
      </c>
      <c r="B933" s="152"/>
      <c r="C933" s="148"/>
      <c r="D933" s="8"/>
      <c r="E933" s="146"/>
      <c r="F933" s="146"/>
      <c r="G933" s="8"/>
      <c r="H933" s="8"/>
      <c r="I933" s="8"/>
    </row>
    <row r="934">
      <c r="A934" s="146" t="str">
        <f t="shared" si="54"/>
        <v>//-</v>
      </c>
      <c r="B934" s="152"/>
      <c r="C934" s="148"/>
      <c r="D934" s="8"/>
      <c r="E934" s="146"/>
      <c r="F934" s="146"/>
      <c r="G934" s="8"/>
      <c r="H934" s="8"/>
      <c r="I934" s="8"/>
    </row>
    <row r="935">
      <c r="A935" s="146" t="str">
        <f t="shared" si="54"/>
        <v>//-</v>
      </c>
      <c r="B935" s="152"/>
      <c r="C935" s="148"/>
      <c r="D935" s="8"/>
      <c r="E935" s="146"/>
      <c r="F935" s="146"/>
      <c r="G935" s="8"/>
      <c r="H935" s="8"/>
      <c r="I935" s="8"/>
    </row>
    <row r="936">
      <c r="A936" s="146" t="str">
        <f t="shared" si="54"/>
        <v>//-</v>
      </c>
      <c r="B936" s="152"/>
      <c r="C936" s="148"/>
      <c r="D936" s="8"/>
      <c r="E936" s="146"/>
      <c r="F936" s="146"/>
      <c r="G936" s="8"/>
      <c r="H936" s="8"/>
      <c r="I936" s="8"/>
    </row>
    <row r="937">
      <c r="A937" s="146" t="str">
        <f t="shared" si="54"/>
        <v>//-</v>
      </c>
      <c r="B937" s="152"/>
      <c r="C937" s="148"/>
      <c r="D937" s="8"/>
      <c r="E937" s="146"/>
      <c r="F937" s="146"/>
      <c r="G937" s="8"/>
      <c r="H937" s="8"/>
      <c r="I937" s="8"/>
    </row>
    <row r="938">
      <c r="A938" s="146" t="str">
        <f t="shared" si="54"/>
        <v>//-</v>
      </c>
      <c r="B938" s="152"/>
      <c r="C938" s="148"/>
      <c r="D938" s="8"/>
      <c r="E938" s="146"/>
      <c r="F938" s="146"/>
      <c r="G938" s="8"/>
      <c r="H938" s="8"/>
      <c r="I938" s="8"/>
    </row>
    <row r="939">
      <c r="A939" s="146" t="str">
        <f t="shared" si="54"/>
        <v>//-</v>
      </c>
      <c r="B939" s="152"/>
      <c r="C939" s="148"/>
      <c r="D939" s="8"/>
      <c r="E939" s="146"/>
      <c r="F939" s="146"/>
      <c r="G939" s="8"/>
      <c r="H939" s="8"/>
      <c r="I939" s="8"/>
    </row>
    <row r="940">
      <c r="A940" s="146" t="str">
        <f t="shared" si="54"/>
        <v>//-</v>
      </c>
      <c r="B940" s="152"/>
      <c r="C940" s="148"/>
      <c r="D940" s="8"/>
      <c r="E940" s="146"/>
      <c r="F940" s="146"/>
      <c r="G940" s="8"/>
      <c r="H940" s="8"/>
      <c r="I940" s="8"/>
    </row>
    <row r="941">
      <c r="A941" s="146" t="str">
        <f t="shared" si="54"/>
        <v>//-</v>
      </c>
      <c r="B941" s="152"/>
      <c r="C941" s="148"/>
      <c r="D941" s="8"/>
      <c r="E941" s="146"/>
      <c r="F941" s="146"/>
      <c r="G941" s="8"/>
      <c r="H941" s="8"/>
      <c r="I941" s="8"/>
    </row>
    <row r="942">
      <c r="A942" s="146" t="str">
        <f t="shared" si="54"/>
        <v>//-</v>
      </c>
      <c r="B942" s="152"/>
      <c r="C942" s="148"/>
      <c r="D942" s="8"/>
      <c r="E942" s="146"/>
      <c r="F942" s="146"/>
      <c r="G942" s="8"/>
      <c r="H942" s="8"/>
      <c r="I942" s="8"/>
    </row>
    <row r="943">
      <c r="A943" s="146" t="str">
        <f t="shared" si="54"/>
        <v>//-</v>
      </c>
      <c r="B943" s="152"/>
      <c r="C943" s="148"/>
      <c r="D943" s="8"/>
      <c r="E943" s="146"/>
      <c r="F943" s="146"/>
      <c r="G943" s="8"/>
      <c r="H943" s="8"/>
      <c r="I943" s="8"/>
    </row>
    <row r="944">
      <c r="A944" s="146" t="str">
        <f t="shared" si="54"/>
        <v>//-</v>
      </c>
      <c r="B944" s="152"/>
      <c r="C944" s="148"/>
      <c r="D944" s="8"/>
      <c r="E944" s="146"/>
      <c r="F944" s="146"/>
      <c r="G944" s="8"/>
      <c r="H944" s="8"/>
      <c r="I944" s="8"/>
    </row>
    <row r="945">
      <c r="A945" s="146" t="str">
        <f t="shared" si="54"/>
        <v>//-</v>
      </c>
      <c r="B945" s="152"/>
      <c r="C945" s="148"/>
      <c r="D945" s="8"/>
      <c r="E945" s="146"/>
      <c r="F945" s="146"/>
      <c r="G945" s="8"/>
      <c r="H945" s="8"/>
      <c r="I945" s="8"/>
    </row>
    <row r="946">
      <c r="A946" s="146" t="str">
        <f t="shared" si="54"/>
        <v>//-</v>
      </c>
      <c r="B946" s="152"/>
      <c r="C946" s="148"/>
      <c r="D946" s="8"/>
      <c r="E946" s="146"/>
      <c r="F946" s="146"/>
      <c r="G946" s="8"/>
      <c r="H946" s="8"/>
      <c r="I946" s="8"/>
    </row>
    <row r="947">
      <c r="A947" s="146" t="str">
        <f t="shared" si="54"/>
        <v>//-</v>
      </c>
      <c r="B947" s="152"/>
      <c r="C947" s="148"/>
      <c r="D947" s="8"/>
      <c r="E947" s="146"/>
      <c r="F947" s="146"/>
      <c r="G947" s="8"/>
      <c r="H947" s="8"/>
      <c r="I947" s="8"/>
    </row>
    <row r="948">
      <c r="A948" s="146" t="str">
        <f t="shared" si="54"/>
        <v>//-</v>
      </c>
      <c r="B948" s="152"/>
      <c r="C948" s="148"/>
      <c r="D948" s="8"/>
      <c r="E948" s="146"/>
      <c r="F948" s="146"/>
      <c r="G948" s="8"/>
      <c r="H948" s="8"/>
      <c r="I948" s="8"/>
    </row>
    <row r="949">
      <c r="A949" s="146" t="str">
        <f t="shared" si="54"/>
        <v>//-</v>
      </c>
      <c r="B949" s="152"/>
      <c r="C949" s="148"/>
      <c r="D949" s="8"/>
      <c r="E949" s="146"/>
      <c r="F949" s="146"/>
      <c r="G949" s="8"/>
      <c r="H949" s="8"/>
      <c r="I949" s="8"/>
    </row>
    <row r="950">
      <c r="A950" s="146" t="str">
        <f t="shared" si="54"/>
        <v>//-</v>
      </c>
      <c r="B950" s="152"/>
      <c r="C950" s="148"/>
      <c r="D950" s="8"/>
      <c r="E950" s="146"/>
      <c r="F950" s="146"/>
      <c r="G950" s="8"/>
      <c r="H950" s="8"/>
      <c r="I950" s="8"/>
    </row>
    <row r="951">
      <c r="A951" s="146" t="str">
        <f t="shared" si="54"/>
        <v>//-</v>
      </c>
      <c r="B951" s="152"/>
      <c r="C951" s="148"/>
      <c r="D951" s="8"/>
      <c r="E951" s="146"/>
      <c r="F951" s="146"/>
      <c r="G951" s="8"/>
      <c r="H951" s="8"/>
      <c r="I951" s="8"/>
    </row>
    <row r="952">
      <c r="A952" s="146" t="str">
        <f t="shared" si="54"/>
        <v>//-</v>
      </c>
      <c r="B952" s="152"/>
      <c r="C952" s="148"/>
      <c r="D952" s="8"/>
      <c r="E952" s="146"/>
      <c r="F952" s="146"/>
      <c r="G952" s="8"/>
      <c r="H952" s="8"/>
      <c r="I952" s="8"/>
    </row>
    <row r="953">
      <c r="A953" s="146" t="str">
        <f t="shared" si="54"/>
        <v>//-</v>
      </c>
      <c r="B953" s="152"/>
      <c r="C953" s="148"/>
      <c r="D953" s="8"/>
      <c r="E953" s="146"/>
      <c r="F953" s="146"/>
      <c r="G953" s="8"/>
      <c r="H953" s="8"/>
      <c r="I953" s="8"/>
    </row>
    <row r="954">
      <c r="A954" s="146" t="str">
        <f t="shared" si="54"/>
        <v>//-</v>
      </c>
      <c r="B954" s="152"/>
      <c r="C954" s="148"/>
      <c r="D954" s="8"/>
      <c r="E954" s="146"/>
      <c r="F954" s="146"/>
      <c r="G954" s="8"/>
      <c r="H954" s="8"/>
      <c r="I954" s="8"/>
    </row>
    <row r="955">
      <c r="A955" s="146" t="str">
        <f t="shared" si="54"/>
        <v>//-</v>
      </c>
      <c r="B955" s="152"/>
      <c r="C955" s="148"/>
      <c r="D955" s="8"/>
      <c r="E955" s="146"/>
      <c r="F955" s="146"/>
      <c r="G955" s="8"/>
      <c r="H955" s="8"/>
      <c r="I955" s="8"/>
    </row>
    <row r="956">
      <c r="A956" s="146" t="str">
        <f t="shared" si="54"/>
        <v>//-</v>
      </c>
      <c r="B956" s="152"/>
      <c r="C956" s="148"/>
      <c r="D956" s="8"/>
      <c r="E956" s="146"/>
      <c r="F956" s="146"/>
      <c r="G956" s="8"/>
      <c r="H956" s="8"/>
      <c r="I956" s="8"/>
    </row>
    <row r="957">
      <c r="A957" s="146" t="str">
        <f t="shared" si="54"/>
        <v>//-</v>
      </c>
      <c r="B957" s="152"/>
      <c r="C957" s="148"/>
      <c r="D957" s="8"/>
      <c r="E957" s="146"/>
      <c r="F957" s="146"/>
      <c r="G957" s="8"/>
      <c r="H957" s="8"/>
      <c r="I957" s="8"/>
    </row>
    <row r="958">
      <c r="A958" s="146" t="str">
        <f t="shared" si="54"/>
        <v>//-</v>
      </c>
      <c r="B958" s="152"/>
      <c r="C958" s="148"/>
      <c r="D958" s="8"/>
      <c r="E958" s="146"/>
      <c r="F958" s="146"/>
      <c r="G958" s="8"/>
      <c r="H958" s="8"/>
      <c r="I958" s="8"/>
    </row>
    <row r="959">
      <c r="A959" s="146" t="str">
        <f t="shared" si="54"/>
        <v>//-</v>
      </c>
      <c r="B959" s="152"/>
      <c r="C959" s="148"/>
      <c r="D959" s="8"/>
      <c r="E959" s="146"/>
      <c r="F959" s="146"/>
      <c r="G959" s="8"/>
      <c r="H959" s="8"/>
      <c r="I959" s="8"/>
    </row>
    <row r="960">
      <c r="A960" s="146" t="str">
        <f t="shared" si="54"/>
        <v>//-</v>
      </c>
      <c r="B960" s="152"/>
      <c r="C960" s="148"/>
      <c r="D960" s="8"/>
      <c r="E960" s="146"/>
      <c r="F960" s="146"/>
      <c r="G960" s="8"/>
      <c r="H960" s="8"/>
      <c r="I960" s="8"/>
    </row>
    <row r="961">
      <c r="A961" s="146" t="str">
        <f t="shared" si="54"/>
        <v>//-</v>
      </c>
      <c r="B961" s="152"/>
      <c r="C961" s="148"/>
      <c r="D961" s="8"/>
      <c r="E961" s="146"/>
      <c r="F961" s="146"/>
      <c r="G961" s="8"/>
      <c r="H961" s="8"/>
      <c r="I961" s="8"/>
    </row>
    <row r="962">
      <c r="A962" s="146" t="str">
        <f t="shared" si="54"/>
        <v>//-</v>
      </c>
      <c r="B962" s="152"/>
      <c r="C962" s="148"/>
      <c r="D962" s="8"/>
      <c r="E962" s="146"/>
      <c r="F962" s="146"/>
      <c r="G962" s="8"/>
      <c r="H962" s="8"/>
      <c r="I962" s="8"/>
    </row>
    <row r="963">
      <c r="A963" s="146" t="str">
        <f t="shared" si="54"/>
        <v>//-</v>
      </c>
      <c r="B963" s="152"/>
      <c r="C963" s="148"/>
      <c r="D963" s="8"/>
      <c r="E963" s="146"/>
      <c r="F963" s="146"/>
      <c r="G963" s="8"/>
      <c r="H963" s="8"/>
      <c r="I963" s="8"/>
    </row>
    <row r="964">
      <c r="A964" s="146" t="str">
        <f t="shared" si="54"/>
        <v>//-</v>
      </c>
      <c r="B964" s="152"/>
      <c r="C964" s="148"/>
      <c r="D964" s="8"/>
      <c r="E964" s="146"/>
      <c r="F964" s="146"/>
      <c r="G964" s="8"/>
      <c r="H964" s="8"/>
      <c r="I964" s="8"/>
    </row>
    <row r="965">
      <c r="A965" s="146" t="str">
        <f t="shared" si="54"/>
        <v>//-</v>
      </c>
      <c r="B965" s="152"/>
      <c r="C965" s="148"/>
      <c r="D965" s="8"/>
      <c r="E965" s="146"/>
      <c r="F965" s="146"/>
      <c r="G965" s="8"/>
      <c r="H965" s="8"/>
      <c r="I965" s="8"/>
    </row>
    <row r="966">
      <c r="A966" s="146" t="str">
        <f t="shared" si="54"/>
        <v>//-</v>
      </c>
      <c r="B966" s="152"/>
      <c r="C966" s="148"/>
      <c r="D966" s="8"/>
      <c r="E966" s="146"/>
      <c r="F966" s="146"/>
      <c r="G966" s="8"/>
      <c r="H966" s="8"/>
      <c r="I966" s="8"/>
    </row>
    <row r="967">
      <c r="A967" s="146" t="str">
        <f t="shared" si="54"/>
        <v>//-</v>
      </c>
      <c r="B967" s="152"/>
      <c r="C967" s="148"/>
      <c r="D967" s="8"/>
      <c r="E967" s="146"/>
      <c r="F967" s="146"/>
      <c r="G967" s="8"/>
      <c r="H967" s="8"/>
      <c r="I967" s="8"/>
    </row>
    <row r="968">
      <c r="A968" s="146" t="str">
        <f t="shared" si="54"/>
        <v>//-</v>
      </c>
      <c r="B968" s="152"/>
      <c r="C968" s="148"/>
      <c r="D968" s="8"/>
      <c r="E968" s="146"/>
      <c r="F968" s="146"/>
      <c r="G968" s="8"/>
      <c r="H968" s="8"/>
      <c r="I968" s="8"/>
    </row>
    <row r="969">
      <c r="A969" s="146" t="str">
        <f t="shared" si="54"/>
        <v>//-</v>
      </c>
      <c r="B969" s="152"/>
      <c r="C969" s="148"/>
      <c r="D969" s="8"/>
      <c r="E969" s="146"/>
      <c r="F969" s="146"/>
      <c r="G969" s="8"/>
      <c r="H969" s="8"/>
      <c r="I969" s="8"/>
    </row>
    <row r="970">
      <c r="A970" s="146" t="str">
        <f t="shared" si="54"/>
        <v>//-</v>
      </c>
      <c r="B970" s="152"/>
      <c r="C970" s="148"/>
      <c r="D970" s="8"/>
      <c r="E970" s="146"/>
      <c r="F970" s="146"/>
      <c r="G970" s="8"/>
      <c r="H970" s="8"/>
      <c r="I970" s="8"/>
    </row>
    <row r="971">
      <c r="A971" s="146" t="str">
        <f t="shared" si="54"/>
        <v>//-</v>
      </c>
      <c r="B971" s="152"/>
      <c r="C971" s="148"/>
      <c r="D971" s="8"/>
      <c r="E971" s="146"/>
      <c r="F971" s="146"/>
      <c r="G971" s="8"/>
      <c r="H971" s="8"/>
      <c r="I971" s="8"/>
    </row>
    <row r="972">
      <c r="A972" s="146" t="str">
        <f t="shared" si="54"/>
        <v>//-</v>
      </c>
      <c r="B972" s="152"/>
      <c r="C972" s="148"/>
      <c r="D972" s="8"/>
      <c r="E972" s="146"/>
      <c r="F972" s="146"/>
      <c r="G972" s="8"/>
      <c r="H972" s="8"/>
      <c r="I972" s="8"/>
    </row>
    <row r="973">
      <c r="A973" s="146" t="str">
        <f t="shared" si="54"/>
        <v>//-</v>
      </c>
      <c r="B973" s="152"/>
      <c r="C973" s="148"/>
      <c r="D973" s="8"/>
      <c r="E973" s="146"/>
      <c r="F973" s="146"/>
      <c r="G973" s="8"/>
      <c r="H973" s="8"/>
      <c r="I973" s="8"/>
    </row>
    <row r="974">
      <c r="A974" s="146" t="str">
        <f t="shared" si="54"/>
        <v>//-</v>
      </c>
      <c r="B974" s="152"/>
      <c r="C974" s="148"/>
      <c r="D974" s="8"/>
      <c r="E974" s="146"/>
      <c r="F974" s="146"/>
      <c r="G974" s="8"/>
      <c r="H974" s="8"/>
      <c r="I974" s="8"/>
    </row>
    <row r="975">
      <c r="A975" s="146" t="str">
        <f t="shared" si="54"/>
        <v>//-</v>
      </c>
      <c r="B975" s="152"/>
      <c r="C975" s="148"/>
      <c r="D975" s="8"/>
      <c r="E975" s="146"/>
      <c r="F975" s="146"/>
      <c r="G975" s="8"/>
      <c r="H975" s="8"/>
      <c r="I975" s="8"/>
    </row>
    <row r="976">
      <c r="A976" s="146" t="str">
        <f t="shared" si="54"/>
        <v>//-</v>
      </c>
      <c r="B976" s="152"/>
      <c r="C976" s="148"/>
      <c r="D976" s="8"/>
      <c r="E976" s="146"/>
      <c r="F976" s="146"/>
      <c r="G976" s="8"/>
      <c r="H976" s="8"/>
      <c r="I976" s="8"/>
    </row>
    <row r="977">
      <c r="A977" s="146" t="str">
        <f t="shared" si="54"/>
        <v>//-</v>
      </c>
      <c r="B977" s="152"/>
      <c r="C977" s="148"/>
      <c r="D977" s="8"/>
      <c r="E977" s="146"/>
      <c r="F977" s="146"/>
      <c r="G977" s="8"/>
      <c r="H977" s="8"/>
      <c r="I977" s="8"/>
    </row>
    <row r="978">
      <c r="A978" s="146" t="str">
        <f t="shared" si="54"/>
        <v>//-</v>
      </c>
      <c r="B978" s="152"/>
      <c r="C978" s="148"/>
      <c r="D978" s="8"/>
      <c r="E978" s="146"/>
      <c r="F978" s="146"/>
      <c r="G978" s="8"/>
      <c r="H978" s="8"/>
      <c r="I978" s="8"/>
    </row>
    <row r="979">
      <c r="A979" s="146" t="str">
        <f t="shared" si="54"/>
        <v>//-</v>
      </c>
      <c r="B979" s="152"/>
      <c r="C979" s="148"/>
      <c r="D979" s="8"/>
      <c r="E979" s="146"/>
      <c r="F979" s="146"/>
      <c r="G979" s="8"/>
      <c r="H979" s="8"/>
      <c r="I979" s="8"/>
    </row>
    <row r="980">
      <c r="A980" s="146" t="str">
        <f t="shared" si="54"/>
        <v>//-</v>
      </c>
      <c r="B980" s="152"/>
      <c r="C980" s="148"/>
      <c r="D980" s="8"/>
      <c r="E980" s="146"/>
      <c r="F980" s="146"/>
      <c r="G980" s="8"/>
      <c r="H980" s="8"/>
      <c r="I980" s="8"/>
    </row>
    <row r="981">
      <c r="A981" s="146" t="str">
        <f t="shared" si="54"/>
        <v>//-</v>
      </c>
      <c r="B981" s="152"/>
      <c r="C981" s="148"/>
      <c r="D981" s="8"/>
      <c r="E981" s="146"/>
      <c r="F981" s="146"/>
      <c r="G981" s="8"/>
      <c r="H981" s="8"/>
      <c r="I981" s="8"/>
    </row>
    <row r="982">
      <c r="A982" s="146" t="str">
        <f t="shared" si="54"/>
        <v>//-</v>
      </c>
      <c r="B982" s="152"/>
      <c r="C982" s="148"/>
      <c r="D982" s="8"/>
      <c r="E982" s="146"/>
      <c r="F982" s="146"/>
      <c r="G982" s="8"/>
      <c r="H982" s="8"/>
      <c r="I982" s="8"/>
    </row>
    <row r="983">
      <c r="A983" s="146" t="str">
        <f t="shared" si="54"/>
        <v>//-</v>
      </c>
      <c r="B983" s="152"/>
      <c r="C983" s="148"/>
      <c r="D983" s="8"/>
      <c r="E983" s="146"/>
      <c r="F983" s="146"/>
      <c r="G983" s="8"/>
      <c r="H983" s="8"/>
      <c r="I983" s="8"/>
    </row>
    <row r="984">
      <c r="A984" s="146" t="str">
        <f t="shared" si="54"/>
        <v>//-</v>
      </c>
      <c r="B984" s="152"/>
      <c r="C984" s="148"/>
      <c r="D984" s="8"/>
      <c r="E984" s="146"/>
      <c r="F984" s="146"/>
      <c r="G984" s="8"/>
      <c r="H984" s="8"/>
      <c r="I984" s="8"/>
    </row>
    <row r="985">
      <c r="A985" s="146" t="str">
        <f t="shared" si="54"/>
        <v>//-</v>
      </c>
      <c r="B985" s="152"/>
      <c r="C985" s="148"/>
      <c r="D985" s="8"/>
      <c r="E985" s="146"/>
      <c r="F985" s="146"/>
      <c r="G985" s="8"/>
      <c r="H985" s="8"/>
      <c r="I985" s="8"/>
    </row>
    <row r="986">
      <c r="A986" s="146" t="str">
        <f t="shared" si="54"/>
        <v>//-</v>
      </c>
      <c r="B986" s="152"/>
      <c r="C986" s="148"/>
      <c r="D986" s="8"/>
      <c r="E986" s="146"/>
      <c r="F986" s="146"/>
      <c r="G986" s="8"/>
      <c r="H986" s="8"/>
      <c r="I986" s="8"/>
    </row>
    <row r="987">
      <c r="A987" s="146" t="str">
        <f t="shared" si="54"/>
        <v>//-</v>
      </c>
      <c r="B987" s="152"/>
      <c r="C987" s="148"/>
      <c r="D987" s="8"/>
      <c r="E987" s="146"/>
      <c r="F987" s="146"/>
      <c r="G987" s="8"/>
      <c r="H987" s="8"/>
      <c r="I987" s="8"/>
    </row>
    <row r="988">
      <c r="A988" s="146" t="str">
        <f t="shared" si="54"/>
        <v>//-</v>
      </c>
      <c r="B988" s="152"/>
      <c r="C988" s="148"/>
      <c r="D988" s="8"/>
      <c r="E988" s="146"/>
      <c r="F988" s="146"/>
      <c r="G988" s="8"/>
      <c r="H988" s="8"/>
      <c r="I988" s="8"/>
    </row>
    <row r="989">
      <c r="A989" s="146" t="str">
        <f t="shared" si="54"/>
        <v>//-</v>
      </c>
      <c r="B989" s="152"/>
      <c r="C989" s="148"/>
      <c r="D989" s="8"/>
      <c r="E989" s="146"/>
      <c r="F989" s="146"/>
      <c r="G989" s="8"/>
      <c r="H989" s="8"/>
      <c r="I989" s="8"/>
    </row>
    <row r="990">
      <c r="A990" s="146" t="str">
        <f t="shared" si="54"/>
        <v>//-</v>
      </c>
      <c r="B990" s="152"/>
      <c r="C990" s="148"/>
      <c r="D990" s="8"/>
      <c r="E990" s="146"/>
      <c r="F990" s="146"/>
      <c r="G990" s="8"/>
      <c r="H990" s="8"/>
      <c r="I990" s="8"/>
    </row>
    <row r="991">
      <c r="A991" s="146" t="str">
        <f t="shared" si="54"/>
        <v>//-</v>
      </c>
      <c r="B991" s="152"/>
      <c r="C991" s="148"/>
      <c r="D991" s="8"/>
      <c r="E991" s="146"/>
      <c r="F991" s="146"/>
      <c r="G991" s="8"/>
      <c r="H991" s="8"/>
      <c r="I991" s="8"/>
    </row>
    <row r="992">
      <c r="A992" s="146" t="str">
        <f t="shared" si="54"/>
        <v>//-</v>
      </c>
      <c r="B992" s="152"/>
      <c r="C992" s="148"/>
      <c r="D992" s="8"/>
      <c r="E992" s="146"/>
      <c r="F992" s="146"/>
      <c r="G992" s="8"/>
      <c r="H992" s="8"/>
      <c r="I992" s="8"/>
    </row>
    <row r="993">
      <c r="A993" s="146" t="str">
        <f t="shared" si="54"/>
        <v>//-</v>
      </c>
      <c r="B993" s="152"/>
      <c r="C993" s="148"/>
      <c r="D993" s="8"/>
      <c r="E993" s="146"/>
      <c r="F993" s="146"/>
      <c r="G993" s="8"/>
      <c r="H993" s="8"/>
      <c r="I993" s="8"/>
    </row>
    <row r="994">
      <c r="A994" s="146" t="str">
        <f t="shared" si="54"/>
        <v>//-</v>
      </c>
      <c r="B994" s="152"/>
      <c r="C994" s="148"/>
      <c r="D994" s="8"/>
      <c r="E994" s="146"/>
      <c r="F994" s="146"/>
      <c r="G994" s="8"/>
      <c r="H994" s="8"/>
      <c r="I994" s="8"/>
    </row>
    <row r="995">
      <c r="A995" s="146" t="str">
        <f t="shared" si="54"/>
        <v>//-</v>
      </c>
      <c r="B995" s="152"/>
      <c r="C995" s="148"/>
      <c r="D995" s="8"/>
      <c r="E995" s="146"/>
      <c r="F995" s="146"/>
      <c r="G995" s="8"/>
      <c r="H995" s="8"/>
      <c r="I995" s="8"/>
    </row>
    <row r="996">
      <c r="A996" s="146" t="str">
        <f t="shared" si="54"/>
        <v>//-</v>
      </c>
      <c r="B996" s="152"/>
      <c r="C996" s="148"/>
      <c r="D996" s="8"/>
      <c r="E996" s="146"/>
      <c r="F996" s="146"/>
      <c r="G996" s="8"/>
      <c r="H996" s="8"/>
      <c r="I996" s="8"/>
    </row>
    <row r="997">
      <c r="A997" s="146" t="str">
        <f t="shared" si="54"/>
        <v>//-</v>
      </c>
      <c r="B997" s="152"/>
      <c r="C997" s="148"/>
      <c r="D997" s="8"/>
      <c r="E997" s="146"/>
      <c r="F997" s="146"/>
      <c r="G997" s="8"/>
      <c r="H997" s="8"/>
      <c r="I997" s="8"/>
    </row>
    <row r="998">
      <c r="A998" s="146" t="str">
        <f t="shared" si="54"/>
        <v>//-</v>
      </c>
      <c r="B998" s="152"/>
      <c r="C998" s="148"/>
      <c r="D998" s="8"/>
      <c r="E998" s="146"/>
      <c r="F998" s="146"/>
      <c r="G998" s="8"/>
      <c r="H998" s="8"/>
      <c r="I998" s="8"/>
    </row>
    <row r="999">
      <c r="A999" s="146" t="str">
        <f t="shared" si="54"/>
        <v>//-</v>
      </c>
      <c r="B999" s="152"/>
      <c r="C999" s="148"/>
      <c r="D999" s="8"/>
      <c r="E999" s="146"/>
      <c r="F999" s="146"/>
      <c r="G999" s="8"/>
      <c r="H999" s="8"/>
      <c r="I999" s="8"/>
    </row>
    <row r="1000">
      <c r="A1000" s="146" t="str">
        <f t="shared" si="54"/>
        <v>//-</v>
      </c>
      <c r="B1000" s="152"/>
      <c r="C1000" s="148"/>
      <c r="D1000" s="8"/>
      <c r="E1000" s="146"/>
      <c r="F1000" s="146"/>
      <c r="G1000" s="8"/>
      <c r="H1000" s="8"/>
      <c r="I1000" s="8"/>
    </row>
    <row r="1001">
      <c r="A1001" s="146" t="str">
        <f t="shared" si="54"/>
        <v>//-</v>
      </c>
      <c r="B1001" s="152"/>
      <c r="C1001" s="148"/>
      <c r="D1001" s="8"/>
      <c r="E1001" s="146"/>
      <c r="F1001" s="146"/>
      <c r="G1001" s="8"/>
      <c r="H1001" s="8"/>
      <c r="I1001" s="8"/>
    </row>
    <row r="1002">
      <c r="A1002" s="146" t="str">
        <f t="shared" si="54"/>
        <v>//-</v>
      </c>
      <c r="B1002" s="152"/>
      <c r="C1002" s="148"/>
      <c r="D1002" s="8"/>
      <c r="E1002" s="146"/>
      <c r="F1002" s="146"/>
      <c r="G1002" s="8"/>
      <c r="H1002" s="8"/>
      <c r="I1002" s="8"/>
    </row>
    <row r="1003">
      <c r="A1003" s="146" t="str">
        <f t="shared" si="54"/>
        <v>//-</v>
      </c>
      <c r="B1003" s="152"/>
      <c r="C1003" s="148"/>
      <c r="D1003" s="8"/>
      <c r="E1003" s="146"/>
      <c r="F1003" s="146"/>
      <c r="G1003" s="8"/>
      <c r="H1003" s="8"/>
      <c r="I1003" s="8"/>
    </row>
    <row r="1004">
      <c r="A1004" s="146" t="str">
        <f t="shared" si="54"/>
        <v>//-</v>
      </c>
      <c r="B1004" s="152"/>
      <c r="C1004" s="148"/>
      <c r="D1004" s="8"/>
      <c r="E1004" s="146"/>
      <c r="F1004" s="146"/>
      <c r="G1004" s="8"/>
      <c r="H1004" s="8"/>
      <c r="I1004" s="8"/>
    </row>
    <row r="1005">
      <c r="A1005" s="146" t="str">
        <f t="shared" si="54"/>
        <v>//-</v>
      </c>
      <c r="B1005" s="152"/>
      <c r="C1005" s="148"/>
      <c r="D1005" s="8"/>
      <c r="E1005" s="146"/>
      <c r="F1005" s="146"/>
      <c r="G1005" s="8"/>
      <c r="H1005" s="8"/>
      <c r="I1005" s="8"/>
    </row>
    <row r="1006">
      <c r="A1006" s="146" t="str">
        <f t="shared" si="54"/>
        <v>//-</v>
      </c>
      <c r="B1006" s="152"/>
      <c r="C1006" s="148"/>
      <c r="D1006" s="8"/>
      <c r="E1006" s="146"/>
      <c r="F1006" s="146"/>
      <c r="G1006" s="8"/>
      <c r="H1006" s="8"/>
      <c r="I1006" s="8"/>
    </row>
    <row r="1007">
      <c r="A1007" s="146" t="str">
        <f t="shared" si="54"/>
        <v>//-</v>
      </c>
      <c r="B1007" s="152"/>
      <c r="C1007" s="148"/>
      <c r="D1007" s="8"/>
      <c r="E1007" s="146"/>
      <c r="F1007" s="146"/>
      <c r="G1007" s="8"/>
      <c r="H1007" s="8"/>
      <c r="I1007" s="8"/>
    </row>
    <row r="1008">
      <c r="A1008" s="146" t="str">
        <f t="shared" si="54"/>
        <v>//-</v>
      </c>
      <c r="B1008" s="152"/>
      <c r="C1008" s="148"/>
      <c r="D1008" s="8"/>
      <c r="E1008" s="146"/>
      <c r="F1008" s="146"/>
      <c r="G1008" s="8"/>
      <c r="H1008" s="8"/>
      <c r="I1008" s="8"/>
    </row>
    <row r="1009">
      <c r="A1009" s="146" t="str">
        <f t="shared" si="54"/>
        <v>//-</v>
      </c>
      <c r="B1009" s="152"/>
      <c r="C1009" s="148"/>
      <c r="D1009" s="8"/>
      <c r="E1009" s="146"/>
      <c r="F1009" s="146"/>
      <c r="G1009" s="8"/>
      <c r="H1009" s="8"/>
      <c r="I1009" s="8"/>
    </row>
    <row r="1010">
      <c r="A1010" s="146" t="str">
        <f t="shared" si="54"/>
        <v>//-</v>
      </c>
      <c r="B1010" s="152"/>
      <c r="C1010" s="148"/>
      <c r="D1010" s="8"/>
      <c r="E1010" s="146"/>
      <c r="F1010" s="146"/>
      <c r="G1010" s="8"/>
      <c r="H1010" s="8"/>
      <c r="I1010" s="8"/>
    </row>
    <row r="1011">
      <c r="A1011" s="146" t="str">
        <f t="shared" si="54"/>
        <v>//-</v>
      </c>
      <c r="B1011" s="152"/>
      <c r="C1011" s="148"/>
      <c r="D1011" s="8"/>
      <c r="E1011" s="146"/>
      <c r="F1011" s="146"/>
      <c r="G1011" s="8"/>
      <c r="H1011" s="8"/>
      <c r="I1011" s="8"/>
    </row>
    <row r="1012">
      <c r="A1012" s="146" t="str">
        <f t="shared" si="54"/>
        <v>//-</v>
      </c>
      <c r="B1012" s="152"/>
      <c r="C1012" s="148"/>
      <c r="D1012" s="8"/>
      <c r="E1012" s="146"/>
      <c r="F1012" s="146"/>
      <c r="G1012" s="8"/>
      <c r="H1012" s="8"/>
      <c r="I1012" s="8"/>
    </row>
    <row r="1013">
      <c r="A1013" s="146" t="str">
        <f t="shared" si="54"/>
        <v>//-</v>
      </c>
      <c r="B1013" s="152"/>
      <c r="C1013" s="148"/>
      <c r="D1013" s="8"/>
      <c r="E1013" s="146"/>
      <c r="F1013" s="146"/>
      <c r="G1013" s="8"/>
      <c r="H1013" s="8"/>
      <c r="I1013" s="8"/>
    </row>
    <row r="1014">
      <c r="A1014" s="146" t="str">
        <f t="shared" si="54"/>
        <v>//-</v>
      </c>
      <c r="B1014" s="152"/>
      <c r="C1014" s="148"/>
      <c r="D1014" s="8"/>
      <c r="E1014" s="146"/>
      <c r="F1014" s="146"/>
      <c r="G1014" s="8"/>
      <c r="H1014" s="8"/>
      <c r="I1014" s="8"/>
    </row>
    <row r="1015">
      <c r="A1015" s="146" t="str">
        <f t="shared" si="54"/>
        <v>//-</v>
      </c>
      <c r="B1015" s="152"/>
      <c r="C1015" s="148"/>
      <c r="D1015" s="8"/>
      <c r="E1015" s="146"/>
      <c r="F1015" s="146"/>
      <c r="G1015" s="8"/>
      <c r="H1015" s="8"/>
      <c r="I1015" s="8"/>
    </row>
    <row r="1016">
      <c r="A1016" s="146" t="str">
        <f t="shared" si="54"/>
        <v>//-</v>
      </c>
      <c r="B1016" s="152"/>
      <c r="C1016" s="148"/>
      <c r="D1016" s="8"/>
      <c r="E1016" s="146"/>
      <c r="F1016" s="146"/>
      <c r="G1016" s="8"/>
      <c r="H1016" s="8"/>
      <c r="I1016" s="8"/>
    </row>
    <row r="1017">
      <c r="A1017" s="146" t="str">
        <f t="shared" si="54"/>
        <v>//-</v>
      </c>
      <c r="B1017" s="152"/>
      <c r="C1017" s="148"/>
      <c r="D1017" s="8"/>
      <c r="E1017" s="146"/>
      <c r="F1017" s="146"/>
      <c r="G1017" s="8"/>
      <c r="H1017" s="8"/>
      <c r="I1017" s="8"/>
    </row>
    <row r="1018">
      <c r="A1018" s="146" t="str">
        <f t="shared" si="54"/>
        <v>//-</v>
      </c>
      <c r="B1018" s="152"/>
      <c r="C1018" s="148"/>
      <c r="D1018" s="8"/>
      <c r="E1018" s="146"/>
      <c r="F1018" s="146"/>
      <c r="G1018" s="8"/>
      <c r="H1018" s="8"/>
      <c r="I1018" s="8"/>
    </row>
    <row r="1019">
      <c r="A1019" s="146" t="str">
        <f t="shared" si="54"/>
        <v>//-</v>
      </c>
      <c r="B1019" s="152"/>
      <c r="C1019" s="148"/>
      <c r="D1019" s="8"/>
      <c r="E1019" s="146"/>
      <c r="F1019" s="146"/>
      <c r="G1019" s="8"/>
      <c r="H1019" s="8"/>
      <c r="I1019" s="8"/>
    </row>
    <row r="1020">
      <c r="A1020" s="146" t="str">
        <f t="shared" si="54"/>
        <v>//-</v>
      </c>
      <c r="B1020" s="152"/>
      <c r="C1020" s="148"/>
      <c r="D1020" s="8"/>
      <c r="E1020" s="146"/>
      <c r="F1020" s="146"/>
      <c r="G1020" s="8"/>
      <c r="H1020" s="8"/>
      <c r="I1020" s="8"/>
    </row>
    <row r="1021">
      <c r="A1021" s="146" t="str">
        <f t="shared" si="54"/>
        <v>//-</v>
      </c>
      <c r="B1021" s="152"/>
      <c r="C1021" s="148"/>
      <c r="D1021" s="8"/>
      <c r="E1021" s="146"/>
      <c r="F1021" s="146"/>
      <c r="G1021" s="8"/>
      <c r="H1021" s="8"/>
      <c r="I1021" s="8"/>
    </row>
    <row r="1022">
      <c r="A1022" s="146" t="str">
        <f t="shared" si="54"/>
        <v>//-</v>
      </c>
      <c r="B1022" s="152"/>
      <c r="C1022" s="148"/>
      <c r="D1022" s="8"/>
      <c r="E1022" s="146"/>
      <c r="F1022" s="146"/>
      <c r="G1022" s="8"/>
      <c r="H1022" s="8"/>
      <c r="I1022" s="8"/>
    </row>
    <row r="1023">
      <c r="A1023" s="146" t="str">
        <f t="shared" si="54"/>
        <v>//-</v>
      </c>
      <c r="B1023" s="152"/>
      <c r="C1023" s="148"/>
      <c r="D1023" s="8"/>
      <c r="E1023" s="146"/>
      <c r="F1023" s="146"/>
      <c r="G1023" s="8"/>
      <c r="H1023" s="8"/>
      <c r="I1023" s="8"/>
    </row>
    <row r="1024">
      <c r="A1024" s="146" t="str">
        <f t="shared" si="54"/>
        <v>//-</v>
      </c>
      <c r="B1024" s="152"/>
      <c r="C1024" s="148"/>
      <c r="D1024" s="8"/>
      <c r="E1024" s="146"/>
      <c r="F1024" s="146"/>
      <c r="G1024" s="8"/>
      <c r="H1024" s="8"/>
      <c r="I1024" s="8"/>
    </row>
    <row r="1025">
      <c r="A1025" s="146" t="str">
        <f t="shared" si="54"/>
        <v>//-</v>
      </c>
      <c r="B1025" s="152"/>
      <c r="C1025" s="148"/>
      <c r="D1025" s="8"/>
      <c r="E1025" s="146"/>
      <c r="F1025" s="146"/>
      <c r="G1025" s="8"/>
      <c r="H1025" s="8"/>
      <c r="I1025" s="8"/>
    </row>
    <row r="1026">
      <c r="A1026" s="146" t="str">
        <f t="shared" si="54"/>
        <v>//-</v>
      </c>
      <c r="B1026" s="152"/>
      <c r="C1026" s="148"/>
      <c r="D1026" s="8"/>
      <c r="E1026" s="146"/>
      <c r="F1026" s="146"/>
      <c r="G1026" s="8"/>
      <c r="H1026" s="8"/>
      <c r="I1026" s="8"/>
    </row>
    <row r="1027">
      <c r="A1027" s="146" t="str">
        <f t="shared" si="54"/>
        <v>//-</v>
      </c>
      <c r="B1027" s="152"/>
      <c r="C1027" s="148"/>
      <c r="D1027" s="8"/>
      <c r="E1027" s="146"/>
      <c r="F1027" s="146"/>
      <c r="G1027" s="8"/>
      <c r="H1027" s="8"/>
      <c r="I1027" s="8"/>
    </row>
    <row r="1028">
      <c r="A1028" s="146" t="str">
        <f t="shared" si="54"/>
        <v>//-</v>
      </c>
      <c r="B1028" s="152"/>
      <c r="C1028" s="148"/>
      <c r="D1028" s="8"/>
      <c r="E1028" s="146"/>
      <c r="F1028" s="146"/>
      <c r="G1028" s="8"/>
      <c r="H1028" s="8"/>
      <c r="I1028" s="8"/>
    </row>
    <row r="1029">
      <c r="A1029" s="146" t="str">
        <f t="shared" si="54"/>
        <v>//-</v>
      </c>
      <c r="B1029" s="152"/>
      <c r="C1029" s="148"/>
      <c r="D1029" s="8"/>
      <c r="E1029" s="146"/>
      <c r="F1029" s="146"/>
      <c r="G1029" s="8"/>
      <c r="H1029" s="8"/>
      <c r="I1029" s="8"/>
    </row>
    <row r="1030">
      <c r="A1030" s="146" t="str">
        <f t="shared" si="54"/>
        <v>//-</v>
      </c>
      <c r="B1030" s="152"/>
      <c r="C1030" s="148"/>
      <c r="D1030" s="8"/>
      <c r="E1030" s="146"/>
      <c r="F1030" s="146"/>
      <c r="G1030" s="8"/>
      <c r="H1030" s="8"/>
      <c r="I1030" s="8"/>
    </row>
    <row r="1031">
      <c r="A1031" s="146" t="str">
        <f t="shared" si="54"/>
        <v>//-</v>
      </c>
      <c r="B1031" s="152"/>
      <c r="C1031" s="148"/>
      <c r="D1031" s="8"/>
      <c r="E1031" s="146"/>
      <c r="F1031" s="146"/>
      <c r="G1031" s="8"/>
      <c r="H1031" s="8"/>
      <c r="I1031" s="8"/>
    </row>
    <row r="1032">
      <c r="A1032" s="146" t="str">
        <f t="shared" si="54"/>
        <v>//-</v>
      </c>
      <c r="B1032" s="152"/>
      <c r="C1032" s="148"/>
      <c r="D1032" s="8"/>
      <c r="E1032" s="146"/>
      <c r="F1032" s="146"/>
      <c r="G1032" s="8"/>
      <c r="H1032" s="8"/>
      <c r="I1032" s="8"/>
    </row>
    <row r="1033">
      <c r="A1033" s="146" t="str">
        <f t="shared" si="54"/>
        <v>//-</v>
      </c>
      <c r="B1033" s="152"/>
      <c r="C1033" s="148"/>
      <c r="D1033" s="8"/>
      <c r="E1033" s="146"/>
      <c r="F1033" s="146"/>
      <c r="G1033" s="8"/>
      <c r="H1033" s="8"/>
      <c r="I1033" s="8"/>
    </row>
    <row r="1034">
      <c r="A1034" s="146" t="str">
        <f t="shared" si="54"/>
        <v>//-</v>
      </c>
      <c r="B1034" s="152"/>
      <c r="C1034" s="148"/>
      <c r="D1034" s="8"/>
      <c r="E1034" s="146"/>
      <c r="F1034" s="146"/>
      <c r="G1034" s="8"/>
      <c r="H1034" s="8"/>
      <c r="I1034" s="8"/>
    </row>
    <row r="1035">
      <c r="A1035" s="146" t="str">
        <f t="shared" si="54"/>
        <v>//-</v>
      </c>
      <c r="B1035" s="152"/>
      <c r="C1035" s="148"/>
      <c r="D1035" s="8"/>
      <c r="E1035" s="146"/>
      <c r="F1035" s="146"/>
      <c r="G1035" s="8"/>
      <c r="H1035" s="8"/>
      <c r="I1035" s="8"/>
    </row>
    <row r="1036">
      <c r="A1036" s="146" t="str">
        <f t="shared" si="54"/>
        <v>//-</v>
      </c>
      <c r="B1036" s="152"/>
      <c r="C1036" s="148"/>
      <c r="D1036" s="8"/>
      <c r="E1036" s="146"/>
      <c r="F1036" s="146"/>
      <c r="G1036" s="8"/>
      <c r="H1036" s="8"/>
      <c r="I1036" s="8"/>
    </row>
    <row r="1037">
      <c r="A1037" s="146" t="str">
        <f t="shared" si="54"/>
        <v>//-</v>
      </c>
      <c r="B1037" s="152"/>
      <c r="C1037" s="148"/>
      <c r="D1037" s="8"/>
      <c r="E1037" s="146"/>
      <c r="F1037" s="146"/>
      <c r="G1037" s="8"/>
      <c r="H1037" s="8"/>
      <c r="I1037" s="8"/>
    </row>
    <row r="1038">
      <c r="A1038" s="146" t="str">
        <f t="shared" si="54"/>
        <v>//-</v>
      </c>
      <c r="B1038" s="152"/>
      <c r="C1038" s="148"/>
      <c r="D1038" s="8"/>
      <c r="E1038" s="146"/>
      <c r="F1038" s="146"/>
      <c r="G1038" s="8"/>
      <c r="H1038" s="8"/>
      <c r="I1038" s="8"/>
    </row>
    <row r="1039">
      <c r="A1039" s="146" t="str">
        <f t="shared" si="54"/>
        <v>//-</v>
      </c>
      <c r="B1039" s="152"/>
      <c r="C1039" s="148"/>
      <c r="D1039" s="8"/>
      <c r="E1039" s="146"/>
      <c r="F1039" s="146"/>
      <c r="G1039" s="8"/>
      <c r="H1039" s="8"/>
      <c r="I1039" s="8"/>
    </row>
    <row r="1040">
      <c r="A1040" s="146" t="str">
        <f t="shared" si="54"/>
        <v>//-</v>
      </c>
      <c r="B1040" s="152"/>
      <c r="C1040" s="148"/>
      <c r="D1040" s="8"/>
      <c r="E1040" s="146"/>
      <c r="F1040" s="146"/>
      <c r="G1040" s="8"/>
      <c r="H1040" s="8"/>
      <c r="I1040" s="8"/>
    </row>
    <row r="1041">
      <c r="A1041" s="146" t="str">
        <f t="shared" si="54"/>
        <v>//-</v>
      </c>
      <c r="B1041" s="152"/>
      <c r="C1041" s="148"/>
      <c r="D1041" s="8"/>
      <c r="E1041" s="146"/>
      <c r="F1041" s="146"/>
      <c r="G1041" s="8"/>
      <c r="H1041" s="8"/>
      <c r="I1041" s="8"/>
    </row>
    <row r="1042">
      <c r="A1042" s="146" t="str">
        <f t="shared" si="54"/>
        <v>//-</v>
      </c>
      <c r="B1042" s="152"/>
      <c r="C1042" s="148"/>
      <c r="D1042" s="8"/>
      <c r="E1042" s="146"/>
      <c r="F1042" s="146"/>
      <c r="G1042" s="8"/>
      <c r="H1042" s="8"/>
      <c r="I1042" s="8"/>
    </row>
    <row r="1043">
      <c r="A1043" s="146" t="str">
        <f t="shared" si="54"/>
        <v>//-</v>
      </c>
      <c r="B1043" s="152"/>
      <c r="C1043" s="148"/>
      <c r="D1043" s="8"/>
      <c r="E1043" s="146"/>
      <c r="F1043" s="146"/>
      <c r="G1043" s="8"/>
      <c r="H1043" s="8"/>
      <c r="I1043" s="8"/>
    </row>
    <row r="1044">
      <c r="A1044" s="146" t="str">
        <f t="shared" si="54"/>
        <v>//-</v>
      </c>
      <c r="B1044" s="152"/>
      <c r="C1044" s="148"/>
      <c r="D1044" s="8"/>
      <c r="E1044" s="146"/>
      <c r="F1044" s="146"/>
      <c r="G1044" s="8"/>
      <c r="H1044" s="8"/>
      <c r="I1044" s="8"/>
    </row>
    <row r="1045">
      <c r="A1045" s="146" t="str">
        <f t="shared" si="54"/>
        <v>//-</v>
      </c>
      <c r="B1045" s="152"/>
      <c r="C1045" s="148"/>
      <c r="D1045" s="8"/>
      <c r="E1045" s="146"/>
      <c r="F1045" s="146"/>
      <c r="G1045" s="8"/>
      <c r="H1045" s="8"/>
      <c r="I1045" s="8"/>
    </row>
    <row r="1046">
      <c r="A1046" s="146" t="str">
        <f t="shared" si="54"/>
        <v>//-</v>
      </c>
      <c r="B1046" s="152"/>
      <c r="C1046" s="148"/>
      <c r="D1046" s="8"/>
      <c r="E1046" s="146"/>
      <c r="F1046" s="146"/>
      <c r="G1046" s="8"/>
      <c r="H1046" s="8"/>
      <c r="I1046" s="8"/>
    </row>
    <row r="1047">
      <c r="A1047" s="146" t="str">
        <f t="shared" si="54"/>
        <v>//-</v>
      </c>
      <c r="B1047" s="152"/>
      <c r="C1047" s="148"/>
      <c r="D1047" s="8"/>
      <c r="E1047" s="146"/>
      <c r="F1047" s="146"/>
      <c r="G1047" s="8"/>
      <c r="H1047" s="8"/>
      <c r="I1047" s="8"/>
    </row>
  </sheetData>
  <dataValidations>
    <dataValidation type="list" allowBlank="1" showErrorMessage="1" sqref="C2:C1047">
      <formula1>"RK1,RK2,RK3,RK4,RK5,RK6,RK7,RK8,RK9,RK10"</formula1>
    </dataValidation>
    <dataValidation type="list" allowBlank="1" showInputMessage="1" showErrorMessage="1" prompt="Click and enter a value from range" sqref="F2:F1047">
      <formula1>'Process Master'!$C$2:$C1047</formula1>
    </dataValidation>
    <dataValidation type="list" allowBlank="1" showErrorMessage="1" sqref="E2:E26 E30 E46:E1047">
      <formula1>'Process Abbreviation'!$C$2:$C1047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2" width="21.88"/>
    <col customWidth="1" min="4" max="4" width="21.0"/>
    <col customWidth="1" min="5" max="5" width="23.25"/>
  </cols>
  <sheetData>
    <row r="1">
      <c r="A1" s="157" t="s">
        <v>659</v>
      </c>
      <c r="B1" s="157" t="s">
        <v>1440</v>
      </c>
      <c r="C1" s="157" t="s">
        <v>1441</v>
      </c>
      <c r="D1" s="157" t="s">
        <v>1442</v>
      </c>
      <c r="E1" s="157" t="s">
        <v>1443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93" t="s">
        <v>604</v>
      </c>
      <c r="B2" s="158" t="s">
        <v>429</v>
      </c>
      <c r="C2" s="93" t="s">
        <v>889</v>
      </c>
      <c r="D2" s="93" t="str">
        <f t="array" ref="D2:D1022">IFERROR(VLOOKUP(B2:B1022,'Finished Goods'!A:B,2,0),"")</f>
        <v>PP1500-202</v>
      </c>
      <c r="E2" s="93" t="str">
        <f t="shared" ref="E2:E1022" si="1">D2&amp;"-"&amp;C2</f>
        <v>PP1500-202-CC</v>
      </c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>
      <c r="A3" s="93" t="s">
        <v>605</v>
      </c>
      <c r="B3" s="158" t="s">
        <v>429</v>
      </c>
      <c r="C3" s="94" t="s">
        <v>892</v>
      </c>
      <c r="D3" s="93" t="s">
        <v>430</v>
      </c>
      <c r="E3" s="93" t="str">
        <f t="shared" si="1"/>
        <v>PP1500-202-PR1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>
      <c r="A4" s="93" t="s">
        <v>606</v>
      </c>
      <c r="B4" s="158" t="s">
        <v>429</v>
      </c>
      <c r="C4" s="94" t="s">
        <v>944</v>
      </c>
      <c r="D4" s="93" t="s">
        <v>430</v>
      </c>
      <c r="E4" s="93" t="str">
        <f t="shared" si="1"/>
        <v>PP1500-202-PR2</v>
      </c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>
      <c r="A5" s="93" t="s">
        <v>608</v>
      </c>
      <c r="B5" s="158" t="s">
        <v>429</v>
      </c>
      <c r="C5" s="93" t="s">
        <v>946</v>
      </c>
      <c r="D5" s="93" t="s">
        <v>430</v>
      </c>
      <c r="E5" s="93" t="str">
        <f t="shared" si="1"/>
        <v>PP1500-202-SD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>
      <c r="A6" s="93" t="s">
        <v>610</v>
      </c>
      <c r="B6" s="158" t="s">
        <v>429</v>
      </c>
      <c r="C6" s="93" t="s">
        <v>948</v>
      </c>
      <c r="D6" s="93" t="s">
        <v>430</v>
      </c>
      <c r="E6" s="93" t="str">
        <f t="shared" si="1"/>
        <v>PP1500-202-SF</v>
      </c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>
      <c r="A7" s="93" t="s">
        <v>609</v>
      </c>
      <c r="B7" s="158" t="s">
        <v>429</v>
      </c>
      <c r="C7" s="93" t="s">
        <v>899</v>
      </c>
      <c r="D7" s="93" t="s">
        <v>430</v>
      </c>
      <c r="E7" s="93" t="str">
        <f t="shared" si="1"/>
        <v>PP1500-202-CU</v>
      </c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>
      <c r="A8" s="93" t="s">
        <v>612</v>
      </c>
      <c r="B8" s="158" t="s">
        <v>429</v>
      </c>
      <c r="C8" s="93" t="s">
        <v>902</v>
      </c>
      <c r="D8" s="93" t="s">
        <v>430</v>
      </c>
      <c r="E8" s="93" t="str">
        <f t="shared" si="1"/>
        <v>PP1500-202-GB</v>
      </c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>
      <c r="A9" s="93" t="s">
        <v>613</v>
      </c>
      <c r="B9" s="158" t="s">
        <v>429</v>
      </c>
      <c r="C9" s="93" t="s">
        <v>928</v>
      </c>
      <c r="D9" s="93" t="s">
        <v>430</v>
      </c>
      <c r="E9" s="93" t="str">
        <f t="shared" si="1"/>
        <v>PP1500-202-PPO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>
      <c r="A10" s="93" t="s">
        <v>616</v>
      </c>
      <c r="B10" s="158" t="s">
        <v>429</v>
      </c>
      <c r="C10" s="93" t="s">
        <v>931</v>
      </c>
      <c r="D10" s="93" t="s">
        <v>430</v>
      </c>
      <c r="E10" s="93" t="str">
        <f t="shared" si="1"/>
        <v>PP1500-202-PF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>
      <c r="A11" s="93" t="s">
        <v>619</v>
      </c>
      <c r="B11" s="158" t="s">
        <v>429</v>
      </c>
      <c r="C11" s="93" t="s">
        <v>908</v>
      </c>
      <c r="D11" s="93" t="s">
        <v>430</v>
      </c>
      <c r="E11" s="93" t="str">
        <f t="shared" si="1"/>
        <v>PP1500-202-POL</v>
      </c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>
      <c r="A12" s="94" t="s">
        <v>621</v>
      </c>
      <c r="B12" s="158" t="s">
        <v>429</v>
      </c>
      <c r="C12" s="94" t="s">
        <v>910</v>
      </c>
      <c r="D12" s="93" t="s">
        <v>430</v>
      </c>
      <c r="E12" s="93" t="str">
        <f t="shared" si="1"/>
        <v>PP1500-202-RW</v>
      </c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>
      <c r="A13" s="93" t="s">
        <v>622</v>
      </c>
      <c r="B13" s="158" t="s">
        <v>429</v>
      </c>
      <c r="C13" s="93" t="s">
        <v>912</v>
      </c>
      <c r="D13" s="93" t="s">
        <v>430</v>
      </c>
      <c r="E13" s="93" t="str">
        <f t="shared" si="1"/>
        <v>PP1500-202-CL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>
      <c r="A14" s="93" t="s">
        <v>624</v>
      </c>
      <c r="B14" s="158" t="s">
        <v>429</v>
      </c>
      <c r="C14" s="93" t="s">
        <v>914</v>
      </c>
      <c r="D14" s="93" t="s">
        <v>430</v>
      </c>
      <c r="E14" s="93" t="str">
        <f t="shared" si="1"/>
        <v>PP1500-202-HH</v>
      </c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>
      <c r="A15" s="93" t="s">
        <v>626</v>
      </c>
      <c r="B15" s="158" t="s">
        <v>429</v>
      </c>
      <c r="C15" s="93" t="s">
        <v>916</v>
      </c>
      <c r="D15" s="93" t="s">
        <v>430</v>
      </c>
      <c r="E15" s="93" t="str">
        <f t="shared" si="1"/>
        <v>PP1500-202-BH</v>
      </c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>
      <c r="A16" s="93" t="s">
        <v>628</v>
      </c>
      <c r="B16" s="158" t="s">
        <v>429</v>
      </c>
      <c r="C16" s="93" t="s">
        <v>960</v>
      </c>
      <c r="D16" s="93" t="s">
        <v>430</v>
      </c>
      <c r="E16" s="93" t="str">
        <f t="shared" si="1"/>
        <v>PP1500-202-FB</v>
      </c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>
      <c r="A17" s="93" t="s">
        <v>627</v>
      </c>
      <c r="B17" s="158" t="s">
        <v>429</v>
      </c>
      <c r="C17" s="93" t="s">
        <v>918</v>
      </c>
      <c r="D17" s="93" t="s">
        <v>430</v>
      </c>
      <c r="E17" s="93" t="str">
        <f t="shared" si="1"/>
        <v>PP1500-202-FC</v>
      </c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>
      <c r="A18" s="93" t="s">
        <v>629</v>
      </c>
      <c r="B18" s="158" t="s">
        <v>429</v>
      </c>
      <c r="C18" s="93" t="s">
        <v>629</v>
      </c>
      <c r="D18" s="93" t="s">
        <v>430</v>
      </c>
      <c r="E18" s="93" t="str">
        <f t="shared" si="1"/>
        <v>PP1500-202-QC</v>
      </c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>
      <c r="A19" s="93" t="s">
        <v>631</v>
      </c>
      <c r="B19" s="158" t="s">
        <v>429</v>
      </c>
      <c r="C19" s="93" t="s">
        <v>921</v>
      </c>
      <c r="D19" s="93" t="s">
        <v>430</v>
      </c>
      <c r="E19" s="93" t="str">
        <f t="shared" si="1"/>
        <v>PP1500-202-FG</v>
      </c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>
      <c r="A20" s="93" t="s">
        <v>604</v>
      </c>
      <c r="B20" s="158" t="s">
        <v>431</v>
      </c>
      <c r="C20" s="93" t="s">
        <v>889</v>
      </c>
      <c r="D20" s="93" t="s">
        <v>432</v>
      </c>
      <c r="E20" s="93" t="str">
        <f t="shared" si="1"/>
        <v>PP1000-202-CC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>
      <c r="A21" s="93" t="s">
        <v>605</v>
      </c>
      <c r="B21" s="158" t="s">
        <v>431</v>
      </c>
      <c r="C21" s="94" t="s">
        <v>892</v>
      </c>
      <c r="D21" s="93" t="s">
        <v>432</v>
      </c>
      <c r="E21" s="93" t="str">
        <f t="shared" si="1"/>
        <v>PP1000-202-PR1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>
      <c r="A22" s="93" t="s">
        <v>607</v>
      </c>
      <c r="B22" s="158" t="s">
        <v>431</v>
      </c>
      <c r="C22" s="93" t="s">
        <v>896</v>
      </c>
      <c r="D22" s="93" t="s">
        <v>432</v>
      </c>
      <c r="E22" s="93" t="str">
        <f t="shared" si="1"/>
        <v>PP1000-202-SX</v>
      </c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>
      <c r="A23" s="93" t="s">
        <v>609</v>
      </c>
      <c r="B23" s="158" t="s">
        <v>431</v>
      </c>
      <c r="C23" s="93" t="s">
        <v>899</v>
      </c>
      <c r="D23" s="93" t="s">
        <v>432</v>
      </c>
      <c r="E23" s="93" t="str">
        <f t="shared" si="1"/>
        <v>PP1000-202-CU</v>
      </c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>
      <c r="A24" s="93" t="s">
        <v>612</v>
      </c>
      <c r="B24" s="158" t="s">
        <v>431</v>
      </c>
      <c r="C24" s="93" t="s">
        <v>902</v>
      </c>
      <c r="D24" s="93" t="s">
        <v>432</v>
      </c>
      <c r="E24" s="93" t="str">
        <f t="shared" si="1"/>
        <v>PP1000-202-GB</v>
      </c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>
      <c r="A25" s="93" t="s">
        <v>613</v>
      </c>
      <c r="B25" s="158" t="s">
        <v>431</v>
      </c>
      <c r="C25" s="93" t="s">
        <v>928</v>
      </c>
      <c r="D25" s="93" t="s">
        <v>432</v>
      </c>
      <c r="E25" s="93" t="str">
        <f t="shared" si="1"/>
        <v>PP1000-202-PPO</v>
      </c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>
      <c r="A26" s="93" t="s">
        <v>616</v>
      </c>
      <c r="B26" s="158" t="s">
        <v>431</v>
      </c>
      <c r="C26" s="93" t="s">
        <v>931</v>
      </c>
      <c r="D26" s="93" t="s">
        <v>432</v>
      </c>
      <c r="E26" s="93" t="str">
        <f t="shared" si="1"/>
        <v>PP1000-202-PF</v>
      </c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>
      <c r="A27" s="93" t="s">
        <v>619</v>
      </c>
      <c r="B27" s="158" t="s">
        <v>431</v>
      </c>
      <c r="C27" s="93" t="s">
        <v>908</v>
      </c>
      <c r="D27" s="93" t="s">
        <v>432</v>
      </c>
      <c r="E27" s="93" t="str">
        <f t="shared" si="1"/>
        <v>PP1000-202-POL</v>
      </c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>
      <c r="A28" s="94" t="s">
        <v>621</v>
      </c>
      <c r="B28" s="158" t="s">
        <v>431</v>
      </c>
      <c r="C28" s="94" t="s">
        <v>910</v>
      </c>
      <c r="D28" s="93" t="s">
        <v>432</v>
      </c>
      <c r="E28" s="93" t="str">
        <f t="shared" si="1"/>
        <v>PP1000-202-RW</v>
      </c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>
      <c r="A29" s="93" t="s">
        <v>622</v>
      </c>
      <c r="B29" s="158" t="s">
        <v>431</v>
      </c>
      <c r="C29" s="93" t="s">
        <v>912</v>
      </c>
      <c r="D29" s="93" t="s">
        <v>432</v>
      </c>
      <c r="E29" s="93" t="str">
        <f t="shared" si="1"/>
        <v>PP1000-202-CL</v>
      </c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>
      <c r="A30" s="93" t="s">
        <v>624</v>
      </c>
      <c r="B30" s="158" t="s">
        <v>431</v>
      </c>
      <c r="C30" s="93" t="s">
        <v>914</v>
      </c>
      <c r="D30" s="93" t="s">
        <v>432</v>
      </c>
      <c r="E30" s="93" t="str">
        <f t="shared" si="1"/>
        <v>PP1000-202-HH</v>
      </c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>
      <c r="A31" s="93" t="s">
        <v>626</v>
      </c>
      <c r="B31" s="158" t="s">
        <v>431</v>
      </c>
      <c r="C31" s="93" t="s">
        <v>916</v>
      </c>
      <c r="D31" s="93" t="s">
        <v>432</v>
      </c>
      <c r="E31" s="93" t="str">
        <f t="shared" si="1"/>
        <v>PP1000-202-BH</v>
      </c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>
      <c r="A32" s="93" t="s">
        <v>628</v>
      </c>
      <c r="B32" s="158" t="s">
        <v>431</v>
      </c>
      <c r="C32" s="93" t="s">
        <v>960</v>
      </c>
      <c r="D32" s="93" t="s">
        <v>432</v>
      </c>
      <c r="E32" s="93" t="str">
        <f t="shared" si="1"/>
        <v>PP1000-202-FB</v>
      </c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>
      <c r="A33" s="93" t="s">
        <v>627</v>
      </c>
      <c r="B33" s="158" t="s">
        <v>431</v>
      </c>
      <c r="C33" s="93" t="s">
        <v>918</v>
      </c>
      <c r="D33" s="93" t="s">
        <v>432</v>
      </c>
      <c r="E33" s="93" t="str">
        <f t="shared" si="1"/>
        <v>PP1000-202-FC</v>
      </c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>
      <c r="A34" s="93" t="s">
        <v>629</v>
      </c>
      <c r="B34" s="158" t="s">
        <v>431</v>
      </c>
      <c r="C34" s="93" t="s">
        <v>629</v>
      </c>
      <c r="D34" s="93" t="s">
        <v>432</v>
      </c>
      <c r="E34" s="93" t="str">
        <f t="shared" si="1"/>
        <v>PP1000-202-QC</v>
      </c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>
      <c r="A35" s="93" t="s">
        <v>631</v>
      </c>
      <c r="B35" s="158" t="s">
        <v>431</v>
      </c>
      <c r="C35" s="93" t="s">
        <v>921</v>
      </c>
      <c r="D35" s="93" t="s">
        <v>432</v>
      </c>
      <c r="E35" s="93" t="str">
        <f t="shared" si="1"/>
        <v>PP1000-202-FG</v>
      </c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>
      <c r="A36" s="93" t="s">
        <v>604</v>
      </c>
      <c r="B36" s="158" t="s">
        <v>433</v>
      </c>
      <c r="C36" s="93" t="s">
        <v>889</v>
      </c>
      <c r="D36" s="93" t="s">
        <v>434</v>
      </c>
      <c r="E36" s="93" t="str">
        <f t="shared" si="1"/>
        <v>PP0400-202-CC</v>
      </c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>
      <c r="A37" s="93" t="s">
        <v>605</v>
      </c>
      <c r="B37" s="158" t="s">
        <v>433</v>
      </c>
      <c r="C37" s="94" t="s">
        <v>892</v>
      </c>
      <c r="D37" s="93" t="s">
        <v>434</v>
      </c>
      <c r="E37" s="93" t="str">
        <f t="shared" si="1"/>
        <v>PP0400-202-PR1</v>
      </c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>
      <c r="A38" s="93" t="s">
        <v>607</v>
      </c>
      <c r="B38" s="158" t="s">
        <v>433</v>
      </c>
      <c r="C38" s="93" t="s">
        <v>896</v>
      </c>
      <c r="D38" s="93" t="s">
        <v>434</v>
      </c>
      <c r="E38" s="93" t="str">
        <f t="shared" si="1"/>
        <v>PP0400-202-SX</v>
      </c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>
      <c r="A39" s="93" t="s">
        <v>609</v>
      </c>
      <c r="B39" s="158" t="s">
        <v>433</v>
      </c>
      <c r="C39" s="93" t="s">
        <v>899</v>
      </c>
      <c r="D39" s="93" t="s">
        <v>434</v>
      </c>
      <c r="E39" s="93" t="str">
        <f t="shared" si="1"/>
        <v>PP0400-202-CU</v>
      </c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>
      <c r="A40" s="93" t="s">
        <v>612</v>
      </c>
      <c r="B40" s="158" t="s">
        <v>433</v>
      </c>
      <c r="C40" s="93" t="s">
        <v>902</v>
      </c>
      <c r="D40" s="93" t="s">
        <v>434</v>
      </c>
      <c r="E40" s="93" t="str">
        <f t="shared" si="1"/>
        <v>PP0400-202-GB</v>
      </c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>
      <c r="A41" s="93" t="s">
        <v>613</v>
      </c>
      <c r="B41" s="158" t="s">
        <v>433</v>
      </c>
      <c r="C41" s="93" t="s">
        <v>928</v>
      </c>
      <c r="D41" s="93" t="s">
        <v>434</v>
      </c>
      <c r="E41" s="93" t="str">
        <f t="shared" si="1"/>
        <v>PP0400-202-PPO</v>
      </c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>
      <c r="A42" s="93" t="s">
        <v>616</v>
      </c>
      <c r="B42" s="158" t="s">
        <v>433</v>
      </c>
      <c r="C42" s="93" t="s">
        <v>931</v>
      </c>
      <c r="D42" s="93" t="s">
        <v>434</v>
      </c>
      <c r="E42" s="93" t="str">
        <f t="shared" si="1"/>
        <v>PP0400-202-PF</v>
      </c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>
      <c r="A43" s="94" t="s">
        <v>617</v>
      </c>
      <c r="B43" s="158" t="s">
        <v>433</v>
      </c>
      <c r="C43" s="94" t="s">
        <v>1444</v>
      </c>
      <c r="D43" s="93" t="s">
        <v>434</v>
      </c>
      <c r="E43" s="93" t="str">
        <f t="shared" si="1"/>
        <v>PP0400-202-PB</v>
      </c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>
      <c r="A44" s="93" t="s">
        <v>619</v>
      </c>
      <c r="B44" s="158" t="s">
        <v>433</v>
      </c>
      <c r="C44" s="93" t="s">
        <v>908</v>
      </c>
      <c r="D44" s="93" t="s">
        <v>434</v>
      </c>
      <c r="E44" s="93" t="str">
        <f t="shared" si="1"/>
        <v>PP0400-202-POL</v>
      </c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>
      <c r="A45" s="94" t="s">
        <v>621</v>
      </c>
      <c r="B45" s="158" t="s">
        <v>433</v>
      </c>
      <c r="C45" s="94" t="s">
        <v>910</v>
      </c>
      <c r="D45" s="93" t="s">
        <v>434</v>
      </c>
      <c r="E45" s="93" t="str">
        <f t="shared" si="1"/>
        <v>PP0400-202-RW</v>
      </c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>
      <c r="A46" s="93" t="s">
        <v>622</v>
      </c>
      <c r="B46" s="158" t="s">
        <v>433</v>
      </c>
      <c r="C46" s="93" t="s">
        <v>912</v>
      </c>
      <c r="D46" s="93" t="s">
        <v>434</v>
      </c>
      <c r="E46" s="93" t="str">
        <f t="shared" si="1"/>
        <v>PP0400-202-CL</v>
      </c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>
      <c r="A47" s="93" t="s">
        <v>624</v>
      </c>
      <c r="B47" s="158" t="s">
        <v>433</v>
      </c>
      <c r="C47" s="93" t="s">
        <v>914</v>
      </c>
      <c r="D47" s="93" t="s">
        <v>434</v>
      </c>
      <c r="E47" s="93" t="str">
        <f t="shared" si="1"/>
        <v>PP0400-202-HH</v>
      </c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>
      <c r="A48" s="93" t="s">
        <v>626</v>
      </c>
      <c r="B48" s="158" t="s">
        <v>433</v>
      </c>
      <c r="C48" s="93" t="s">
        <v>916</v>
      </c>
      <c r="D48" s="93" t="s">
        <v>434</v>
      </c>
      <c r="E48" s="93" t="str">
        <f t="shared" si="1"/>
        <v>PP0400-202-BH</v>
      </c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>
      <c r="A49" s="93" t="s">
        <v>627</v>
      </c>
      <c r="B49" s="158" t="s">
        <v>433</v>
      </c>
      <c r="C49" s="93" t="s">
        <v>918</v>
      </c>
      <c r="D49" s="93" t="s">
        <v>434</v>
      </c>
      <c r="E49" s="93" t="str">
        <f t="shared" si="1"/>
        <v>PP0400-202-FC</v>
      </c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>
      <c r="A50" s="93" t="s">
        <v>629</v>
      </c>
      <c r="B50" s="158" t="s">
        <v>433</v>
      </c>
      <c r="C50" s="93" t="s">
        <v>629</v>
      </c>
      <c r="D50" s="93" t="s">
        <v>434</v>
      </c>
      <c r="E50" s="93" t="str">
        <f t="shared" si="1"/>
        <v>PP0400-202-QC</v>
      </c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>
      <c r="A51" s="93" t="s">
        <v>631</v>
      </c>
      <c r="B51" s="158" t="s">
        <v>433</v>
      </c>
      <c r="C51" s="93" t="s">
        <v>921</v>
      </c>
      <c r="D51" s="93" t="s">
        <v>434</v>
      </c>
      <c r="E51" s="93" t="str">
        <f t="shared" si="1"/>
        <v>PP0400-202-FG</v>
      </c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>
      <c r="A52" s="93" t="s">
        <v>604</v>
      </c>
      <c r="B52" s="158" t="s">
        <v>441</v>
      </c>
      <c r="C52" s="93" t="s">
        <v>889</v>
      </c>
      <c r="D52" s="93" t="s">
        <v>442</v>
      </c>
      <c r="E52" s="93" t="str">
        <f t="shared" si="1"/>
        <v>VA1500-202-CC</v>
      </c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>
      <c r="A53" s="93" t="s">
        <v>605</v>
      </c>
      <c r="B53" s="158" t="s">
        <v>441</v>
      </c>
      <c r="C53" s="94" t="s">
        <v>892</v>
      </c>
      <c r="D53" s="93" t="s">
        <v>442</v>
      </c>
      <c r="E53" s="93" t="str">
        <f t="shared" si="1"/>
        <v>VA1500-202-PR1</v>
      </c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>
      <c r="A54" s="93" t="s">
        <v>606</v>
      </c>
      <c r="B54" s="158" t="s">
        <v>441</v>
      </c>
      <c r="C54" s="94" t="s">
        <v>944</v>
      </c>
      <c r="D54" s="93" t="s">
        <v>442</v>
      </c>
      <c r="E54" s="93" t="str">
        <f t="shared" si="1"/>
        <v>VA1500-202-PR2</v>
      </c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>
      <c r="A55" s="93" t="s">
        <v>608</v>
      </c>
      <c r="B55" s="158" t="s">
        <v>441</v>
      </c>
      <c r="C55" s="93" t="s">
        <v>946</v>
      </c>
      <c r="D55" s="93" t="s">
        <v>442</v>
      </c>
      <c r="E55" s="93" t="str">
        <f t="shared" si="1"/>
        <v>VA1500-202-SD</v>
      </c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>
      <c r="A56" s="93" t="s">
        <v>610</v>
      </c>
      <c r="B56" s="158" t="s">
        <v>441</v>
      </c>
      <c r="C56" s="93" t="s">
        <v>948</v>
      </c>
      <c r="D56" s="93" t="s">
        <v>442</v>
      </c>
      <c r="E56" s="93" t="str">
        <f t="shared" si="1"/>
        <v>VA1500-202-SF</v>
      </c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>
      <c r="A57" s="93" t="s">
        <v>609</v>
      </c>
      <c r="B57" s="158" t="s">
        <v>441</v>
      </c>
      <c r="C57" s="93" t="s">
        <v>899</v>
      </c>
      <c r="D57" s="93" t="s">
        <v>442</v>
      </c>
      <c r="E57" s="93" t="str">
        <f t="shared" si="1"/>
        <v>VA1500-202-CU</v>
      </c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>
      <c r="A58" s="93" t="s">
        <v>612</v>
      </c>
      <c r="B58" s="158" t="s">
        <v>441</v>
      </c>
      <c r="C58" s="93" t="s">
        <v>902</v>
      </c>
      <c r="D58" s="93" t="s">
        <v>442</v>
      </c>
      <c r="E58" s="93" t="str">
        <f t="shared" si="1"/>
        <v>VA1500-202-GB</v>
      </c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>
      <c r="A59" s="93" t="s">
        <v>613</v>
      </c>
      <c r="B59" s="158" t="s">
        <v>441</v>
      </c>
      <c r="C59" s="93" t="s">
        <v>928</v>
      </c>
      <c r="D59" s="93" t="s">
        <v>442</v>
      </c>
      <c r="E59" s="93" t="str">
        <f t="shared" si="1"/>
        <v>VA1500-202-PPO</v>
      </c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>
      <c r="A60" s="93" t="s">
        <v>616</v>
      </c>
      <c r="B60" s="158" t="s">
        <v>441</v>
      </c>
      <c r="C60" s="93" t="s">
        <v>931</v>
      </c>
      <c r="D60" s="93" t="s">
        <v>442</v>
      </c>
      <c r="E60" s="93" t="str">
        <f t="shared" si="1"/>
        <v>VA1500-202-PF</v>
      </c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>
      <c r="A61" s="93" t="s">
        <v>619</v>
      </c>
      <c r="B61" s="158" t="s">
        <v>441</v>
      </c>
      <c r="C61" s="93" t="s">
        <v>908</v>
      </c>
      <c r="D61" s="93" t="s">
        <v>442</v>
      </c>
      <c r="E61" s="93" t="str">
        <f t="shared" si="1"/>
        <v>VA1500-202-POL</v>
      </c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>
      <c r="A62" s="94" t="s">
        <v>621</v>
      </c>
      <c r="B62" s="158" t="s">
        <v>441</v>
      </c>
      <c r="C62" s="94" t="s">
        <v>910</v>
      </c>
      <c r="D62" s="93" t="s">
        <v>442</v>
      </c>
      <c r="E62" s="93" t="str">
        <f t="shared" si="1"/>
        <v>VA1500-202-RW</v>
      </c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>
      <c r="A63" s="93" t="s">
        <v>622</v>
      </c>
      <c r="B63" s="158" t="s">
        <v>441</v>
      </c>
      <c r="C63" s="93" t="s">
        <v>912</v>
      </c>
      <c r="D63" s="93" t="s">
        <v>442</v>
      </c>
      <c r="E63" s="93" t="str">
        <f t="shared" si="1"/>
        <v>VA1500-202-CL</v>
      </c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>
      <c r="A64" s="93" t="s">
        <v>624</v>
      </c>
      <c r="B64" s="158" t="s">
        <v>441</v>
      </c>
      <c r="C64" s="93" t="s">
        <v>914</v>
      </c>
      <c r="D64" s="93" t="s">
        <v>442</v>
      </c>
      <c r="E64" s="93" t="str">
        <f t="shared" si="1"/>
        <v>VA1500-202-HH</v>
      </c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>
      <c r="A65" s="93" t="s">
        <v>626</v>
      </c>
      <c r="B65" s="158" t="s">
        <v>441</v>
      </c>
      <c r="C65" s="93" t="s">
        <v>916</v>
      </c>
      <c r="D65" s="93" t="s">
        <v>442</v>
      </c>
      <c r="E65" s="93" t="str">
        <f t="shared" si="1"/>
        <v>VA1500-202-BH</v>
      </c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>
      <c r="A66" s="93" t="s">
        <v>628</v>
      </c>
      <c r="B66" s="158" t="s">
        <v>441</v>
      </c>
      <c r="C66" s="93" t="s">
        <v>960</v>
      </c>
      <c r="D66" s="93" t="s">
        <v>442</v>
      </c>
      <c r="E66" s="93" t="str">
        <f t="shared" si="1"/>
        <v>VA1500-202-FB</v>
      </c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>
      <c r="A67" s="93" t="s">
        <v>627</v>
      </c>
      <c r="B67" s="158" t="s">
        <v>441</v>
      </c>
      <c r="C67" s="93" t="s">
        <v>918</v>
      </c>
      <c r="D67" s="93" t="s">
        <v>442</v>
      </c>
      <c r="E67" s="93" t="str">
        <f t="shared" si="1"/>
        <v>VA1500-202-FC</v>
      </c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>
      <c r="A68" s="93" t="s">
        <v>629</v>
      </c>
      <c r="B68" s="158" t="s">
        <v>441</v>
      </c>
      <c r="C68" s="93" t="s">
        <v>629</v>
      </c>
      <c r="D68" s="93" t="s">
        <v>442</v>
      </c>
      <c r="E68" s="93" t="str">
        <f t="shared" si="1"/>
        <v>VA1500-202-QC</v>
      </c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>
      <c r="A69" s="93" t="s">
        <v>631</v>
      </c>
      <c r="B69" s="158" t="s">
        <v>441</v>
      </c>
      <c r="C69" s="93" t="s">
        <v>921</v>
      </c>
      <c r="D69" s="93" t="s">
        <v>442</v>
      </c>
      <c r="E69" s="93" t="str">
        <f t="shared" si="1"/>
        <v>VA1500-202-FG</v>
      </c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>
      <c r="A70" s="93" t="s">
        <v>604</v>
      </c>
      <c r="B70" s="158" t="s">
        <v>443</v>
      </c>
      <c r="C70" s="93" t="s">
        <v>889</v>
      </c>
      <c r="D70" s="93" t="s">
        <v>444</v>
      </c>
      <c r="E70" s="93" t="str">
        <f t="shared" si="1"/>
        <v>VA1000-202-CC</v>
      </c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>
      <c r="A71" s="93" t="s">
        <v>605</v>
      </c>
      <c r="B71" s="158" t="s">
        <v>443</v>
      </c>
      <c r="C71" s="94" t="s">
        <v>892</v>
      </c>
      <c r="D71" s="93" t="s">
        <v>444</v>
      </c>
      <c r="E71" s="93" t="str">
        <f t="shared" si="1"/>
        <v>VA1000-202-PR1</v>
      </c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>
      <c r="A72" s="93" t="s">
        <v>607</v>
      </c>
      <c r="B72" s="158" t="s">
        <v>443</v>
      </c>
      <c r="C72" s="93" t="s">
        <v>896</v>
      </c>
      <c r="D72" s="93" t="s">
        <v>444</v>
      </c>
      <c r="E72" s="93" t="str">
        <f t="shared" si="1"/>
        <v>VA1000-202-SX</v>
      </c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>
      <c r="A73" s="93" t="s">
        <v>609</v>
      </c>
      <c r="B73" s="158" t="s">
        <v>443</v>
      </c>
      <c r="C73" s="93" t="s">
        <v>899</v>
      </c>
      <c r="D73" s="93" t="s">
        <v>444</v>
      </c>
      <c r="E73" s="93" t="str">
        <f t="shared" si="1"/>
        <v>VA1000-202-CU</v>
      </c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>
      <c r="A74" s="93" t="s">
        <v>612</v>
      </c>
      <c r="B74" s="158" t="s">
        <v>443</v>
      </c>
      <c r="C74" s="93" t="s">
        <v>902</v>
      </c>
      <c r="D74" s="93" t="s">
        <v>444</v>
      </c>
      <c r="E74" s="93" t="str">
        <f t="shared" si="1"/>
        <v>VA1000-202-GB</v>
      </c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>
      <c r="A75" s="93" t="s">
        <v>613</v>
      </c>
      <c r="B75" s="158" t="s">
        <v>443</v>
      </c>
      <c r="C75" s="93" t="s">
        <v>928</v>
      </c>
      <c r="D75" s="93" t="s">
        <v>444</v>
      </c>
      <c r="E75" s="93" t="str">
        <f t="shared" si="1"/>
        <v>VA1000-202-PPO</v>
      </c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>
      <c r="A76" s="93" t="s">
        <v>616</v>
      </c>
      <c r="B76" s="158" t="s">
        <v>443</v>
      </c>
      <c r="C76" s="93" t="s">
        <v>931</v>
      </c>
      <c r="D76" s="93" t="s">
        <v>444</v>
      </c>
      <c r="E76" s="93" t="str">
        <f t="shared" si="1"/>
        <v>VA1000-202-PF</v>
      </c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>
      <c r="A77" s="93" t="s">
        <v>619</v>
      </c>
      <c r="B77" s="158" t="s">
        <v>443</v>
      </c>
      <c r="C77" s="93" t="s">
        <v>908</v>
      </c>
      <c r="D77" s="93" t="s">
        <v>444</v>
      </c>
      <c r="E77" s="93" t="str">
        <f t="shared" si="1"/>
        <v>VA1000-202-POL</v>
      </c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>
      <c r="A78" s="94" t="s">
        <v>621</v>
      </c>
      <c r="B78" s="158" t="s">
        <v>443</v>
      </c>
      <c r="C78" s="94" t="s">
        <v>910</v>
      </c>
      <c r="D78" s="93" t="s">
        <v>444</v>
      </c>
      <c r="E78" s="93" t="str">
        <f t="shared" si="1"/>
        <v>VA1000-202-RW</v>
      </c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>
      <c r="A79" s="93" t="s">
        <v>622</v>
      </c>
      <c r="B79" s="158" t="s">
        <v>443</v>
      </c>
      <c r="C79" s="93" t="s">
        <v>912</v>
      </c>
      <c r="D79" s="93" t="s">
        <v>444</v>
      </c>
      <c r="E79" s="93" t="str">
        <f t="shared" si="1"/>
        <v>VA1000-202-CL</v>
      </c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>
      <c r="A80" s="93" t="s">
        <v>624</v>
      </c>
      <c r="B80" s="158" t="s">
        <v>443</v>
      </c>
      <c r="C80" s="93" t="s">
        <v>914</v>
      </c>
      <c r="D80" s="93" t="s">
        <v>444</v>
      </c>
      <c r="E80" s="93" t="str">
        <f t="shared" si="1"/>
        <v>VA1000-202-HH</v>
      </c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>
      <c r="A81" s="93" t="s">
        <v>626</v>
      </c>
      <c r="B81" s="158" t="s">
        <v>443</v>
      </c>
      <c r="C81" s="93" t="s">
        <v>916</v>
      </c>
      <c r="D81" s="93" t="s">
        <v>444</v>
      </c>
      <c r="E81" s="93" t="str">
        <f t="shared" si="1"/>
        <v>VA1000-202-BH</v>
      </c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>
      <c r="A82" s="93" t="s">
        <v>628</v>
      </c>
      <c r="B82" s="158" t="s">
        <v>443</v>
      </c>
      <c r="C82" s="93" t="s">
        <v>960</v>
      </c>
      <c r="D82" s="93" t="s">
        <v>444</v>
      </c>
      <c r="E82" s="93" t="str">
        <f t="shared" si="1"/>
        <v>VA1000-202-FB</v>
      </c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>
      <c r="A83" s="93" t="s">
        <v>627</v>
      </c>
      <c r="B83" s="158" t="s">
        <v>443</v>
      </c>
      <c r="C83" s="93" t="s">
        <v>918</v>
      </c>
      <c r="D83" s="93" t="s">
        <v>444</v>
      </c>
      <c r="E83" s="93" t="str">
        <f t="shared" si="1"/>
        <v>VA1000-202-FC</v>
      </c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>
      <c r="A84" s="93" t="s">
        <v>629</v>
      </c>
      <c r="B84" s="158" t="s">
        <v>443</v>
      </c>
      <c r="C84" s="93" t="s">
        <v>629</v>
      </c>
      <c r="D84" s="93" t="s">
        <v>444</v>
      </c>
      <c r="E84" s="93" t="str">
        <f t="shared" si="1"/>
        <v>VA1000-202-QC</v>
      </c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>
      <c r="A85" s="93" t="s">
        <v>631</v>
      </c>
      <c r="B85" s="158" t="s">
        <v>443</v>
      </c>
      <c r="C85" s="94" t="s">
        <v>921</v>
      </c>
      <c r="D85" s="93" t="s">
        <v>444</v>
      </c>
      <c r="E85" s="93" t="str">
        <f t="shared" si="1"/>
        <v>VA1000-202-FG</v>
      </c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>
      <c r="A86" s="93" t="s">
        <v>604</v>
      </c>
      <c r="B86" s="158" t="s">
        <v>445</v>
      </c>
      <c r="C86" s="93" t="s">
        <v>889</v>
      </c>
      <c r="D86" s="93" t="s">
        <v>446</v>
      </c>
      <c r="E86" s="93" t="str">
        <f t="shared" si="1"/>
        <v>VA0400-202-CC</v>
      </c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>
      <c r="A87" s="93" t="s">
        <v>605</v>
      </c>
      <c r="B87" s="158" t="s">
        <v>445</v>
      </c>
      <c r="C87" s="94" t="s">
        <v>892</v>
      </c>
      <c r="D87" s="93" t="s">
        <v>446</v>
      </c>
      <c r="E87" s="93" t="str">
        <f t="shared" si="1"/>
        <v>VA0400-202-PR1</v>
      </c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>
      <c r="A88" s="93" t="s">
        <v>607</v>
      </c>
      <c r="B88" s="158" t="s">
        <v>445</v>
      </c>
      <c r="C88" s="93" t="s">
        <v>896</v>
      </c>
      <c r="D88" s="93" t="s">
        <v>446</v>
      </c>
      <c r="E88" s="93" t="str">
        <f t="shared" si="1"/>
        <v>VA0400-202-SX</v>
      </c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>
      <c r="A89" s="93" t="s">
        <v>609</v>
      </c>
      <c r="B89" s="158" t="s">
        <v>445</v>
      </c>
      <c r="C89" s="93" t="s">
        <v>899</v>
      </c>
      <c r="D89" s="93" t="s">
        <v>446</v>
      </c>
      <c r="E89" s="93" t="str">
        <f t="shared" si="1"/>
        <v>VA0400-202-CU</v>
      </c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>
      <c r="A90" s="93" t="s">
        <v>612</v>
      </c>
      <c r="B90" s="158" t="s">
        <v>445</v>
      </c>
      <c r="C90" s="93" t="s">
        <v>902</v>
      </c>
      <c r="D90" s="93" t="s">
        <v>446</v>
      </c>
      <c r="E90" s="93" t="str">
        <f t="shared" si="1"/>
        <v>VA0400-202-GB</v>
      </c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>
      <c r="A91" s="93" t="s">
        <v>613</v>
      </c>
      <c r="B91" s="158" t="s">
        <v>445</v>
      </c>
      <c r="C91" s="93" t="s">
        <v>928</v>
      </c>
      <c r="D91" s="93" t="s">
        <v>446</v>
      </c>
      <c r="E91" s="93" t="str">
        <f t="shared" si="1"/>
        <v>VA0400-202-PPO</v>
      </c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>
      <c r="A92" s="93" t="s">
        <v>616</v>
      </c>
      <c r="B92" s="158" t="s">
        <v>445</v>
      </c>
      <c r="C92" s="93" t="s">
        <v>931</v>
      </c>
      <c r="D92" s="93" t="s">
        <v>446</v>
      </c>
      <c r="E92" s="93" t="str">
        <f t="shared" si="1"/>
        <v>VA0400-202-PF</v>
      </c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>
      <c r="A93" s="93" t="s">
        <v>619</v>
      </c>
      <c r="B93" s="158" t="s">
        <v>445</v>
      </c>
      <c r="C93" s="93" t="s">
        <v>908</v>
      </c>
      <c r="D93" s="93" t="s">
        <v>446</v>
      </c>
      <c r="E93" s="93" t="str">
        <f t="shared" si="1"/>
        <v>VA0400-202-POL</v>
      </c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>
      <c r="A94" s="94" t="s">
        <v>621</v>
      </c>
      <c r="B94" s="158" t="s">
        <v>445</v>
      </c>
      <c r="C94" s="94" t="s">
        <v>910</v>
      </c>
      <c r="D94" s="93" t="s">
        <v>446</v>
      </c>
      <c r="E94" s="93" t="str">
        <f t="shared" si="1"/>
        <v>VA0400-202-RW</v>
      </c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>
      <c r="A95" s="93" t="s">
        <v>622</v>
      </c>
      <c r="B95" s="158" t="s">
        <v>445</v>
      </c>
      <c r="C95" s="93" t="s">
        <v>912</v>
      </c>
      <c r="D95" s="93" t="s">
        <v>446</v>
      </c>
      <c r="E95" s="93" t="str">
        <f t="shared" si="1"/>
        <v>VA0400-202-CL</v>
      </c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>
      <c r="A96" s="93" t="s">
        <v>626</v>
      </c>
      <c r="B96" s="158" t="s">
        <v>445</v>
      </c>
      <c r="C96" s="93" t="s">
        <v>916</v>
      </c>
      <c r="D96" s="93" t="s">
        <v>446</v>
      </c>
      <c r="E96" s="93" t="str">
        <f t="shared" si="1"/>
        <v>VA0400-202-BH</v>
      </c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>
      <c r="A97" s="93" t="s">
        <v>627</v>
      </c>
      <c r="B97" s="158" t="s">
        <v>445</v>
      </c>
      <c r="C97" s="93" t="s">
        <v>918</v>
      </c>
      <c r="D97" s="93" t="s">
        <v>446</v>
      </c>
      <c r="E97" s="93" t="str">
        <f t="shared" si="1"/>
        <v>VA0400-202-FC</v>
      </c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>
      <c r="A98" s="93" t="s">
        <v>629</v>
      </c>
      <c r="B98" s="158" t="s">
        <v>445</v>
      </c>
      <c r="C98" s="93" t="s">
        <v>629</v>
      </c>
      <c r="D98" s="93" t="s">
        <v>446</v>
      </c>
      <c r="E98" s="93" t="str">
        <f t="shared" si="1"/>
        <v>VA0400-202-QC</v>
      </c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>
      <c r="A99" s="93" t="s">
        <v>631</v>
      </c>
      <c r="B99" s="158" t="s">
        <v>445</v>
      </c>
      <c r="C99" s="93" t="s">
        <v>921</v>
      </c>
      <c r="D99" s="93" t="s">
        <v>446</v>
      </c>
      <c r="E99" s="93" t="str">
        <f t="shared" si="1"/>
        <v>VA0400-202-FG</v>
      </c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>
      <c r="A100" s="93" t="s">
        <v>604</v>
      </c>
      <c r="B100" s="158" t="s">
        <v>463</v>
      </c>
      <c r="C100" s="93" t="s">
        <v>889</v>
      </c>
      <c r="D100" s="93" t="s">
        <v>464</v>
      </c>
      <c r="E100" s="93" t="str">
        <f t="shared" si="1"/>
        <v>GJ1000-204-CC</v>
      </c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>
      <c r="A101" s="93" t="s">
        <v>605</v>
      </c>
      <c r="B101" s="158" t="s">
        <v>463</v>
      </c>
      <c r="C101" s="94" t="s">
        <v>892</v>
      </c>
      <c r="D101" s="93" t="s">
        <v>464</v>
      </c>
      <c r="E101" s="93" t="str">
        <f t="shared" si="1"/>
        <v>GJ1000-204-PR1</v>
      </c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>
      <c r="A102" s="93" t="s">
        <v>607</v>
      </c>
      <c r="B102" s="158" t="s">
        <v>463</v>
      </c>
      <c r="C102" s="93" t="s">
        <v>896</v>
      </c>
      <c r="D102" s="93" t="s">
        <v>464</v>
      </c>
      <c r="E102" s="93" t="str">
        <f t="shared" si="1"/>
        <v>GJ1000-204-SX</v>
      </c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>
      <c r="A103" s="93" t="s">
        <v>609</v>
      </c>
      <c r="B103" s="158" t="s">
        <v>463</v>
      </c>
      <c r="C103" s="93" t="s">
        <v>899</v>
      </c>
      <c r="D103" s="93" t="s">
        <v>464</v>
      </c>
      <c r="E103" s="93" t="str">
        <f t="shared" si="1"/>
        <v>GJ1000-204-CU</v>
      </c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>
      <c r="A104" s="93" t="s">
        <v>612</v>
      </c>
      <c r="B104" s="158" t="s">
        <v>463</v>
      </c>
      <c r="C104" s="93" t="s">
        <v>902</v>
      </c>
      <c r="D104" s="93" t="s">
        <v>464</v>
      </c>
      <c r="E104" s="93" t="str">
        <f t="shared" si="1"/>
        <v>GJ1000-204-GB</v>
      </c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>
      <c r="A105" s="93" t="s">
        <v>615</v>
      </c>
      <c r="B105" s="158" t="s">
        <v>463</v>
      </c>
      <c r="C105" s="93" t="s">
        <v>904</v>
      </c>
      <c r="D105" s="93" t="s">
        <v>464</v>
      </c>
      <c r="E105" s="93" t="str">
        <f t="shared" si="1"/>
        <v>GJ1000-204-SI</v>
      </c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>
      <c r="A106" s="94" t="s">
        <v>617</v>
      </c>
      <c r="B106" s="158" t="s">
        <v>463</v>
      </c>
      <c r="C106" s="94" t="s">
        <v>906</v>
      </c>
      <c r="D106" s="93" t="s">
        <v>464</v>
      </c>
      <c r="E106" s="93" t="str">
        <f t="shared" si="1"/>
        <v>GJ1000-204-PBF</v>
      </c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>
      <c r="A107" s="93" t="s">
        <v>619</v>
      </c>
      <c r="B107" s="158" t="s">
        <v>463</v>
      </c>
      <c r="C107" s="93" t="s">
        <v>908</v>
      </c>
      <c r="D107" s="93" t="s">
        <v>464</v>
      </c>
      <c r="E107" s="93" t="str">
        <f t="shared" si="1"/>
        <v>GJ1000-204-POL</v>
      </c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>
      <c r="A108" s="94" t="s">
        <v>621</v>
      </c>
      <c r="B108" s="158" t="s">
        <v>463</v>
      </c>
      <c r="C108" s="94" t="s">
        <v>910</v>
      </c>
      <c r="D108" s="93" t="s">
        <v>464</v>
      </c>
      <c r="E108" s="93" t="str">
        <f t="shared" si="1"/>
        <v>GJ1000-204-RW</v>
      </c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>
      <c r="A109" s="93" t="s">
        <v>622</v>
      </c>
      <c r="B109" s="158" t="s">
        <v>463</v>
      </c>
      <c r="C109" s="93" t="s">
        <v>912</v>
      </c>
      <c r="D109" s="93" t="s">
        <v>464</v>
      </c>
      <c r="E109" s="93" t="str">
        <f t="shared" si="1"/>
        <v>GJ1000-204-CL</v>
      </c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>
      <c r="A110" s="93" t="s">
        <v>624</v>
      </c>
      <c r="B110" s="158" t="s">
        <v>463</v>
      </c>
      <c r="C110" s="93" t="s">
        <v>914</v>
      </c>
      <c r="D110" s="93" t="s">
        <v>464</v>
      </c>
      <c r="E110" s="93" t="str">
        <f t="shared" si="1"/>
        <v>GJ1000-204-HH</v>
      </c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>
      <c r="A111" s="93" t="s">
        <v>626</v>
      </c>
      <c r="B111" s="158" t="s">
        <v>463</v>
      </c>
      <c r="C111" s="93" t="s">
        <v>916</v>
      </c>
      <c r="D111" s="93" t="s">
        <v>464</v>
      </c>
      <c r="E111" s="93" t="str">
        <f t="shared" si="1"/>
        <v>GJ1000-204-BH</v>
      </c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>
      <c r="A112" s="93" t="s">
        <v>627</v>
      </c>
      <c r="B112" s="158" t="s">
        <v>463</v>
      </c>
      <c r="C112" s="93" t="s">
        <v>918</v>
      </c>
      <c r="D112" s="93" t="s">
        <v>464</v>
      </c>
      <c r="E112" s="93" t="str">
        <f t="shared" si="1"/>
        <v>GJ1000-204-FC</v>
      </c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>
      <c r="A113" s="93" t="s">
        <v>629</v>
      </c>
      <c r="B113" s="158" t="s">
        <v>463</v>
      </c>
      <c r="C113" s="93" t="s">
        <v>629</v>
      </c>
      <c r="D113" s="93" t="s">
        <v>464</v>
      </c>
      <c r="E113" s="93" t="str">
        <f t="shared" si="1"/>
        <v>GJ1000-204-QC</v>
      </c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>
      <c r="A114" s="93" t="s">
        <v>631</v>
      </c>
      <c r="B114" s="158" t="s">
        <v>463</v>
      </c>
      <c r="C114" s="94" t="s">
        <v>921</v>
      </c>
      <c r="D114" s="93" t="s">
        <v>464</v>
      </c>
      <c r="E114" s="93" t="str">
        <f t="shared" si="1"/>
        <v>GJ1000-204-FG</v>
      </c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>
      <c r="A115" s="93" t="s">
        <v>604</v>
      </c>
      <c r="B115" s="158" t="s">
        <v>461</v>
      </c>
      <c r="C115" s="93" t="s">
        <v>889</v>
      </c>
      <c r="D115" s="93" t="s">
        <v>462</v>
      </c>
      <c r="E115" s="93" t="str">
        <f t="shared" si="1"/>
        <v>CK0600-204-CC</v>
      </c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>
      <c r="A116" s="93" t="s">
        <v>605</v>
      </c>
      <c r="B116" s="158" t="s">
        <v>461</v>
      </c>
      <c r="C116" s="94" t="s">
        <v>892</v>
      </c>
      <c r="D116" s="93" t="s">
        <v>462</v>
      </c>
      <c r="E116" s="93" t="str">
        <f t="shared" si="1"/>
        <v>CK0600-204-PR1</v>
      </c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>
      <c r="A117" s="93" t="s">
        <v>607</v>
      </c>
      <c r="B117" s="158" t="s">
        <v>461</v>
      </c>
      <c r="C117" s="93" t="s">
        <v>896</v>
      </c>
      <c r="D117" s="93" t="s">
        <v>462</v>
      </c>
      <c r="E117" s="93" t="str">
        <f t="shared" si="1"/>
        <v>CK0600-204-SX</v>
      </c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>
      <c r="A118" s="93" t="s">
        <v>609</v>
      </c>
      <c r="B118" s="158" t="s">
        <v>461</v>
      </c>
      <c r="C118" s="93" t="s">
        <v>899</v>
      </c>
      <c r="D118" s="93" t="s">
        <v>462</v>
      </c>
      <c r="E118" s="93" t="str">
        <f t="shared" si="1"/>
        <v>CK0600-204-CU</v>
      </c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>
      <c r="A119" s="93" t="s">
        <v>613</v>
      </c>
      <c r="B119" s="158" t="s">
        <v>461</v>
      </c>
      <c r="C119" s="93" t="s">
        <v>928</v>
      </c>
      <c r="D119" s="93" t="s">
        <v>462</v>
      </c>
      <c r="E119" s="93" t="str">
        <f t="shared" si="1"/>
        <v>CK0600-204-PPO</v>
      </c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>
      <c r="A120" s="93" t="s">
        <v>616</v>
      </c>
      <c r="B120" s="158" t="s">
        <v>461</v>
      </c>
      <c r="C120" s="93" t="s">
        <v>931</v>
      </c>
      <c r="D120" s="93" t="s">
        <v>462</v>
      </c>
      <c r="E120" s="93" t="str">
        <f t="shared" si="1"/>
        <v>CK0600-204-PF</v>
      </c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>
      <c r="A121" s="94" t="s">
        <v>617</v>
      </c>
      <c r="B121" s="158" t="s">
        <v>461</v>
      </c>
      <c r="C121" s="94" t="s">
        <v>906</v>
      </c>
      <c r="D121" s="93" t="s">
        <v>462</v>
      </c>
      <c r="E121" s="93" t="str">
        <f t="shared" si="1"/>
        <v>CK0600-204-PBF</v>
      </c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>
      <c r="A122" s="93" t="s">
        <v>619</v>
      </c>
      <c r="B122" s="158" t="s">
        <v>461</v>
      </c>
      <c r="C122" s="93" t="s">
        <v>908</v>
      </c>
      <c r="D122" s="93" t="s">
        <v>462</v>
      </c>
      <c r="E122" s="93" t="str">
        <f t="shared" si="1"/>
        <v>CK0600-204-POL</v>
      </c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>
      <c r="A123" s="94" t="s">
        <v>621</v>
      </c>
      <c r="B123" s="158" t="s">
        <v>461</v>
      </c>
      <c r="C123" s="94" t="s">
        <v>910</v>
      </c>
      <c r="D123" s="93" t="s">
        <v>462</v>
      </c>
      <c r="E123" s="93" t="str">
        <f t="shared" si="1"/>
        <v>CK0600-204-RW</v>
      </c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>
      <c r="A124" s="93" t="s">
        <v>622</v>
      </c>
      <c r="B124" s="158" t="s">
        <v>461</v>
      </c>
      <c r="C124" s="93" t="s">
        <v>912</v>
      </c>
      <c r="D124" s="93" t="s">
        <v>462</v>
      </c>
      <c r="E124" s="93" t="str">
        <f t="shared" si="1"/>
        <v>CK0600-204-CL</v>
      </c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>
      <c r="A125" s="93" t="s">
        <v>624</v>
      </c>
      <c r="B125" s="158" t="s">
        <v>461</v>
      </c>
      <c r="C125" s="93" t="s">
        <v>914</v>
      </c>
      <c r="D125" s="93" t="s">
        <v>462</v>
      </c>
      <c r="E125" s="93" t="str">
        <f t="shared" si="1"/>
        <v>CK0600-204-HH</v>
      </c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>
      <c r="A126" s="93" t="s">
        <v>626</v>
      </c>
      <c r="B126" s="158" t="s">
        <v>461</v>
      </c>
      <c r="C126" s="93" t="s">
        <v>916</v>
      </c>
      <c r="D126" s="93" t="s">
        <v>462</v>
      </c>
      <c r="E126" s="93" t="str">
        <f t="shared" si="1"/>
        <v>CK0600-204-BH</v>
      </c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>
      <c r="A127" s="93" t="s">
        <v>627</v>
      </c>
      <c r="B127" s="158" t="s">
        <v>461</v>
      </c>
      <c r="C127" s="93" t="s">
        <v>918</v>
      </c>
      <c r="D127" s="93" t="s">
        <v>462</v>
      </c>
      <c r="E127" s="93" t="str">
        <f t="shared" si="1"/>
        <v>CK0600-204-FC</v>
      </c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>
      <c r="A128" s="93" t="s">
        <v>629</v>
      </c>
      <c r="B128" s="158" t="s">
        <v>461</v>
      </c>
      <c r="C128" s="93" t="s">
        <v>629</v>
      </c>
      <c r="D128" s="93" t="s">
        <v>462</v>
      </c>
      <c r="E128" s="93" t="str">
        <f t="shared" si="1"/>
        <v>CK0600-204-QC</v>
      </c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>
      <c r="A129" s="93" t="s">
        <v>631</v>
      </c>
      <c r="B129" s="158" t="s">
        <v>461</v>
      </c>
      <c r="C129" s="93" t="s">
        <v>921</v>
      </c>
      <c r="D129" s="93" t="s">
        <v>462</v>
      </c>
      <c r="E129" s="93" t="str">
        <f t="shared" si="1"/>
        <v>CK0600-204-FG</v>
      </c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>
      <c r="A130" s="93" t="s">
        <v>604</v>
      </c>
      <c r="B130" s="158" t="s">
        <v>467</v>
      </c>
      <c r="C130" s="94" t="s">
        <v>889</v>
      </c>
      <c r="D130" s="93" t="s">
        <v>468</v>
      </c>
      <c r="E130" s="93" t="str">
        <f t="shared" si="1"/>
        <v>DJ1500-204-CC</v>
      </c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>
      <c r="A131" s="93" t="s">
        <v>605</v>
      </c>
      <c r="B131" s="158" t="s">
        <v>467</v>
      </c>
      <c r="C131" s="94" t="s">
        <v>892</v>
      </c>
      <c r="D131" s="93" t="s">
        <v>468</v>
      </c>
      <c r="E131" s="93" t="str">
        <f t="shared" si="1"/>
        <v>DJ1500-204-PR1</v>
      </c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>
      <c r="A132" s="93" t="s">
        <v>607</v>
      </c>
      <c r="B132" s="158" t="s">
        <v>467</v>
      </c>
      <c r="C132" s="93" t="s">
        <v>896</v>
      </c>
      <c r="D132" s="93" t="s">
        <v>468</v>
      </c>
      <c r="E132" s="93" t="str">
        <f t="shared" si="1"/>
        <v>DJ1500-204-SX</v>
      </c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>
      <c r="A133" s="93" t="s">
        <v>609</v>
      </c>
      <c r="B133" s="158" t="s">
        <v>467</v>
      </c>
      <c r="C133" s="93" t="s">
        <v>899</v>
      </c>
      <c r="D133" s="93" t="s">
        <v>468</v>
      </c>
      <c r="E133" s="93" t="str">
        <f t="shared" si="1"/>
        <v>DJ1500-204-CU</v>
      </c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>
      <c r="A134" s="93" t="s">
        <v>612</v>
      </c>
      <c r="B134" s="158" t="s">
        <v>467</v>
      </c>
      <c r="C134" s="93" t="s">
        <v>902</v>
      </c>
      <c r="D134" s="93" t="s">
        <v>468</v>
      </c>
      <c r="E134" s="93" t="str">
        <f t="shared" si="1"/>
        <v>DJ1500-204-GB</v>
      </c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>
      <c r="A135" s="93" t="s">
        <v>613</v>
      </c>
      <c r="B135" s="158" t="s">
        <v>467</v>
      </c>
      <c r="C135" s="93" t="s">
        <v>928</v>
      </c>
      <c r="D135" s="93" t="s">
        <v>468</v>
      </c>
      <c r="E135" s="93" t="str">
        <f t="shared" si="1"/>
        <v>DJ1500-204-PPO</v>
      </c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>
      <c r="A136" s="93" t="s">
        <v>616</v>
      </c>
      <c r="B136" s="158" t="s">
        <v>467</v>
      </c>
      <c r="C136" s="93" t="s">
        <v>931</v>
      </c>
      <c r="D136" s="93" t="s">
        <v>468</v>
      </c>
      <c r="E136" s="93" t="str">
        <f t="shared" si="1"/>
        <v>DJ1500-204-PF</v>
      </c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>
      <c r="A137" s="94" t="s">
        <v>617</v>
      </c>
      <c r="B137" s="158" t="s">
        <v>467</v>
      </c>
      <c r="C137" s="94" t="s">
        <v>906</v>
      </c>
      <c r="D137" s="93" t="s">
        <v>468</v>
      </c>
      <c r="E137" s="93" t="str">
        <f t="shared" si="1"/>
        <v>DJ1500-204-PBF</v>
      </c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>
      <c r="A138" s="93" t="s">
        <v>619</v>
      </c>
      <c r="B138" s="158" t="s">
        <v>467</v>
      </c>
      <c r="C138" s="93" t="s">
        <v>908</v>
      </c>
      <c r="D138" s="93" t="s">
        <v>468</v>
      </c>
      <c r="E138" s="93" t="str">
        <f t="shared" si="1"/>
        <v>DJ1500-204-POL</v>
      </c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>
      <c r="A139" s="94" t="s">
        <v>621</v>
      </c>
      <c r="B139" s="158" t="s">
        <v>467</v>
      </c>
      <c r="C139" s="94" t="s">
        <v>910</v>
      </c>
      <c r="D139" s="93" t="s">
        <v>468</v>
      </c>
      <c r="E139" s="93" t="str">
        <f t="shared" si="1"/>
        <v>DJ1500-204-RW</v>
      </c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>
      <c r="A140" s="93" t="s">
        <v>622</v>
      </c>
      <c r="B140" s="158" t="s">
        <v>467</v>
      </c>
      <c r="C140" s="93" t="s">
        <v>912</v>
      </c>
      <c r="D140" s="93" t="s">
        <v>468</v>
      </c>
      <c r="E140" s="93" t="str">
        <f t="shared" si="1"/>
        <v>DJ1500-204-CL</v>
      </c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>
      <c r="A141" s="93" t="s">
        <v>624</v>
      </c>
      <c r="B141" s="158" t="s">
        <v>467</v>
      </c>
      <c r="C141" s="93" t="s">
        <v>914</v>
      </c>
      <c r="D141" s="93" t="s">
        <v>468</v>
      </c>
      <c r="E141" s="93" t="str">
        <f t="shared" si="1"/>
        <v>DJ1500-204-HH</v>
      </c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>
      <c r="A142" s="93" t="s">
        <v>626</v>
      </c>
      <c r="B142" s="158" t="s">
        <v>467</v>
      </c>
      <c r="C142" s="93" t="s">
        <v>916</v>
      </c>
      <c r="D142" s="93" t="s">
        <v>468</v>
      </c>
      <c r="E142" s="93" t="str">
        <f t="shared" si="1"/>
        <v>DJ1500-204-BH</v>
      </c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>
      <c r="A143" s="93" t="s">
        <v>628</v>
      </c>
      <c r="B143" s="158" t="s">
        <v>467</v>
      </c>
      <c r="C143" s="93" t="s">
        <v>960</v>
      </c>
      <c r="D143" s="93" t="s">
        <v>468</v>
      </c>
      <c r="E143" s="93" t="str">
        <f t="shared" si="1"/>
        <v>DJ1500-204-FB</v>
      </c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>
      <c r="A144" s="93" t="s">
        <v>627</v>
      </c>
      <c r="B144" s="158" t="s">
        <v>467</v>
      </c>
      <c r="C144" s="93" t="s">
        <v>918</v>
      </c>
      <c r="D144" s="93" t="s">
        <v>468</v>
      </c>
      <c r="E144" s="93" t="str">
        <f t="shared" si="1"/>
        <v>DJ1500-204-FC</v>
      </c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>
      <c r="A145" s="93" t="s">
        <v>629</v>
      </c>
      <c r="B145" s="158" t="s">
        <v>467</v>
      </c>
      <c r="C145" s="93" t="s">
        <v>629</v>
      </c>
      <c r="D145" s="93" t="s">
        <v>468</v>
      </c>
      <c r="E145" s="93" t="str">
        <f t="shared" si="1"/>
        <v>DJ1500-204-QC</v>
      </c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>
      <c r="A146" s="93" t="s">
        <v>631</v>
      </c>
      <c r="B146" s="158" t="s">
        <v>467</v>
      </c>
      <c r="C146" s="93" t="s">
        <v>921</v>
      </c>
      <c r="D146" s="93" t="s">
        <v>468</v>
      </c>
      <c r="E146" s="93" t="str">
        <f t="shared" si="1"/>
        <v>DJ1500-204-FG</v>
      </c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>
      <c r="A147" s="93" t="s">
        <v>604</v>
      </c>
      <c r="B147" s="158" t="s">
        <v>469</v>
      </c>
      <c r="C147" s="93" t="s">
        <v>889</v>
      </c>
      <c r="D147" s="93" t="s">
        <v>470</v>
      </c>
      <c r="E147" s="93" t="str">
        <f t="shared" si="1"/>
        <v>FJ1000-204-CC</v>
      </c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>
      <c r="A148" s="93" t="s">
        <v>605</v>
      </c>
      <c r="B148" s="158" t="s">
        <v>469</v>
      </c>
      <c r="C148" s="94" t="s">
        <v>892</v>
      </c>
      <c r="D148" s="93" t="s">
        <v>470</v>
      </c>
      <c r="E148" s="93" t="str">
        <f t="shared" si="1"/>
        <v>FJ1000-204-PR1</v>
      </c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>
      <c r="A149" s="93" t="s">
        <v>607</v>
      </c>
      <c r="B149" s="158" t="s">
        <v>469</v>
      </c>
      <c r="C149" s="93" t="s">
        <v>896</v>
      </c>
      <c r="D149" s="93" t="s">
        <v>470</v>
      </c>
      <c r="E149" s="93" t="str">
        <f t="shared" si="1"/>
        <v>FJ1000-204-SX</v>
      </c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>
      <c r="A150" s="93" t="s">
        <v>609</v>
      </c>
      <c r="B150" s="158" t="s">
        <v>469</v>
      </c>
      <c r="C150" s="93" t="s">
        <v>899</v>
      </c>
      <c r="D150" s="93" t="s">
        <v>470</v>
      </c>
      <c r="E150" s="93" t="str">
        <f t="shared" si="1"/>
        <v>FJ1000-204-CU</v>
      </c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>
      <c r="A151" s="93" t="s">
        <v>612</v>
      </c>
      <c r="B151" s="158" t="s">
        <v>469</v>
      </c>
      <c r="C151" s="93" t="s">
        <v>902</v>
      </c>
      <c r="D151" s="93" t="s">
        <v>470</v>
      </c>
      <c r="E151" s="93" t="str">
        <f t="shared" si="1"/>
        <v>FJ1000-204-GB</v>
      </c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>
      <c r="A152" s="93" t="s">
        <v>613</v>
      </c>
      <c r="B152" s="158" t="s">
        <v>469</v>
      </c>
      <c r="C152" s="93" t="s">
        <v>928</v>
      </c>
      <c r="D152" s="93" t="s">
        <v>470</v>
      </c>
      <c r="E152" s="93" t="str">
        <f t="shared" si="1"/>
        <v>FJ1000-204-PPO</v>
      </c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>
      <c r="A153" s="93" t="s">
        <v>616</v>
      </c>
      <c r="B153" s="158" t="s">
        <v>469</v>
      </c>
      <c r="C153" s="93" t="s">
        <v>931</v>
      </c>
      <c r="D153" s="93" t="s">
        <v>470</v>
      </c>
      <c r="E153" s="93" t="str">
        <f t="shared" si="1"/>
        <v>FJ1000-204-PF</v>
      </c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>
      <c r="A154" s="94" t="s">
        <v>617</v>
      </c>
      <c r="B154" s="158" t="s">
        <v>469</v>
      </c>
      <c r="C154" s="94" t="s">
        <v>906</v>
      </c>
      <c r="D154" s="93" t="s">
        <v>470</v>
      </c>
      <c r="E154" s="93" t="str">
        <f t="shared" si="1"/>
        <v>FJ1000-204-PBF</v>
      </c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>
      <c r="A155" s="93" t="s">
        <v>619</v>
      </c>
      <c r="B155" s="158" t="s">
        <v>469</v>
      </c>
      <c r="C155" s="93" t="s">
        <v>908</v>
      </c>
      <c r="D155" s="93" t="s">
        <v>470</v>
      </c>
      <c r="E155" s="93" t="str">
        <f t="shared" si="1"/>
        <v>FJ1000-204-POL</v>
      </c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>
      <c r="A156" s="94" t="s">
        <v>621</v>
      </c>
      <c r="B156" s="158" t="s">
        <v>469</v>
      </c>
      <c r="C156" s="94" t="s">
        <v>910</v>
      </c>
      <c r="D156" s="93" t="s">
        <v>470</v>
      </c>
      <c r="E156" s="93" t="str">
        <f t="shared" si="1"/>
        <v>FJ1000-204-RW</v>
      </c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>
      <c r="A157" s="93" t="s">
        <v>622</v>
      </c>
      <c r="B157" s="158" t="s">
        <v>469</v>
      </c>
      <c r="C157" s="93" t="s">
        <v>912</v>
      </c>
      <c r="D157" s="93" t="s">
        <v>470</v>
      </c>
      <c r="E157" s="93" t="str">
        <f t="shared" si="1"/>
        <v>FJ1000-204-CL</v>
      </c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>
      <c r="A158" s="93" t="s">
        <v>624</v>
      </c>
      <c r="B158" s="158" t="s">
        <v>469</v>
      </c>
      <c r="C158" s="93" t="s">
        <v>914</v>
      </c>
      <c r="D158" s="93" t="s">
        <v>470</v>
      </c>
      <c r="E158" s="93" t="str">
        <f t="shared" si="1"/>
        <v>FJ1000-204-HH</v>
      </c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>
      <c r="A159" s="93" t="s">
        <v>626</v>
      </c>
      <c r="B159" s="158" t="s">
        <v>469</v>
      </c>
      <c r="C159" s="93" t="s">
        <v>916</v>
      </c>
      <c r="D159" s="93" t="s">
        <v>470</v>
      </c>
      <c r="E159" s="93" t="str">
        <f t="shared" si="1"/>
        <v>FJ1000-204-BH</v>
      </c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>
      <c r="A160" s="93" t="s">
        <v>628</v>
      </c>
      <c r="B160" s="158" t="s">
        <v>469</v>
      </c>
      <c r="C160" s="93" t="s">
        <v>960</v>
      </c>
      <c r="D160" s="93" t="s">
        <v>470</v>
      </c>
      <c r="E160" s="93" t="str">
        <f t="shared" si="1"/>
        <v>FJ1000-204-FB</v>
      </c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>
      <c r="A161" s="93" t="s">
        <v>627</v>
      </c>
      <c r="B161" s="158" t="s">
        <v>469</v>
      </c>
      <c r="C161" s="93" t="s">
        <v>918</v>
      </c>
      <c r="D161" s="93" t="s">
        <v>470</v>
      </c>
      <c r="E161" s="93" t="str">
        <f t="shared" si="1"/>
        <v>FJ1000-204-FC</v>
      </c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>
      <c r="A162" s="93" t="s">
        <v>629</v>
      </c>
      <c r="B162" s="158" t="s">
        <v>469</v>
      </c>
      <c r="C162" s="93" t="s">
        <v>629</v>
      </c>
      <c r="D162" s="93" t="s">
        <v>470</v>
      </c>
      <c r="E162" s="93" t="str">
        <f t="shared" si="1"/>
        <v>FJ1000-204-QC</v>
      </c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>
      <c r="A163" s="93" t="s">
        <v>631</v>
      </c>
      <c r="B163" s="158" t="s">
        <v>469</v>
      </c>
      <c r="C163" s="93" t="s">
        <v>921</v>
      </c>
      <c r="D163" s="93" t="s">
        <v>470</v>
      </c>
      <c r="E163" s="93" t="str">
        <f t="shared" si="1"/>
        <v>FJ1000-204-FG</v>
      </c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>
      <c r="A164" s="93" t="s">
        <v>604</v>
      </c>
      <c r="B164" s="158" t="s">
        <v>453</v>
      </c>
      <c r="C164" s="93" t="s">
        <v>889</v>
      </c>
      <c r="D164" s="93" t="s">
        <v>454</v>
      </c>
      <c r="E164" s="93" t="str">
        <f t="shared" si="1"/>
        <v>ST1500-202-CC</v>
      </c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>
      <c r="A165" s="93" t="s">
        <v>605</v>
      </c>
      <c r="B165" s="158" t="s">
        <v>453</v>
      </c>
      <c r="C165" s="94" t="s">
        <v>892</v>
      </c>
      <c r="D165" s="93" t="s">
        <v>454</v>
      </c>
      <c r="E165" s="93" t="str">
        <f t="shared" si="1"/>
        <v>ST1500-202-PR1</v>
      </c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>
      <c r="A166" s="93" t="s">
        <v>608</v>
      </c>
      <c r="B166" s="158" t="s">
        <v>453</v>
      </c>
      <c r="C166" s="93" t="s">
        <v>946</v>
      </c>
      <c r="D166" s="93" t="s">
        <v>454</v>
      </c>
      <c r="E166" s="93" t="str">
        <f t="shared" si="1"/>
        <v>ST1500-202-SD</v>
      </c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>
      <c r="A167" s="93" t="s">
        <v>610</v>
      </c>
      <c r="B167" s="158" t="s">
        <v>453</v>
      </c>
      <c r="C167" s="93" t="s">
        <v>948</v>
      </c>
      <c r="D167" s="93" t="s">
        <v>454</v>
      </c>
      <c r="E167" s="93" t="str">
        <f t="shared" si="1"/>
        <v>ST1500-202-SF</v>
      </c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>
      <c r="A168" s="93" t="s">
        <v>609</v>
      </c>
      <c r="B168" s="158" t="s">
        <v>453</v>
      </c>
      <c r="C168" s="93" t="s">
        <v>899</v>
      </c>
      <c r="D168" s="93" t="s">
        <v>454</v>
      </c>
      <c r="E168" s="93" t="str">
        <f t="shared" si="1"/>
        <v>ST1500-202-CU</v>
      </c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>
      <c r="A169" s="93" t="s">
        <v>612</v>
      </c>
      <c r="B169" s="158" t="s">
        <v>453</v>
      </c>
      <c r="C169" s="93" t="s">
        <v>902</v>
      </c>
      <c r="D169" s="93" t="s">
        <v>454</v>
      </c>
      <c r="E169" s="93" t="str">
        <f t="shared" si="1"/>
        <v>ST1500-202-GB</v>
      </c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>
      <c r="A170" s="93" t="s">
        <v>615</v>
      </c>
      <c r="B170" s="158" t="s">
        <v>453</v>
      </c>
      <c r="C170" s="93" t="s">
        <v>904</v>
      </c>
      <c r="D170" s="93" t="s">
        <v>454</v>
      </c>
      <c r="E170" s="93" t="str">
        <f t="shared" si="1"/>
        <v>ST1500-202-SI</v>
      </c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>
      <c r="A171" s="93" t="s">
        <v>620</v>
      </c>
      <c r="B171" s="158" t="s">
        <v>453</v>
      </c>
      <c r="C171" s="93" t="s">
        <v>1086</v>
      </c>
      <c r="D171" s="93" t="s">
        <v>454</v>
      </c>
      <c r="E171" s="93" t="str">
        <f t="shared" si="1"/>
        <v>ST1500-202-FA</v>
      </c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>
      <c r="A172" s="94" t="s">
        <v>617</v>
      </c>
      <c r="B172" s="158" t="s">
        <v>453</v>
      </c>
      <c r="C172" s="94" t="s">
        <v>906</v>
      </c>
      <c r="D172" s="93" t="s">
        <v>454</v>
      </c>
      <c r="E172" s="93" t="str">
        <f t="shared" si="1"/>
        <v>ST1500-202-PBF</v>
      </c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>
      <c r="A173" s="93" t="s">
        <v>619</v>
      </c>
      <c r="B173" s="158" t="s">
        <v>453</v>
      </c>
      <c r="C173" s="93" t="s">
        <v>908</v>
      </c>
      <c r="D173" s="93" t="s">
        <v>454</v>
      </c>
      <c r="E173" s="93" t="str">
        <f t="shared" si="1"/>
        <v>ST1500-202-POL</v>
      </c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>
      <c r="A174" s="94" t="s">
        <v>621</v>
      </c>
      <c r="B174" s="158" t="s">
        <v>453</v>
      </c>
      <c r="C174" s="94" t="s">
        <v>910</v>
      </c>
      <c r="D174" s="93" t="s">
        <v>454</v>
      </c>
      <c r="E174" s="93" t="str">
        <f t="shared" si="1"/>
        <v>ST1500-202-RW</v>
      </c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>
      <c r="A175" s="93" t="s">
        <v>622</v>
      </c>
      <c r="B175" s="158" t="s">
        <v>453</v>
      </c>
      <c r="C175" s="93" t="s">
        <v>912</v>
      </c>
      <c r="D175" s="93" t="s">
        <v>454</v>
      </c>
      <c r="E175" s="93" t="str">
        <f t="shared" si="1"/>
        <v>ST1500-202-CL</v>
      </c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>
      <c r="A176" s="93" t="s">
        <v>626</v>
      </c>
      <c r="B176" s="158" t="s">
        <v>453</v>
      </c>
      <c r="C176" s="93" t="s">
        <v>916</v>
      </c>
      <c r="D176" s="93" t="s">
        <v>454</v>
      </c>
      <c r="E176" s="93" t="str">
        <f t="shared" si="1"/>
        <v>ST1500-202-BH</v>
      </c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>
      <c r="A177" s="93" t="s">
        <v>628</v>
      </c>
      <c r="B177" s="158" t="s">
        <v>453</v>
      </c>
      <c r="C177" s="93" t="s">
        <v>960</v>
      </c>
      <c r="D177" s="93" t="s">
        <v>454</v>
      </c>
      <c r="E177" s="93" t="str">
        <f t="shared" si="1"/>
        <v>ST1500-202-FB</v>
      </c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>
      <c r="A178" s="93" t="s">
        <v>627</v>
      </c>
      <c r="B178" s="158" t="s">
        <v>453</v>
      </c>
      <c r="C178" s="93" t="s">
        <v>918</v>
      </c>
      <c r="D178" s="93" t="s">
        <v>454</v>
      </c>
      <c r="E178" s="93" t="str">
        <f t="shared" si="1"/>
        <v>ST1500-202-FC</v>
      </c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>
      <c r="A179" s="93" t="s">
        <v>629</v>
      </c>
      <c r="B179" s="158" t="s">
        <v>453</v>
      </c>
      <c r="C179" s="93" t="s">
        <v>629</v>
      </c>
      <c r="D179" s="93" t="s">
        <v>454</v>
      </c>
      <c r="E179" s="93" t="str">
        <f t="shared" si="1"/>
        <v>ST1500-202-QC</v>
      </c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>
      <c r="A180" s="93" t="s">
        <v>631</v>
      </c>
      <c r="B180" s="158" t="s">
        <v>453</v>
      </c>
      <c r="C180" s="93" t="s">
        <v>921</v>
      </c>
      <c r="D180" s="93" t="s">
        <v>454</v>
      </c>
      <c r="E180" s="93" t="str">
        <f t="shared" si="1"/>
        <v>ST1500-202-FG</v>
      </c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>
      <c r="A181" s="93" t="s">
        <v>604</v>
      </c>
      <c r="B181" s="158" t="s">
        <v>455</v>
      </c>
      <c r="C181" s="93" t="s">
        <v>889</v>
      </c>
      <c r="D181" s="93" t="s">
        <v>456</v>
      </c>
      <c r="E181" s="93" t="str">
        <f t="shared" si="1"/>
        <v>ST1000-202-CC</v>
      </c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>
      <c r="A182" s="93" t="s">
        <v>605</v>
      </c>
      <c r="B182" s="158" t="s">
        <v>455</v>
      </c>
      <c r="C182" s="94" t="s">
        <v>892</v>
      </c>
      <c r="D182" s="93" t="s">
        <v>456</v>
      </c>
      <c r="E182" s="93" t="str">
        <f t="shared" si="1"/>
        <v>ST1000-202-PR1</v>
      </c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>
      <c r="A183" s="93" t="s">
        <v>607</v>
      </c>
      <c r="B183" s="158" t="s">
        <v>455</v>
      </c>
      <c r="C183" s="93" t="s">
        <v>896</v>
      </c>
      <c r="D183" s="93" t="s">
        <v>456</v>
      </c>
      <c r="E183" s="93" t="str">
        <f t="shared" si="1"/>
        <v>ST1000-202-SX</v>
      </c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>
      <c r="A184" s="93" t="s">
        <v>609</v>
      </c>
      <c r="B184" s="158" t="s">
        <v>455</v>
      </c>
      <c r="C184" s="93" t="s">
        <v>899</v>
      </c>
      <c r="D184" s="93" t="s">
        <v>456</v>
      </c>
      <c r="E184" s="93" t="str">
        <f t="shared" si="1"/>
        <v>ST1000-202-CU</v>
      </c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>
      <c r="A185" s="93" t="s">
        <v>612</v>
      </c>
      <c r="B185" s="158" t="s">
        <v>455</v>
      </c>
      <c r="C185" s="93" t="s">
        <v>902</v>
      </c>
      <c r="D185" s="93" t="s">
        <v>456</v>
      </c>
      <c r="E185" s="93" t="str">
        <f t="shared" si="1"/>
        <v>ST1000-202-GB</v>
      </c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>
      <c r="A186" s="93" t="s">
        <v>615</v>
      </c>
      <c r="B186" s="158" t="s">
        <v>455</v>
      </c>
      <c r="C186" s="93" t="s">
        <v>904</v>
      </c>
      <c r="D186" s="93" t="s">
        <v>456</v>
      </c>
      <c r="E186" s="93" t="str">
        <f t="shared" si="1"/>
        <v>ST1000-202-SI</v>
      </c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>
      <c r="A187" s="93" t="s">
        <v>620</v>
      </c>
      <c r="B187" s="158" t="s">
        <v>455</v>
      </c>
      <c r="C187" s="93" t="s">
        <v>1086</v>
      </c>
      <c r="D187" s="93" t="s">
        <v>456</v>
      </c>
      <c r="E187" s="93" t="str">
        <f t="shared" si="1"/>
        <v>ST1000-202-FA</v>
      </c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>
      <c r="A188" s="94" t="s">
        <v>617</v>
      </c>
      <c r="B188" s="158" t="s">
        <v>455</v>
      </c>
      <c r="C188" s="94" t="s">
        <v>906</v>
      </c>
      <c r="D188" s="93" t="s">
        <v>456</v>
      </c>
      <c r="E188" s="93" t="str">
        <f t="shared" si="1"/>
        <v>ST1000-202-PBF</v>
      </c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>
      <c r="A189" s="93" t="s">
        <v>619</v>
      </c>
      <c r="B189" s="158" t="s">
        <v>455</v>
      </c>
      <c r="C189" s="93" t="s">
        <v>908</v>
      </c>
      <c r="D189" s="93" t="s">
        <v>456</v>
      </c>
      <c r="E189" s="93" t="str">
        <f t="shared" si="1"/>
        <v>ST1000-202-POL</v>
      </c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>
      <c r="A190" s="94" t="s">
        <v>621</v>
      </c>
      <c r="B190" s="158" t="s">
        <v>455</v>
      </c>
      <c r="C190" s="94" t="s">
        <v>910</v>
      </c>
      <c r="D190" s="93" t="s">
        <v>456</v>
      </c>
      <c r="E190" s="93" t="str">
        <f t="shared" si="1"/>
        <v>ST1000-202-RW</v>
      </c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>
      <c r="A191" s="93" t="s">
        <v>622</v>
      </c>
      <c r="B191" s="158" t="s">
        <v>455</v>
      </c>
      <c r="C191" s="93" t="s">
        <v>912</v>
      </c>
      <c r="D191" s="93" t="s">
        <v>456</v>
      </c>
      <c r="E191" s="93" t="str">
        <f t="shared" si="1"/>
        <v>ST1000-202-CL</v>
      </c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>
      <c r="A192" s="93" t="s">
        <v>626</v>
      </c>
      <c r="B192" s="158" t="s">
        <v>455</v>
      </c>
      <c r="C192" s="93" t="s">
        <v>916</v>
      </c>
      <c r="D192" s="93" t="s">
        <v>456</v>
      </c>
      <c r="E192" s="93" t="str">
        <f t="shared" si="1"/>
        <v>ST1000-202-BH</v>
      </c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>
      <c r="A193" s="93" t="s">
        <v>628</v>
      </c>
      <c r="B193" s="158" t="s">
        <v>455</v>
      </c>
      <c r="C193" s="93" t="s">
        <v>960</v>
      </c>
      <c r="D193" s="93" t="s">
        <v>456</v>
      </c>
      <c r="E193" s="93" t="str">
        <f t="shared" si="1"/>
        <v>ST1000-202-FB</v>
      </c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>
      <c r="A194" s="93" t="s">
        <v>627</v>
      </c>
      <c r="B194" s="158" t="s">
        <v>455</v>
      </c>
      <c r="C194" s="93" t="s">
        <v>918</v>
      </c>
      <c r="D194" s="93" t="s">
        <v>456</v>
      </c>
      <c r="E194" s="93" t="str">
        <f t="shared" si="1"/>
        <v>ST1000-202-FC</v>
      </c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>
      <c r="A195" s="93" t="s">
        <v>629</v>
      </c>
      <c r="B195" s="158" t="s">
        <v>455</v>
      </c>
      <c r="C195" s="93" t="s">
        <v>629</v>
      </c>
      <c r="D195" s="93" t="s">
        <v>456</v>
      </c>
      <c r="E195" s="93" t="str">
        <f t="shared" si="1"/>
        <v>ST1000-202-QC</v>
      </c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>
      <c r="A196" s="93" t="s">
        <v>631</v>
      </c>
      <c r="B196" s="158" t="s">
        <v>455</v>
      </c>
      <c r="C196" s="93" t="s">
        <v>921</v>
      </c>
      <c r="D196" s="93" t="s">
        <v>456</v>
      </c>
      <c r="E196" s="93" t="str">
        <f t="shared" si="1"/>
        <v>ST1000-202-FG</v>
      </c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>
      <c r="A197" s="93" t="s">
        <v>604</v>
      </c>
      <c r="B197" s="158" t="s">
        <v>457</v>
      </c>
      <c r="C197" s="93" t="s">
        <v>889</v>
      </c>
      <c r="D197" s="93" t="s">
        <v>458</v>
      </c>
      <c r="E197" s="93" t="str">
        <f t="shared" si="1"/>
        <v>GX1500-202-CC</v>
      </c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>
      <c r="A198" s="93" t="s">
        <v>605</v>
      </c>
      <c r="B198" s="158" t="s">
        <v>457</v>
      </c>
      <c r="C198" s="94" t="s">
        <v>892</v>
      </c>
      <c r="D198" s="93" t="s">
        <v>458</v>
      </c>
      <c r="E198" s="93" t="str">
        <f t="shared" si="1"/>
        <v>GX1500-202-PR1</v>
      </c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>
      <c r="A199" s="93" t="s">
        <v>608</v>
      </c>
      <c r="B199" s="158" t="s">
        <v>457</v>
      </c>
      <c r="C199" s="93" t="s">
        <v>946</v>
      </c>
      <c r="D199" s="93" t="s">
        <v>458</v>
      </c>
      <c r="E199" s="93" t="str">
        <f t="shared" si="1"/>
        <v>GX1500-202-SD</v>
      </c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>
      <c r="A200" s="93" t="s">
        <v>610</v>
      </c>
      <c r="B200" s="158" t="s">
        <v>457</v>
      </c>
      <c r="C200" s="93" t="s">
        <v>948</v>
      </c>
      <c r="D200" s="93" t="s">
        <v>458</v>
      </c>
      <c r="E200" s="93" t="str">
        <f t="shared" si="1"/>
        <v>GX1500-202-SF</v>
      </c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>
      <c r="A201" s="93" t="s">
        <v>609</v>
      </c>
      <c r="B201" s="158" t="s">
        <v>457</v>
      </c>
      <c r="C201" s="93" t="s">
        <v>899</v>
      </c>
      <c r="D201" s="93" t="s">
        <v>458</v>
      </c>
      <c r="E201" s="93" t="str">
        <f t="shared" si="1"/>
        <v>GX1500-202-CU</v>
      </c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>
      <c r="A202" s="93" t="s">
        <v>614</v>
      </c>
      <c r="B202" s="158" t="s">
        <v>457</v>
      </c>
      <c r="C202" s="93" t="s">
        <v>1086</v>
      </c>
      <c r="D202" s="93" t="s">
        <v>458</v>
      </c>
      <c r="E202" s="93" t="str">
        <f t="shared" si="1"/>
        <v>GX1500-202-FA</v>
      </c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>
      <c r="A203" s="94" t="s">
        <v>617</v>
      </c>
      <c r="B203" s="158" t="s">
        <v>457</v>
      </c>
      <c r="C203" s="94" t="s">
        <v>906</v>
      </c>
      <c r="D203" s="93" t="s">
        <v>458</v>
      </c>
      <c r="E203" s="93" t="str">
        <f t="shared" si="1"/>
        <v>GX1500-202-PBF</v>
      </c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>
      <c r="A204" s="93" t="s">
        <v>619</v>
      </c>
      <c r="B204" s="158" t="s">
        <v>457</v>
      </c>
      <c r="C204" s="93" t="s">
        <v>908</v>
      </c>
      <c r="D204" s="93" t="s">
        <v>458</v>
      </c>
      <c r="E204" s="93" t="str">
        <f t="shared" si="1"/>
        <v>GX1500-202-POL</v>
      </c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>
      <c r="A205" s="94" t="s">
        <v>621</v>
      </c>
      <c r="B205" s="158" t="s">
        <v>457</v>
      </c>
      <c r="C205" s="94" t="s">
        <v>910</v>
      </c>
      <c r="D205" s="93" t="s">
        <v>458</v>
      </c>
      <c r="E205" s="93" t="str">
        <f t="shared" si="1"/>
        <v>GX1500-202-RW</v>
      </c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>
      <c r="A206" s="93" t="s">
        <v>622</v>
      </c>
      <c r="B206" s="158" t="s">
        <v>457</v>
      </c>
      <c r="C206" s="93" t="s">
        <v>912</v>
      </c>
      <c r="D206" s="93" t="s">
        <v>458</v>
      </c>
      <c r="E206" s="93" t="str">
        <f t="shared" si="1"/>
        <v>GX1500-202-CL</v>
      </c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>
      <c r="A207" s="93" t="s">
        <v>624</v>
      </c>
      <c r="B207" s="158" t="s">
        <v>457</v>
      </c>
      <c r="C207" s="93" t="s">
        <v>914</v>
      </c>
      <c r="D207" s="93" t="s">
        <v>458</v>
      </c>
      <c r="E207" s="93" t="str">
        <f t="shared" si="1"/>
        <v>GX1500-202-HH</v>
      </c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>
      <c r="A208" s="93" t="s">
        <v>626</v>
      </c>
      <c r="B208" s="158" t="s">
        <v>457</v>
      </c>
      <c r="C208" s="93" t="s">
        <v>916</v>
      </c>
      <c r="D208" s="93" t="s">
        <v>458</v>
      </c>
      <c r="E208" s="93" t="str">
        <f t="shared" si="1"/>
        <v>GX1500-202-BH</v>
      </c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>
      <c r="A209" s="93" t="s">
        <v>628</v>
      </c>
      <c r="B209" s="158" t="s">
        <v>457</v>
      </c>
      <c r="C209" s="93" t="s">
        <v>960</v>
      </c>
      <c r="D209" s="93" t="s">
        <v>458</v>
      </c>
      <c r="E209" s="93" t="str">
        <f t="shared" si="1"/>
        <v>GX1500-202-FB</v>
      </c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>
      <c r="A210" s="93" t="s">
        <v>627</v>
      </c>
      <c r="B210" s="158" t="s">
        <v>457</v>
      </c>
      <c r="C210" s="93" t="s">
        <v>918</v>
      </c>
      <c r="D210" s="93" t="s">
        <v>458</v>
      </c>
      <c r="E210" s="93" t="str">
        <f t="shared" si="1"/>
        <v>GX1500-202-FC</v>
      </c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>
      <c r="A211" s="93" t="s">
        <v>629</v>
      </c>
      <c r="B211" s="158" t="s">
        <v>457</v>
      </c>
      <c r="C211" s="93" t="s">
        <v>629</v>
      </c>
      <c r="D211" s="93" t="s">
        <v>458</v>
      </c>
      <c r="E211" s="93" t="str">
        <f t="shared" si="1"/>
        <v>GX1500-202-QC</v>
      </c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>
      <c r="A212" s="93" t="s">
        <v>631</v>
      </c>
      <c r="B212" s="158" t="s">
        <v>457</v>
      </c>
      <c r="C212" s="93" t="s">
        <v>921</v>
      </c>
      <c r="D212" s="93" t="s">
        <v>458</v>
      </c>
      <c r="E212" s="93" t="str">
        <f t="shared" si="1"/>
        <v>GX1500-202-FG</v>
      </c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>
      <c r="A213" s="93" t="s">
        <v>604</v>
      </c>
      <c r="B213" s="158" t="s">
        <v>459</v>
      </c>
      <c r="C213" s="93" t="s">
        <v>889</v>
      </c>
      <c r="D213" s="93" t="s">
        <v>460</v>
      </c>
      <c r="E213" s="93" t="str">
        <f t="shared" si="1"/>
        <v>GX1000-202-CC</v>
      </c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>
      <c r="A214" s="93" t="s">
        <v>605</v>
      </c>
      <c r="B214" s="158" t="s">
        <v>459</v>
      </c>
      <c r="C214" s="94" t="s">
        <v>892</v>
      </c>
      <c r="D214" s="93" t="s">
        <v>460</v>
      </c>
      <c r="E214" s="93" t="str">
        <f t="shared" si="1"/>
        <v>GX1000-202-PR1</v>
      </c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>
      <c r="A215" s="93" t="s">
        <v>607</v>
      </c>
      <c r="B215" s="158" t="s">
        <v>459</v>
      </c>
      <c r="C215" s="93" t="s">
        <v>896</v>
      </c>
      <c r="D215" s="93" t="s">
        <v>460</v>
      </c>
      <c r="E215" s="93" t="str">
        <f t="shared" si="1"/>
        <v>GX1000-202-SX</v>
      </c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>
      <c r="A216" s="93" t="s">
        <v>609</v>
      </c>
      <c r="B216" s="158" t="s">
        <v>459</v>
      </c>
      <c r="C216" s="93" t="s">
        <v>899</v>
      </c>
      <c r="D216" s="93" t="s">
        <v>460</v>
      </c>
      <c r="E216" s="93" t="str">
        <f t="shared" si="1"/>
        <v>GX1000-202-CU</v>
      </c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>
      <c r="A217" s="93" t="s">
        <v>614</v>
      </c>
      <c r="B217" s="158" t="s">
        <v>459</v>
      </c>
      <c r="C217" s="93" t="s">
        <v>1086</v>
      </c>
      <c r="D217" s="93" t="s">
        <v>460</v>
      </c>
      <c r="E217" s="93" t="str">
        <f t="shared" si="1"/>
        <v>GX1000-202-FA</v>
      </c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>
      <c r="A218" s="94" t="s">
        <v>617</v>
      </c>
      <c r="B218" s="158" t="s">
        <v>459</v>
      </c>
      <c r="C218" s="94" t="s">
        <v>906</v>
      </c>
      <c r="D218" s="93" t="s">
        <v>460</v>
      </c>
      <c r="E218" s="93" t="str">
        <f t="shared" si="1"/>
        <v>GX1000-202-PBF</v>
      </c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>
      <c r="A219" s="93" t="s">
        <v>619</v>
      </c>
      <c r="B219" s="158" t="s">
        <v>459</v>
      </c>
      <c r="C219" s="93" t="s">
        <v>908</v>
      </c>
      <c r="D219" s="93" t="s">
        <v>460</v>
      </c>
      <c r="E219" s="93" t="str">
        <f t="shared" si="1"/>
        <v>GX1000-202-POL</v>
      </c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>
      <c r="A220" s="93" t="s">
        <v>621</v>
      </c>
      <c r="B220" s="158" t="s">
        <v>459</v>
      </c>
      <c r="C220" s="94" t="s">
        <v>910</v>
      </c>
      <c r="D220" s="93" t="s">
        <v>460</v>
      </c>
      <c r="E220" s="93" t="str">
        <f t="shared" si="1"/>
        <v>GX1000-202-RW</v>
      </c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>
      <c r="A221" s="93" t="s">
        <v>622</v>
      </c>
      <c r="B221" s="158" t="s">
        <v>459</v>
      </c>
      <c r="C221" s="93" t="s">
        <v>912</v>
      </c>
      <c r="D221" s="93" t="s">
        <v>460</v>
      </c>
      <c r="E221" s="93" t="str">
        <f t="shared" si="1"/>
        <v>GX1000-202-CL</v>
      </c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>
      <c r="A222" s="93" t="s">
        <v>624</v>
      </c>
      <c r="B222" s="158" t="s">
        <v>459</v>
      </c>
      <c r="C222" s="93" t="s">
        <v>914</v>
      </c>
      <c r="D222" s="93" t="s">
        <v>460</v>
      </c>
      <c r="E222" s="93" t="str">
        <f t="shared" si="1"/>
        <v>GX1000-202-HH</v>
      </c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>
      <c r="A223" s="93" t="s">
        <v>626</v>
      </c>
      <c r="B223" s="158" t="s">
        <v>459</v>
      </c>
      <c r="C223" s="93" t="s">
        <v>916</v>
      </c>
      <c r="D223" s="93" t="s">
        <v>460</v>
      </c>
      <c r="E223" s="93" t="str">
        <f t="shared" si="1"/>
        <v>GX1000-202-BH</v>
      </c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>
      <c r="A224" s="93" t="s">
        <v>628</v>
      </c>
      <c r="B224" s="158" t="s">
        <v>459</v>
      </c>
      <c r="C224" s="93" t="s">
        <v>960</v>
      </c>
      <c r="D224" s="93" t="s">
        <v>460</v>
      </c>
      <c r="E224" s="93" t="str">
        <f t="shared" si="1"/>
        <v>GX1000-202-FB</v>
      </c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>
      <c r="A225" s="93" t="s">
        <v>627</v>
      </c>
      <c r="B225" s="158" t="s">
        <v>459</v>
      </c>
      <c r="C225" s="93" t="s">
        <v>918</v>
      </c>
      <c r="D225" s="93" t="s">
        <v>460</v>
      </c>
      <c r="E225" s="93" t="str">
        <f t="shared" si="1"/>
        <v>GX1000-202-FC</v>
      </c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>
      <c r="A226" s="93" t="s">
        <v>629</v>
      </c>
      <c r="B226" s="158" t="s">
        <v>459</v>
      </c>
      <c r="C226" s="93" t="s">
        <v>629</v>
      </c>
      <c r="D226" s="93" t="s">
        <v>460</v>
      </c>
      <c r="E226" s="93" t="str">
        <f t="shared" si="1"/>
        <v>GX1000-202-QC</v>
      </c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>
      <c r="A227" s="93" t="s">
        <v>631</v>
      </c>
      <c r="B227" s="158" t="s">
        <v>459</v>
      </c>
      <c r="C227" s="93" t="s">
        <v>921</v>
      </c>
      <c r="D227" s="93" t="s">
        <v>460</v>
      </c>
      <c r="E227" s="93" t="str">
        <f t="shared" si="1"/>
        <v>GX1000-202-FG</v>
      </c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>
      <c r="A228" s="93" t="s">
        <v>604</v>
      </c>
      <c r="B228" s="159" t="s">
        <v>477</v>
      </c>
      <c r="C228" s="93" t="s">
        <v>889</v>
      </c>
      <c r="D228" s="93" t="s">
        <v>478</v>
      </c>
      <c r="E228" s="93" t="str">
        <f t="shared" si="1"/>
        <v>MA1500-204-CC</v>
      </c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>
      <c r="A229" s="93" t="s">
        <v>605</v>
      </c>
      <c r="B229" s="159" t="s">
        <v>477</v>
      </c>
      <c r="C229" s="94" t="s">
        <v>892</v>
      </c>
      <c r="D229" s="93" t="s">
        <v>478</v>
      </c>
      <c r="E229" s="93" t="str">
        <f t="shared" si="1"/>
        <v>MA1500-204-PR1</v>
      </c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>
      <c r="A230" s="93" t="s">
        <v>608</v>
      </c>
      <c r="B230" s="159" t="s">
        <v>477</v>
      </c>
      <c r="C230" s="93" t="s">
        <v>946</v>
      </c>
      <c r="D230" s="93" t="s">
        <v>478</v>
      </c>
      <c r="E230" s="93" t="str">
        <f t="shared" si="1"/>
        <v>MA1500-204-SD</v>
      </c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>
      <c r="A231" s="93" t="s">
        <v>610</v>
      </c>
      <c r="B231" s="159" t="s">
        <v>477</v>
      </c>
      <c r="C231" s="93" t="s">
        <v>948</v>
      </c>
      <c r="D231" s="93" t="s">
        <v>478</v>
      </c>
      <c r="E231" s="93" t="str">
        <f t="shared" si="1"/>
        <v>MA1500-204-SF</v>
      </c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>
      <c r="A232" s="93" t="s">
        <v>609</v>
      </c>
      <c r="B232" s="159" t="s">
        <v>477</v>
      </c>
      <c r="C232" s="93" t="s">
        <v>899</v>
      </c>
      <c r="D232" s="93" t="s">
        <v>478</v>
      </c>
      <c r="E232" s="93" t="str">
        <f t="shared" si="1"/>
        <v>MA1500-204-CU</v>
      </c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>
      <c r="A233" s="93" t="s">
        <v>612</v>
      </c>
      <c r="B233" s="159" t="s">
        <v>477</v>
      </c>
      <c r="C233" s="93" t="s">
        <v>902</v>
      </c>
      <c r="D233" s="93" t="s">
        <v>478</v>
      </c>
      <c r="E233" s="93" t="str">
        <f t="shared" si="1"/>
        <v>MA1500-204-GB</v>
      </c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>
      <c r="A234" s="93" t="s">
        <v>611</v>
      </c>
      <c r="B234" s="159" t="s">
        <v>477</v>
      </c>
      <c r="C234" s="93" t="s">
        <v>1199</v>
      </c>
      <c r="D234" s="93" t="s">
        <v>478</v>
      </c>
      <c r="E234" s="93" t="str">
        <f t="shared" si="1"/>
        <v>MA1500-204-RF</v>
      </c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>
      <c r="A235" s="93" t="s">
        <v>615</v>
      </c>
      <c r="B235" s="159" t="s">
        <v>477</v>
      </c>
      <c r="C235" s="93" t="s">
        <v>904</v>
      </c>
      <c r="D235" s="93" t="s">
        <v>478</v>
      </c>
      <c r="E235" s="93" t="str">
        <f t="shared" si="1"/>
        <v>MA1500-204-SI</v>
      </c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>
      <c r="A236" s="93" t="s">
        <v>617</v>
      </c>
      <c r="B236" s="159" t="s">
        <v>477</v>
      </c>
      <c r="C236" s="94" t="s">
        <v>906</v>
      </c>
      <c r="D236" s="93" t="s">
        <v>478</v>
      </c>
      <c r="E236" s="93" t="str">
        <f t="shared" si="1"/>
        <v>MA1500-204-PBF</v>
      </c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>
      <c r="A237" s="94" t="s">
        <v>630</v>
      </c>
      <c r="B237" s="159" t="s">
        <v>477</v>
      </c>
      <c r="C237" s="94" t="s">
        <v>1310</v>
      </c>
      <c r="D237" s="93" t="s">
        <v>478</v>
      </c>
      <c r="E237" s="93" t="str">
        <f t="shared" si="1"/>
        <v>MA1500-204-TOC</v>
      </c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>
      <c r="A238" s="93" t="s">
        <v>619</v>
      </c>
      <c r="B238" s="159" t="s">
        <v>477</v>
      </c>
      <c r="C238" s="93" t="s">
        <v>908</v>
      </c>
      <c r="D238" s="93" t="s">
        <v>478</v>
      </c>
      <c r="E238" s="93" t="str">
        <f t="shared" si="1"/>
        <v>MA1500-204-POL</v>
      </c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>
      <c r="A239" s="93" t="s">
        <v>633</v>
      </c>
      <c r="B239" s="159" t="s">
        <v>477</v>
      </c>
      <c r="C239" s="94" t="s">
        <v>1206</v>
      </c>
      <c r="D239" s="93" t="s">
        <v>478</v>
      </c>
      <c r="E239" s="93" t="str">
        <f t="shared" si="1"/>
        <v>MA1500-204-BF</v>
      </c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>
      <c r="A240" s="93" t="s">
        <v>621</v>
      </c>
      <c r="B240" s="159" t="s">
        <v>477</v>
      </c>
      <c r="C240" s="94" t="s">
        <v>910</v>
      </c>
      <c r="D240" s="93" t="s">
        <v>478</v>
      </c>
      <c r="E240" s="93" t="str">
        <f t="shared" si="1"/>
        <v>MA1500-204-RW</v>
      </c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>
      <c r="A241" s="93" t="s">
        <v>622</v>
      </c>
      <c r="B241" s="159" t="s">
        <v>477</v>
      </c>
      <c r="C241" s="94" t="s">
        <v>912</v>
      </c>
      <c r="D241" s="93" t="s">
        <v>478</v>
      </c>
      <c r="E241" s="93" t="str">
        <f t="shared" si="1"/>
        <v>MA1500-204-CL</v>
      </c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>
      <c r="A242" s="93" t="s">
        <v>624</v>
      </c>
      <c r="B242" s="159" t="s">
        <v>477</v>
      </c>
      <c r="C242" s="93" t="s">
        <v>914</v>
      </c>
      <c r="D242" s="93" t="s">
        <v>478</v>
      </c>
      <c r="E242" s="93" t="str">
        <f t="shared" si="1"/>
        <v>MA1500-204-HH</v>
      </c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>
      <c r="A243" s="93" t="s">
        <v>626</v>
      </c>
      <c r="B243" s="159" t="s">
        <v>477</v>
      </c>
      <c r="C243" s="93" t="s">
        <v>916</v>
      </c>
      <c r="D243" s="93" t="s">
        <v>478</v>
      </c>
      <c r="E243" s="93" t="str">
        <f t="shared" si="1"/>
        <v>MA1500-204-BH</v>
      </c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>
      <c r="A244" s="93" t="s">
        <v>628</v>
      </c>
      <c r="B244" s="159" t="s">
        <v>477</v>
      </c>
      <c r="C244" s="93" t="s">
        <v>960</v>
      </c>
      <c r="D244" s="93" t="s">
        <v>478</v>
      </c>
      <c r="E244" s="93" t="str">
        <f t="shared" si="1"/>
        <v>MA1500-204-FB</v>
      </c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>
      <c r="A245" s="93" t="s">
        <v>625</v>
      </c>
      <c r="B245" s="159" t="s">
        <v>477</v>
      </c>
      <c r="C245" s="94" t="s">
        <v>1213</v>
      </c>
      <c r="D245" s="93" t="s">
        <v>478</v>
      </c>
      <c r="E245" s="93" t="str">
        <f t="shared" si="1"/>
        <v>MA1500-204-DB</v>
      </c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>
      <c r="A246" s="93" t="s">
        <v>627</v>
      </c>
      <c r="B246" s="159" t="s">
        <v>477</v>
      </c>
      <c r="C246" s="93" t="s">
        <v>918</v>
      </c>
      <c r="D246" s="93" t="s">
        <v>478</v>
      </c>
      <c r="E246" s="93" t="str">
        <f t="shared" si="1"/>
        <v>MA1500-204-FC</v>
      </c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>
      <c r="A247" s="93" t="s">
        <v>629</v>
      </c>
      <c r="B247" s="159" t="s">
        <v>477</v>
      </c>
      <c r="C247" s="93" t="s">
        <v>629</v>
      </c>
      <c r="D247" s="93" t="s">
        <v>478</v>
      </c>
      <c r="E247" s="93" t="str">
        <f t="shared" si="1"/>
        <v>MA1500-204-QC</v>
      </c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>
      <c r="A248" s="93" t="s">
        <v>631</v>
      </c>
      <c r="B248" s="159" t="s">
        <v>477</v>
      </c>
      <c r="C248" s="93" t="s">
        <v>921</v>
      </c>
      <c r="D248" s="93" t="s">
        <v>478</v>
      </c>
      <c r="E248" s="93" t="str">
        <f t="shared" si="1"/>
        <v>MA1500-204-FG</v>
      </c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>
      <c r="A249" s="93" t="s">
        <v>604</v>
      </c>
      <c r="B249" s="159" t="s">
        <v>479</v>
      </c>
      <c r="C249" s="93" t="s">
        <v>889</v>
      </c>
      <c r="D249" s="93" t="s">
        <v>480</v>
      </c>
      <c r="E249" s="93" t="str">
        <f t="shared" si="1"/>
        <v>MA1000-204-CC</v>
      </c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>
      <c r="A250" s="93" t="s">
        <v>605</v>
      </c>
      <c r="B250" s="159" t="s">
        <v>479</v>
      </c>
      <c r="C250" s="94" t="s">
        <v>892</v>
      </c>
      <c r="D250" s="93" t="s">
        <v>480</v>
      </c>
      <c r="E250" s="93" t="str">
        <f t="shared" si="1"/>
        <v>MA1000-204-PR1</v>
      </c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>
      <c r="A251" s="93" t="s">
        <v>607</v>
      </c>
      <c r="B251" s="159" t="s">
        <v>479</v>
      </c>
      <c r="C251" s="94" t="s">
        <v>896</v>
      </c>
      <c r="D251" s="93" t="s">
        <v>480</v>
      </c>
      <c r="E251" s="93" t="str">
        <f t="shared" si="1"/>
        <v>MA1000-204-SX</v>
      </c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>
      <c r="A252" s="93" t="s">
        <v>609</v>
      </c>
      <c r="B252" s="159" t="s">
        <v>479</v>
      </c>
      <c r="C252" s="94" t="s">
        <v>899</v>
      </c>
      <c r="D252" s="93" t="s">
        <v>480</v>
      </c>
      <c r="E252" s="93" t="str">
        <f t="shared" si="1"/>
        <v>MA1000-204-CU</v>
      </c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>
      <c r="A253" s="93" t="s">
        <v>612</v>
      </c>
      <c r="B253" s="159" t="s">
        <v>479</v>
      </c>
      <c r="C253" s="93" t="s">
        <v>902</v>
      </c>
      <c r="D253" s="93" t="s">
        <v>480</v>
      </c>
      <c r="E253" s="93" t="str">
        <f t="shared" si="1"/>
        <v>MA1000-204-GB</v>
      </c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>
      <c r="A254" s="93" t="s">
        <v>611</v>
      </c>
      <c r="B254" s="159" t="s">
        <v>479</v>
      </c>
      <c r="C254" s="93" t="s">
        <v>1199</v>
      </c>
      <c r="D254" s="93" t="s">
        <v>480</v>
      </c>
      <c r="E254" s="93" t="str">
        <f t="shared" si="1"/>
        <v>MA1000-204-RF</v>
      </c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>
      <c r="A255" s="93" t="s">
        <v>617</v>
      </c>
      <c r="B255" s="159" t="s">
        <v>479</v>
      </c>
      <c r="C255" s="94" t="s">
        <v>906</v>
      </c>
      <c r="D255" s="93" t="s">
        <v>480</v>
      </c>
      <c r="E255" s="93" t="str">
        <f t="shared" si="1"/>
        <v>MA1000-204-PBF</v>
      </c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>
      <c r="A256" s="93" t="s">
        <v>619</v>
      </c>
      <c r="B256" s="159" t="s">
        <v>479</v>
      </c>
      <c r="C256" s="93" t="s">
        <v>908</v>
      </c>
      <c r="D256" s="93" t="s">
        <v>480</v>
      </c>
      <c r="E256" s="93" t="str">
        <f t="shared" si="1"/>
        <v>MA1000-204-POL</v>
      </c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>
      <c r="A257" s="93" t="s">
        <v>633</v>
      </c>
      <c r="B257" s="159" t="s">
        <v>479</v>
      </c>
      <c r="C257" s="94" t="s">
        <v>1206</v>
      </c>
      <c r="D257" s="93" t="s">
        <v>480</v>
      </c>
      <c r="E257" s="93" t="str">
        <f t="shared" si="1"/>
        <v>MA1000-204-BF</v>
      </c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>
      <c r="A258" s="93" t="s">
        <v>621</v>
      </c>
      <c r="B258" s="159" t="s">
        <v>479</v>
      </c>
      <c r="C258" s="94" t="s">
        <v>910</v>
      </c>
      <c r="D258" s="93" t="s">
        <v>480</v>
      </c>
      <c r="E258" s="93" t="str">
        <f t="shared" si="1"/>
        <v>MA1000-204-RW</v>
      </c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>
      <c r="A259" s="93" t="s">
        <v>622</v>
      </c>
      <c r="B259" s="159" t="s">
        <v>479</v>
      </c>
      <c r="C259" s="94" t="s">
        <v>912</v>
      </c>
      <c r="D259" s="93" t="s">
        <v>480</v>
      </c>
      <c r="E259" s="93" t="str">
        <f t="shared" si="1"/>
        <v>MA1000-204-CL</v>
      </c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>
      <c r="A260" s="93" t="s">
        <v>624</v>
      </c>
      <c r="B260" s="159" t="s">
        <v>479</v>
      </c>
      <c r="C260" s="93" t="s">
        <v>914</v>
      </c>
      <c r="D260" s="93" t="s">
        <v>480</v>
      </c>
      <c r="E260" s="93" t="str">
        <f t="shared" si="1"/>
        <v>MA1000-204-HH</v>
      </c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>
      <c r="A261" s="93" t="s">
        <v>626</v>
      </c>
      <c r="B261" s="159" t="s">
        <v>479</v>
      </c>
      <c r="C261" s="93" t="s">
        <v>916</v>
      </c>
      <c r="D261" s="93" t="s">
        <v>480</v>
      </c>
      <c r="E261" s="93" t="str">
        <f t="shared" si="1"/>
        <v>MA1000-204-BH</v>
      </c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>
      <c r="A262" s="93" t="s">
        <v>628</v>
      </c>
      <c r="B262" s="159" t="s">
        <v>479</v>
      </c>
      <c r="C262" s="93" t="s">
        <v>960</v>
      </c>
      <c r="D262" s="93" t="s">
        <v>480</v>
      </c>
      <c r="E262" s="93" t="str">
        <f t="shared" si="1"/>
        <v>MA1000-204-FB</v>
      </c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>
      <c r="A263" s="93" t="s">
        <v>625</v>
      </c>
      <c r="B263" s="159" t="s">
        <v>479</v>
      </c>
      <c r="C263" s="94" t="s">
        <v>1213</v>
      </c>
      <c r="D263" s="93" t="s">
        <v>480</v>
      </c>
      <c r="E263" s="93" t="str">
        <f t="shared" si="1"/>
        <v>MA1000-204-DB</v>
      </c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>
      <c r="A264" s="93" t="s">
        <v>627</v>
      </c>
      <c r="B264" s="159" t="s">
        <v>479</v>
      </c>
      <c r="C264" s="93" t="s">
        <v>918</v>
      </c>
      <c r="D264" s="93" t="s">
        <v>480</v>
      </c>
      <c r="E264" s="93" t="str">
        <f t="shared" si="1"/>
        <v>MA1000-204-FC</v>
      </c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>
      <c r="A265" s="93" t="s">
        <v>629</v>
      </c>
      <c r="B265" s="159" t="s">
        <v>479</v>
      </c>
      <c r="C265" s="93" t="s">
        <v>629</v>
      </c>
      <c r="D265" s="93" t="s">
        <v>480</v>
      </c>
      <c r="E265" s="93" t="str">
        <f t="shared" si="1"/>
        <v>MA1000-204-QC</v>
      </c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>
      <c r="A266" s="93" t="s">
        <v>631</v>
      </c>
      <c r="B266" s="159" t="s">
        <v>479</v>
      </c>
      <c r="C266" s="93" t="s">
        <v>921</v>
      </c>
      <c r="D266" s="93" t="s">
        <v>480</v>
      </c>
      <c r="E266" s="93" t="str">
        <f t="shared" si="1"/>
        <v>MA1000-204-FG</v>
      </c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>
      <c r="A267" s="93" t="s">
        <v>604</v>
      </c>
      <c r="B267" s="159" t="s">
        <v>481</v>
      </c>
      <c r="C267" s="93" t="s">
        <v>889</v>
      </c>
      <c r="D267" s="93" t="s">
        <v>482</v>
      </c>
      <c r="E267" s="93" t="str">
        <f t="shared" si="1"/>
        <v>MA0400-204-CC</v>
      </c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>
      <c r="A268" s="93" t="s">
        <v>605</v>
      </c>
      <c r="B268" s="159" t="s">
        <v>481</v>
      </c>
      <c r="C268" s="94" t="s">
        <v>892</v>
      </c>
      <c r="D268" s="93" t="s">
        <v>482</v>
      </c>
      <c r="E268" s="93" t="str">
        <f t="shared" si="1"/>
        <v>MA0400-204-PR1</v>
      </c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>
      <c r="A269" s="93" t="s">
        <v>607</v>
      </c>
      <c r="B269" s="159" t="s">
        <v>481</v>
      </c>
      <c r="C269" s="94" t="s">
        <v>896</v>
      </c>
      <c r="D269" s="93" t="s">
        <v>482</v>
      </c>
      <c r="E269" s="93" t="str">
        <f t="shared" si="1"/>
        <v>MA0400-204-SX</v>
      </c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>
      <c r="A270" s="93" t="s">
        <v>609</v>
      </c>
      <c r="B270" s="159" t="s">
        <v>481</v>
      </c>
      <c r="C270" s="94" t="s">
        <v>899</v>
      </c>
      <c r="D270" s="93" t="s">
        <v>482</v>
      </c>
      <c r="E270" s="93" t="str">
        <f t="shared" si="1"/>
        <v>MA0400-204-CU</v>
      </c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>
      <c r="A271" s="93" t="s">
        <v>612</v>
      </c>
      <c r="B271" s="159" t="s">
        <v>481</v>
      </c>
      <c r="C271" s="93" t="s">
        <v>902</v>
      </c>
      <c r="D271" s="93" t="s">
        <v>482</v>
      </c>
      <c r="E271" s="93" t="str">
        <f t="shared" si="1"/>
        <v>MA0400-204-GB</v>
      </c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>
      <c r="A272" s="93" t="s">
        <v>611</v>
      </c>
      <c r="B272" s="159" t="s">
        <v>481</v>
      </c>
      <c r="C272" s="93" t="s">
        <v>1199</v>
      </c>
      <c r="D272" s="93" t="s">
        <v>482</v>
      </c>
      <c r="E272" s="93" t="str">
        <f t="shared" si="1"/>
        <v>MA0400-204-RF</v>
      </c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>
      <c r="A273" s="93" t="s">
        <v>617</v>
      </c>
      <c r="B273" s="159" t="s">
        <v>481</v>
      </c>
      <c r="C273" s="94" t="s">
        <v>906</v>
      </c>
      <c r="D273" s="93" t="s">
        <v>482</v>
      </c>
      <c r="E273" s="93" t="str">
        <f t="shared" si="1"/>
        <v>MA0400-204-PBF</v>
      </c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>
      <c r="A274" s="93" t="s">
        <v>619</v>
      </c>
      <c r="B274" s="159" t="s">
        <v>481</v>
      </c>
      <c r="C274" s="93" t="s">
        <v>908</v>
      </c>
      <c r="D274" s="93" t="s">
        <v>482</v>
      </c>
      <c r="E274" s="93" t="str">
        <f t="shared" si="1"/>
        <v>MA0400-204-POL</v>
      </c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>
      <c r="A275" s="93" t="s">
        <v>633</v>
      </c>
      <c r="B275" s="159" t="s">
        <v>481</v>
      </c>
      <c r="C275" s="94" t="s">
        <v>1206</v>
      </c>
      <c r="D275" s="93" t="s">
        <v>482</v>
      </c>
      <c r="E275" s="93" t="str">
        <f t="shared" si="1"/>
        <v>MA0400-204-BF</v>
      </c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>
      <c r="A276" s="93" t="s">
        <v>621</v>
      </c>
      <c r="B276" s="159" t="s">
        <v>481</v>
      </c>
      <c r="C276" s="94" t="s">
        <v>910</v>
      </c>
      <c r="D276" s="93" t="s">
        <v>482</v>
      </c>
      <c r="E276" s="93" t="str">
        <f t="shared" si="1"/>
        <v>MA0400-204-RW</v>
      </c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>
      <c r="A277" s="93" t="s">
        <v>622</v>
      </c>
      <c r="B277" s="159" t="s">
        <v>481</v>
      </c>
      <c r="C277" s="94" t="s">
        <v>912</v>
      </c>
      <c r="D277" s="93" t="s">
        <v>482</v>
      </c>
      <c r="E277" s="93" t="str">
        <f t="shared" si="1"/>
        <v>MA0400-204-CL</v>
      </c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>
      <c r="A278" s="93" t="s">
        <v>624</v>
      </c>
      <c r="B278" s="159" t="s">
        <v>481</v>
      </c>
      <c r="C278" s="93" t="s">
        <v>914</v>
      </c>
      <c r="D278" s="93" t="s">
        <v>482</v>
      </c>
      <c r="E278" s="93" t="str">
        <f t="shared" si="1"/>
        <v>MA0400-204-HH</v>
      </c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>
      <c r="A279" s="93" t="s">
        <v>626</v>
      </c>
      <c r="B279" s="159" t="s">
        <v>481</v>
      </c>
      <c r="C279" s="93" t="s">
        <v>916</v>
      </c>
      <c r="D279" s="93" t="s">
        <v>482</v>
      </c>
      <c r="E279" s="93" t="str">
        <f t="shared" si="1"/>
        <v>MA0400-204-BH</v>
      </c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>
      <c r="A280" s="93" t="s">
        <v>625</v>
      </c>
      <c r="B280" s="159" t="s">
        <v>481</v>
      </c>
      <c r="C280" s="94" t="s">
        <v>1213</v>
      </c>
      <c r="D280" s="93" t="s">
        <v>482</v>
      </c>
      <c r="E280" s="93" t="str">
        <f t="shared" si="1"/>
        <v>MA0400-204-DB</v>
      </c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>
      <c r="A281" s="93" t="s">
        <v>627</v>
      </c>
      <c r="B281" s="159" t="s">
        <v>481</v>
      </c>
      <c r="C281" s="93" t="s">
        <v>918</v>
      </c>
      <c r="D281" s="93" t="s">
        <v>482</v>
      </c>
      <c r="E281" s="93" t="str">
        <f t="shared" si="1"/>
        <v>MA0400-204-FC</v>
      </c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>
      <c r="A282" s="93" t="s">
        <v>629</v>
      </c>
      <c r="B282" s="159" t="s">
        <v>481</v>
      </c>
      <c r="C282" s="93" t="s">
        <v>629</v>
      </c>
      <c r="D282" s="93" t="s">
        <v>482</v>
      </c>
      <c r="E282" s="93" t="str">
        <f t="shared" si="1"/>
        <v>MA0400-204-QC</v>
      </c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>
      <c r="A283" s="93" t="s">
        <v>631</v>
      </c>
      <c r="B283" s="159" t="s">
        <v>481</v>
      </c>
      <c r="C283" s="93" t="s">
        <v>921</v>
      </c>
      <c r="D283" s="93" t="s">
        <v>482</v>
      </c>
      <c r="E283" s="93" t="str">
        <f t="shared" si="1"/>
        <v>MA0400-204-FG</v>
      </c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>
      <c r="A284" s="93" t="s">
        <v>604</v>
      </c>
      <c r="B284" s="159" t="s">
        <v>495</v>
      </c>
      <c r="C284" s="93" t="s">
        <v>889</v>
      </c>
      <c r="D284" s="93" t="s">
        <v>496</v>
      </c>
      <c r="E284" s="93" t="str">
        <f t="shared" si="1"/>
        <v>TB1500-204-CC</v>
      </c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>
      <c r="A285" s="93" t="s">
        <v>605</v>
      </c>
      <c r="B285" s="159" t="s">
        <v>495</v>
      </c>
      <c r="C285" s="94" t="s">
        <v>892</v>
      </c>
      <c r="D285" s="93" t="s">
        <v>496</v>
      </c>
      <c r="E285" s="93" t="str">
        <f t="shared" si="1"/>
        <v>TB1500-204-PR1</v>
      </c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>
      <c r="A286" s="93" t="s">
        <v>607</v>
      </c>
      <c r="B286" s="159" t="s">
        <v>495</v>
      </c>
      <c r="C286" s="93" t="s">
        <v>896</v>
      </c>
      <c r="D286" s="93" t="s">
        <v>496</v>
      </c>
      <c r="E286" s="93" t="str">
        <f t="shared" si="1"/>
        <v>TB1500-204-SX</v>
      </c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>
      <c r="A287" s="93" t="s">
        <v>609</v>
      </c>
      <c r="B287" s="159" t="s">
        <v>495</v>
      </c>
      <c r="C287" s="93" t="s">
        <v>899</v>
      </c>
      <c r="D287" s="93" t="s">
        <v>496</v>
      </c>
      <c r="E287" s="93" t="str">
        <f t="shared" si="1"/>
        <v>TB1500-204-CU</v>
      </c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>
      <c r="A288" s="93" t="s">
        <v>612</v>
      </c>
      <c r="B288" s="159" t="s">
        <v>495</v>
      </c>
      <c r="C288" s="93" t="s">
        <v>902</v>
      </c>
      <c r="D288" s="93" t="s">
        <v>496</v>
      </c>
      <c r="E288" s="93" t="str">
        <f t="shared" si="1"/>
        <v>TB1500-204-GB</v>
      </c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>
      <c r="A289" s="93" t="s">
        <v>618</v>
      </c>
      <c r="B289" s="159" t="s">
        <v>495</v>
      </c>
      <c r="C289" s="93" t="s">
        <v>1372</v>
      </c>
      <c r="D289" s="93" t="s">
        <v>496</v>
      </c>
      <c r="E289" s="93" t="str">
        <f t="shared" si="1"/>
        <v>TB1500-204-BD</v>
      </c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>
      <c r="A290" s="93" t="s">
        <v>614</v>
      </c>
      <c r="B290" s="159" t="s">
        <v>495</v>
      </c>
      <c r="C290" s="93" t="s">
        <v>1086</v>
      </c>
      <c r="D290" s="93" t="s">
        <v>496</v>
      </c>
      <c r="E290" s="93" t="str">
        <f t="shared" si="1"/>
        <v>TB1500-204-FA</v>
      </c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>
      <c r="A291" s="94" t="s">
        <v>617</v>
      </c>
      <c r="B291" s="159" t="s">
        <v>495</v>
      </c>
      <c r="C291" s="94" t="s">
        <v>906</v>
      </c>
      <c r="D291" s="93" t="s">
        <v>496</v>
      </c>
      <c r="E291" s="93" t="str">
        <f t="shared" si="1"/>
        <v>TB1500-204-PBF</v>
      </c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>
      <c r="A292" s="93" t="s">
        <v>619</v>
      </c>
      <c r="B292" s="159" t="s">
        <v>495</v>
      </c>
      <c r="C292" s="93" t="s">
        <v>908</v>
      </c>
      <c r="D292" s="93" t="s">
        <v>496</v>
      </c>
      <c r="E292" s="93" t="str">
        <f t="shared" si="1"/>
        <v>TB1500-204-POL</v>
      </c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>
      <c r="A293" s="94" t="s">
        <v>621</v>
      </c>
      <c r="B293" s="159" t="s">
        <v>495</v>
      </c>
      <c r="C293" s="94" t="s">
        <v>910</v>
      </c>
      <c r="D293" s="93" t="s">
        <v>496</v>
      </c>
      <c r="E293" s="93" t="str">
        <f t="shared" si="1"/>
        <v>TB1500-204-RW</v>
      </c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>
      <c r="A294" s="93" t="s">
        <v>622</v>
      </c>
      <c r="B294" s="159" t="s">
        <v>495</v>
      </c>
      <c r="C294" s="93" t="s">
        <v>912</v>
      </c>
      <c r="D294" s="93" t="s">
        <v>496</v>
      </c>
      <c r="E294" s="93" t="str">
        <f t="shared" si="1"/>
        <v>TB1500-204-CL</v>
      </c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>
      <c r="A295" s="93" t="s">
        <v>624</v>
      </c>
      <c r="B295" s="159" t="s">
        <v>495</v>
      </c>
      <c r="C295" s="93" t="s">
        <v>914</v>
      </c>
      <c r="D295" s="93" t="s">
        <v>496</v>
      </c>
      <c r="E295" s="93" t="str">
        <f t="shared" si="1"/>
        <v>TB1500-204-HH</v>
      </c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>
      <c r="A296" s="93" t="s">
        <v>626</v>
      </c>
      <c r="B296" s="159" t="s">
        <v>495</v>
      </c>
      <c r="C296" s="93" t="s">
        <v>916</v>
      </c>
      <c r="D296" s="93" t="s">
        <v>496</v>
      </c>
      <c r="E296" s="93" t="str">
        <f t="shared" si="1"/>
        <v>TB1500-204-BH</v>
      </c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>
      <c r="A297" s="93" t="s">
        <v>628</v>
      </c>
      <c r="B297" s="159" t="s">
        <v>495</v>
      </c>
      <c r="C297" s="93" t="s">
        <v>960</v>
      </c>
      <c r="D297" s="93" t="s">
        <v>496</v>
      </c>
      <c r="E297" s="93" t="str">
        <f t="shared" si="1"/>
        <v>TB1500-204-FB</v>
      </c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>
      <c r="A298" s="93" t="s">
        <v>627</v>
      </c>
      <c r="B298" s="159" t="s">
        <v>495</v>
      </c>
      <c r="C298" s="93" t="s">
        <v>918</v>
      </c>
      <c r="D298" s="93" t="s">
        <v>496</v>
      </c>
      <c r="E298" s="93" t="str">
        <f t="shared" si="1"/>
        <v>TB1500-204-FC</v>
      </c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>
      <c r="A299" s="93" t="s">
        <v>629</v>
      </c>
      <c r="B299" s="159" t="s">
        <v>495</v>
      </c>
      <c r="C299" s="93" t="s">
        <v>629</v>
      </c>
      <c r="D299" s="93" t="s">
        <v>496</v>
      </c>
      <c r="E299" s="93" t="str">
        <f t="shared" si="1"/>
        <v>TB1500-204-QC</v>
      </c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>
      <c r="A300" s="93" t="s">
        <v>631</v>
      </c>
      <c r="B300" s="159" t="s">
        <v>495</v>
      </c>
      <c r="C300" s="93" t="s">
        <v>921</v>
      </c>
      <c r="D300" s="93" t="s">
        <v>496</v>
      </c>
      <c r="E300" s="93" t="str">
        <f t="shared" si="1"/>
        <v>TB1500-204-FG</v>
      </c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>
      <c r="A301" s="93" t="s">
        <v>604</v>
      </c>
      <c r="B301" s="159" t="s">
        <v>497</v>
      </c>
      <c r="C301" s="93" t="s">
        <v>889</v>
      </c>
      <c r="D301" s="93" t="s">
        <v>498</v>
      </c>
      <c r="E301" s="93" t="str">
        <f t="shared" si="1"/>
        <v>TB1000-204-CC</v>
      </c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>
      <c r="A302" s="93" t="s">
        <v>605</v>
      </c>
      <c r="B302" s="159" t="s">
        <v>497</v>
      </c>
      <c r="C302" s="94" t="s">
        <v>892</v>
      </c>
      <c r="D302" s="93" t="s">
        <v>498</v>
      </c>
      <c r="E302" s="93" t="str">
        <f t="shared" si="1"/>
        <v>TB1000-204-PR1</v>
      </c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>
      <c r="A303" s="93" t="s">
        <v>607</v>
      </c>
      <c r="B303" s="159" t="s">
        <v>497</v>
      </c>
      <c r="C303" s="93" t="s">
        <v>896</v>
      </c>
      <c r="D303" s="93" t="s">
        <v>498</v>
      </c>
      <c r="E303" s="93" t="str">
        <f t="shared" si="1"/>
        <v>TB1000-204-SX</v>
      </c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>
      <c r="A304" s="93" t="s">
        <v>609</v>
      </c>
      <c r="B304" s="159" t="s">
        <v>497</v>
      </c>
      <c r="C304" s="93" t="s">
        <v>899</v>
      </c>
      <c r="D304" s="93" t="s">
        <v>498</v>
      </c>
      <c r="E304" s="93" t="str">
        <f t="shared" si="1"/>
        <v>TB1000-204-CU</v>
      </c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>
      <c r="A305" s="93" t="s">
        <v>612</v>
      </c>
      <c r="B305" s="159" t="s">
        <v>497</v>
      </c>
      <c r="C305" s="93" t="s">
        <v>902</v>
      </c>
      <c r="D305" s="93" t="s">
        <v>498</v>
      </c>
      <c r="E305" s="93" t="str">
        <f t="shared" si="1"/>
        <v>TB1000-204-GB</v>
      </c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>
      <c r="A306" s="93" t="s">
        <v>618</v>
      </c>
      <c r="B306" s="159" t="s">
        <v>497</v>
      </c>
      <c r="C306" s="93" t="s">
        <v>1372</v>
      </c>
      <c r="D306" s="93" t="s">
        <v>498</v>
      </c>
      <c r="E306" s="93" t="str">
        <f t="shared" si="1"/>
        <v>TB1000-204-BD</v>
      </c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>
      <c r="A307" s="93" t="s">
        <v>614</v>
      </c>
      <c r="B307" s="159" t="s">
        <v>497</v>
      </c>
      <c r="C307" s="93" t="s">
        <v>1086</v>
      </c>
      <c r="D307" s="93" t="s">
        <v>498</v>
      </c>
      <c r="E307" s="93" t="str">
        <f t="shared" si="1"/>
        <v>TB1000-204-FA</v>
      </c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>
      <c r="A308" s="94" t="s">
        <v>617</v>
      </c>
      <c r="B308" s="159" t="s">
        <v>497</v>
      </c>
      <c r="C308" s="94" t="s">
        <v>906</v>
      </c>
      <c r="D308" s="93" t="s">
        <v>498</v>
      </c>
      <c r="E308" s="93" t="str">
        <f t="shared" si="1"/>
        <v>TB1000-204-PBF</v>
      </c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>
      <c r="A309" s="93" t="s">
        <v>619</v>
      </c>
      <c r="B309" s="159" t="s">
        <v>497</v>
      </c>
      <c r="C309" s="93" t="s">
        <v>908</v>
      </c>
      <c r="D309" s="93" t="s">
        <v>498</v>
      </c>
      <c r="E309" s="93" t="str">
        <f t="shared" si="1"/>
        <v>TB1000-204-POL</v>
      </c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>
      <c r="A310" s="94" t="s">
        <v>621</v>
      </c>
      <c r="B310" s="159" t="s">
        <v>497</v>
      </c>
      <c r="C310" s="94" t="s">
        <v>910</v>
      </c>
      <c r="D310" s="93" t="s">
        <v>498</v>
      </c>
      <c r="E310" s="93" t="str">
        <f t="shared" si="1"/>
        <v>TB1000-204-RW</v>
      </c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>
      <c r="A311" s="93" t="s">
        <v>622</v>
      </c>
      <c r="B311" s="159" t="s">
        <v>497</v>
      </c>
      <c r="C311" s="93" t="s">
        <v>912</v>
      </c>
      <c r="D311" s="93" t="s">
        <v>498</v>
      </c>
      <c r="E311" s="93" t="str">
        <f t="shared" si="1"/>
        <v>TB1000-204-CL</v>
      </c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>
      <c r="A312" s="93" t="s">
        <v>624</v>
      </c>
      <c r="B312" s="159" t="s">
        <v>497</v>
      </c>
      <c r="C312" s="93" t="s">
        <v>914</v>
      </c>
      <c r="D312" s="93" t="s">
        <v>498</v>
      </c>
      <c r="E312" s="93" t="str">
        <f t="shared" si="1"/>
        <v>TB1000-204-HH</v>
      </c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>
      <c r="A313" s="93" t="s">
        <v>626</v>
      </c>
      <c r="B313" s="159" t="s">
        <v>497</v>
      </c>
      <c r="C313" s="93" t="s">
        <v>916</v>
      </c>
      <c r="D313" s="93" t="s">
        <v>498</v>
      </c>
      <c r="E313" s="93" t="str">
        <f t="shared" si="1"/>
        <v>TB1000-204-BH</v>
      </c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>
      <c r="A314" s="93" t="s">
        <v>628</v>
      </c>
      <c r="B314" s="159" t="s">
        <v>497</v>
      </c>
      <c r="C314" s="93" t="s">
        <v>960</v>
      </c>
      <c r="D314" s="93" t="s">
        <v>498</v>
      </c>
      <c r="E314" s="93" t="str">
        <f t="shared" si="1"/>
        <v>TB1000-204-FB</v>
      </c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>
      <c r="A315" s="93" t="s">
        <v>627</v>
      </c>
      <c r="B315" s="159" t="s">
        <v>497</v>
      </c>
      <c r="C315" s="93" t="s">
        <v>918</v>
      </c>
      <c r="D315" s="93" t="s">
        <v>498</v>
      </c>
      <c r="E315" s="93" t="str">
        <f t="shared" si="1"/>
        <v>TB1000-204-FC</v>
      </c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>
      <c r="A316" s="93" t="s">
        <v>629</v>
      </c>
      <c r="B316" s="159" t="s">
        <v>497</v>
      </c>
      <c r="C316" s="93" t="s">
        <v>629</v>
      </c>
      <c r="D316" s="93" t="s">
        <v>498</v>
      </c>
      <c r="E316" s="93" t="str">
        <f t="shared" si="1"/>
        <v>TB1000-204-QC</v>
      </c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>
      <c r="A317" s="93" t="s">
        <v>631</v>
      </c>
      <c r="B317" s="159" t="s">
        <v>497</v>
      </c>
      <c r="C317" s="93" t="s">
        <v>921</v>
      </c>
      <c r="D317" s="93" t="s">
        <v>498</v>
      </c>
      <c r="E317" s="93" t="str">
        <f t="shared" si="1"/>
        <v>TB1000-204-FG</v>
      </c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>
      <c r="A318" s="93" t="s">
        <v>604</v>
      </c>
      <c r="B318" s="159" t="s">
        <v>499</v>
      </c>
      <c r="C318" s="93" t="s">
        <v>889</v>
      </c>
      <c r="D318" s="93" t="s">
        <v>500</v>
      </c>
      <c r="E318" s="93" t="str">
        <f t="shared" si="1"/>
        <v>TP1500-202-CC</v>
      </c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>
      <c r="A319" s="93" t="s">
        <v>605</v>
      </c>
      <c r="B319" s="159" t="s">
        <v>499</v>
      </c>
      <c r="C319" s="94" t="s">
        <v>892</v>
      </c>
      <c r="D319" s="93" t="s">
        <v>500</v>
      </c>
      <c r="E319" s="93" t="str">
        <f t="shared" si="1"/>
        <v>TP1500-202-PR1</v>
      </c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>
      <c r="A320" s="93" t="s">
        <v>607</v>
      </c>
      <c r="B320" s="159" t="s">
        <v>499</v>
      </c>
      <c r="C320" s="93" t="s">
        <v>896</v>
      </c>
      <c r="D320" s="93" t="s">
        <v>500</v>
      </c>
      <c r="E320" s="93" t="str">
        <f t="shared" si="1"/>
        <v>TP1500-202-SX</v>
      </c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>
      <c r="A321" s="93" t="s">
        <v>609</v>
      </c>
      <c r="B321" s="159" t="s">
        <v>499</v>
      </c>
      <c r="C321" s="93" t="s">
        <v>899</v>
      </c>
      <c r="D321" s="93" t="s">
        <v>500</v>
      </c>
      <c r="E321" s="93" t="str">
        <f t="shared" si="1"/>
        <v>TP1500-202-CU</v>
      </c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>
      <c r="A322" s="93" t="s">
        <v>612</v>
      </c>
      <c r="B322" s="159" t="s">
        <v>499</v>
      </c>
      <c r="C322" s="93" t="s">
        <v>902</v>
      </c>
      <c r="D322" s="93" t="s">
        <v>500</v>
      </c>
      <c r="E322" s="93" t="str">
        <f t="shared" si="1"/>
        <v>TP1500-202-GB</v>
      </c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>
      <c r="A323" s="93" t="s">
        <v>619</v>
      </c>
      <c r="B323" s="159" t="s">
        <v>499</v>
      </c>
      <c r="C323" s="93" t="s">
        <v>908</v>
      </c>
      <c r="D323" s="93" t="s">
        <v>500</v>
      </c>
      <c r="E323" s="93" t="str">
        <f t="shared" si="1"/>
        <v>TP1500-202-POL</v>
      </c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>
      <c r="A324" s="94" t="s">
        <v>621</v>
      </c>
      <c r="B324" s="159" t="s">
        <v>499</v>
      </c>
      <c r="C324" s="94" t="s">
        <v>910</v>
      </c>
      <c r="D324" s="93" t="s">
        <v>500</v>
      </c>
      <c r="E324" s="93" t="str">
        <f t="shared" si="1"/>
        <v>TP1500-202-RW</v>
      </c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>
      <c r="A325" s="93" t="s">
        <v>622</v>
      </c>
      <c r="B325" s="159" t="s">
        <v>499</v>
      </c>
      <c r="C325" s="93" t="s">
        <v>912</v>
      </c>
      <c r="D325" s="93" t="s">
        <v>500</v>
      </c>
      <c r="E325" s="93" t="str">
        <f t="shared" si="1"/>
        <v>TP1500-202-CL</v>
      </c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>
      <c r="A326" s="93" t="s">
        <v>624</v>
      </c>
      <c r="B326" s="159" t="s">
        <v>499</v>
      </c>
      <c r="C326" s="93" t="s">
        <v>914</v>
      </c>
      <c r="D326" s="93" t="s">
        <v>500</v>
      </c>
      <c r="E326" s="93" t="str">
        <f t="shared" si="1"/>
        <v>TP1500-202-HH</v>
      </c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>
      <c r="A327" s="93" t="s">
        <v>626</v>
      </c>
      <c r="B327" s="159" t="s">
        <v>499</v>
      </c>
      <c r="C327" s="93" t="s">
        <v>916</v>
      </c>
      <c r="D327" s="93" t="s">
        <v>500</v>
      </c>
      <c r="E327" s="93" t="str">
        <f t="shared" si="1"/>
        <v>TP1500-202-BH</v>
      </c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>
      <c r="A328" s="93" t="s">
        <v>628</v>
      </c>
      <c r="B328" s="159" t="s">
        <v>499</v>
      </c>
      <c r="C328" s="93" t="s">
        <v>960</v>
      </c>
      <c r="D328" s="93" t="s">
        <v>500</v>
      </c>
      <c r="E328" s="93" t="str">
        <f t="shared" si="1"/>
        <v>TP1500-202-FB</v>
      </c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>
      <c r="A329" s="93" t="s">
        <v>627</v>
      </c>
      <c r="B329" s="159" t="s">
        <v>499</v>
      </c>
      <c r="C329" s="93" t="s">
        <v>918</v>
      </c>
      <c r="D329" s="93" t="s">
        <v>500</v>
      </c>
      <c r="E329" s="93" t="str">
        <f t="shared" si="1"/>
        <v>TP1500-202-FC</v>
      </c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>
      <c r="A330" s="93" t="s">
        <v>629</v>
      </c>
      <c r="B330" s="159" t="s">
        <v>499</v>
      </c>
      <c r="C330" s="93" t="s">
        <v>629</v>
      </c>
      <c r="D330" s="93" t="s">
        <v>500</v>
      </c>
      <c r="E330" s="93" t="str">
        <f t="shared" si="1"/>
        <v>TP1500-202-QC</v>
      </c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>
      <c r="A331" s="93" t="s">
        <v>631</v>
      </c>
      <c r="B331" s="159" t="s">
        <v>499</v>
      </c>
      <c r="C331" s="93" t="s">
        <v>921</v>
      </c>
      <c r="D331" s="93" t="s">
        <v>500</v>
      </c>
      <c r="E331" s="93" t="str">
        <f t="shared" si="1"/>
        <v>TP1500-202-FG</v>
      </c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>
      <c r="A332" s="93" t="s">
        <v>604</v>
      </c>
      <c r="B332" s="159" t="s">
        <v>501</v>
      </c>
      <c r="C332" s="93" t="s">
        <v>889</v>
      </c>
      <c r="D332" s="93" t="s">
        <v>502</v>
      </c>
      <c r="E332" s="93" t="str">
        <f t="shared" si="1"/>
        <v>TP1000-202-CC</v>
      </c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>
      <c r="A333" s="93" t="s">
        <v>605</v>
      </c>
      <c r="B333" s="159" t="s">
        <v>501</v>
      </c>
      <c r="C333" s="94" t="s">
        <v>892</v>
      </c>
      <c r="D333" s="93" t="s">
        <v>502</v>
      </c>
      <c r="E333" s="93" t="str">
        <f t="shared" si="1"/>
        <v>TP1000-202-PR1</v>
      </c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>
      <c r="A334" s="93" t="s">
        <v>607</v>
      </c>
      <c r="B334" s="159" t="s">
        <v>501</v>
      </c>
      <c r="C334" s="93" t="s">
        <v>896</v>
      </c>
      <c r="D334" s="93" t="s">
        <v>502</v>
      </c>
      <c r="E334" s="93" t="str">
        <f t="shared" si="1"/>
        <v>TP1000-202-SX</v>
      </c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>
      <c r="A335" s="93" t="s">
        <v>609</v>
      </c>
      <c r="B335" s="159" t="s">
        <v>501</v>
      </c>
      <c r="C335" s="93" t="s">
        <v>899</v>
      </c>
      <c r="D335" s="93" t="s">
        <v>502</v>
      </c>
      <c r="E335" s="93" t="str">
        <f t="shared" si="1"/>
        <v>TP1000-202-CU</v>
      </c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>
      <c r="A336" s="93" t="s">
        <v>612</v>
      </c>
      <c r="B336" s="159" t="s">
        <v>501</v>
      </c>
      <c r="C336" s="93" t="s">
        <v>902</v>
      </c>
      <c r="D336" s="93" t="s">
        <v>502</v>
      </c>
      <c r="E336" s="93" t="str">
        <f t="shared" si="1"/>
        <v>TP1000-202-GB</v>
      </c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>
      <c r="A337" s="93" t="s">
        <v>619</v>
      </c>
      <c r="B337" s="159" t="s">
        <v>501</v>
      </c>
      <c r="C337" s="93" t="s">
        <v>908</v>
      </c>
      <c r="D337" s="93" t="s">
        <v>502</v>
      </c>
      <c r="E337" s="93" t="str">
        <f t="shared" si="1"/>
        <v>TP1000-202-POL</v>
      </c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>
      <c r="A338" s="94" t="s">
        <v>621</v>
      </c>
      <c r="B338" s="159" t="s">
        <v>501</v>
      </c>
      <c r="C338" s="94" t="s">
        <v>910</v>
      </c>
      <c r="D338" s="93" t="s">
        <v>502</v>
      </c>
      <c r="E338" s="93" t="str">
        <f t="shared" si="1"/>
        <v>TP1000-202-RW</v>
      </c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>
      <c r="A339" s="93" t="s">
        <v>622</v>
      </c>
      <c r="B339" s="159" t="s">
        <v>501</v>
      </c>
      <c r="C339" s="93" t="s">
        <v>912</v>
      </c>
      <c r="D339" s="93" t="s">
        <v>502</v>
      </c>
      <c r="E339" s="93" t="str">
        <f t="shared" si="1"/>
        <v>TP1000-202-CL</v>
      </c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>
      <c r="A340" s="93" t="s">
        <v>624</v>
      </c>
      <c r="B340" s="159" t="s">
        <v>501</v>
      </c>
      <c r="C340" s="93" t="s">
        <v>914</v>
      </c>
      <c r="D340" s="93" t="s">
        <v>502</v>
      </c>
      <c r="E340" s="93" t="str">
        <f t="shared" si="1"/>
        <v>TP1000-202-HH</v>
      </c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>
      <c r="A341" s="93" t="s">
        <v>626</v>
      </c>
      <c r="B341" s="159" t="s">
        <v>501</v>
      </c>
      <c r="C341" s="93" t="s">
        <v>916</v>
      </c>
      <c r="D341" s="93" t="s">
        <v>502</v>
      </c>
      <c r="E341" s="93" t="str">
        <f t="shared" si="1"/>
        <v>TP1000-202-BH</v>
      </c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>
      <c r="A342" s="93" t="s">
        <v>628</v>
      </c>
      <c r="B342" s="159" t="s">
        <v>501</v>
      </c>
      <c r="C342" s="93" t="s">
        <v>960</v>
      </c>
      <c r="D342" s="93" t="s">
        <v>502</v>
      </c>
      <c r="E342" s="93" t="str">
        <f t="shared" si="1"/>
        <v>TP1000-202-FB</v>
      </c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>
      <c r="A343" s="93" t="s">
        <v>627</v>
      </c>
      <c r="B343" s="159" t="s">
        <v>501</v>
      </c>
      <c r="C343" s="93" t="s">
        <v>918</v>
      </c>
      <c r="D343" s="93" t="s">
        <v>502</v>
      </c>
      <c r="E343" s="93" t="str">
        <f t="shared" si="1"/>
        <v>TP1000-202-FC</v>
      </c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>
      <c r="A344" s="93" t="s">
        <v>629</v>
      </c>
      <c r="B344" s="159" t="s">
        <v>501</v>
      </c>
      <c r="C344" s="93" t="s">
        <v>629</v>
      </c>
      <c r="D344" s="93" t="s">
        <v>502</v>
      </c>
      <c r="E344" s="93" t="str">
        <f t="shared" si="1"/>
        <v>TP1000-202-QC</v>
      </c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>
      <c r="A345" s="93" t="s">
        <v>631</v>
      </c>
      <c r="B345" s="159" t="s">
        <v>501</v>
      </c>
      <c r="C345" s="93" t="s">
        <v>921</v>
      </c>
      <c r="D345" s="93" t="s">
        <v>502</v>
      </c>
      <c r="E345" s="93" t="str">
        <f t="shared" si="1"/>
        <v>TP1000-202-FG</v>
      </c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>
      <c r="A346" s="93" t="s">
        <v>604</v>
      </c>
      <c r="B346" s="159" t="s">
        <v>493</v>
      </c>
      <c r="C346" s="93" t="s">
        <v>889</v>
      </c>
      <c r="D346" s="93" t="s">
        <v>494</v>
      </c>
      <c r="E346" s="93" t="str">
        <f t="shared" si="1"/>
        <v>BO2000-202-CC</v>
      </c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>
      <c r="A347" s="93" t="s">
        <v>605</v>
      </c>
      <c r="B347" s="159" t="s">
        <v>493</v>
      </c>
      <c r="C347" s="94" t="s">
        <v>892</v>
      </c>
      <c r="D347" s="93" t="s">
        <v>494</v>
      </c>
      <c r="E347" s="93" t="str">
        <f t="shared" si="1"/>
        <v>BO2000-202-PR1</v>
      </c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>
      <c r="A348" s="93" t="s">
        <v>608</v>
      </c>
      <c r="B348" s="159" t="s">
        <v>493</v>
      </c>
      <c r="C348" s="93" t="s">
        <v>946</v>
      </c>
      <c r="D348" s="93" t="s">
        <v>494</v>
      </c>
      <c r="E348" s="93" t="str">
        <f t="shared" si="1"/>
        <v>BO2000-202-SD</v>
      </c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>
      <c r="A349" s="93" t="s">
        <v>610</v>
      </c>
      <c r="B349" s="159" t="s">
        <v>493</v>
      </c>
      <c r="C349" s="93" t="s">
        <v>948</v>
      </c>
      <c r="D349" s="93" t="s">
        <v>494</v>
      </c>
      <c r="E349" s="93" t="str">
        <f t="shared" si="1"/>
        <v>BO2000-202-SF</v>
      </c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>
      <c r="A350" s="93" t="s">
        <v>609</v>
      </c>
      <c r="B350" s="159" t="s">
        <v>493</v>
      </c>
      <c r="C350" s="93" t="s">
        <v>899</v>
      </c>
      <c r="D350" s="93" t="s">
        <v>494</v>
      </c>
      <c r="E350" s="93" t="str">
        <f t="shared" si="1"/>
        <v>BO2000-202-CU</v>
      </c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>
      <c r="A351" s="93" t="s">
        <v>615</v>
      </c>
      <c r="B351" s="159" t="s">
        <v>493</v>
      </c>
      <c r="C351" s="93" t="s">
        <v>904</v>
      </c>
      <c r="D351" s="93" t="s">
        <v>494</v>
      </c>
      <c r="E351" s="93" t="str">
        <f t="shared" si="1"/>
        <v>BO2000-202-SI</v>
      </c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>
      <c r="A352" s="94" t="s">
        <v>617</v>
      </c>
      <c r="B352" s="159" t="s">
        <v>493</v>
      </c>
      <c r="C352" s="94" t="s">
        <v>906</v>
      </c>
      <c r="D352" s="93" t="s">
        <v>494</v>
      </c>
      <c r="E352" s="93" t="str">
        <f t="shared" si="1"/>
        <v>BO2000-202-PBF</v>
      </c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>
      <c r="A353" s="93" t="s">
        <v>619</v>
      </c>
      <c r="B353" s="159" t="s">
        <v>493</v>
      </c>
      <c r="C353" s="93" t="s">
        <v>908</v>
      </c>
      <c r="D353" s="93" t="s">
        <v>494</v>
      </c>
      <c r="E353" s="93" t="str">
        <f t="shared" si="1"/>
        <v>BO2000-202-POL</v>
      </c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>
      <c r="A354" s="93" t="s">
        <v>623</v>
      </c>
      <c r="B354" s="159" t="s">
        <v>493</v>
      </c>
      <c r="C354" s="94" t="s">
        <v>1310</v>
      </c>
      <c r="D354" s="93" t="s">
        <v>494</v>
      </c>
      <c r="E354" s="93" t="str">
        <f t="shared" si="1"/>
        <v>BO2000-202-TOC</v>
      </c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>
      <c r="A355" s="94" t="s">
        <v>625</v>
      </c>
      <c r="B355" s="159" t="s">
        <v>493</v>
      </c>
      <c r="C355" s="94" t="s">
        <v>1213</v>
      </c>
      <c r="D355" s="93" t="s">
        <v>494</v>
      </c>
      <c r="E355" s="93" t="str">
        <f t="shared" si="1"/>
        <v>BO2000-202-DB</v>
      </c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>
      <c r="A356" s="94" t="s">
        <v>621</v>
      </c>
      <c r="B356" s="159" t="s">
        <v>493</v>
      </c>
      <c r="C356" s="94" t="s">
        <v>910</v>
      </c>
      <c r="D356" s="93" t="s">
        <v>494</v>
      </c>
      <c r="E356" s="93" t="str">
        <f t="shared" si="1"/>
        <v>BO2000-202-RW</v>
      </c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>
      <c r="A357" s="93" t="s">
        <v>622</v>
      </c>
      <c r="B357" s="159" t="s">
        <v>493</v>
      </c>
      <c r="C357" s="93" t="s">
        <v>912</v>
      </c>
      <c r="D357" s="93" t="s">
        <v>494</v>
      </c>
      <c r="E357" s="93" t="str">
        <f t="shared" si="1"/>
        <v>BO2000-202-CL</v>
      </c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>
      <c r="A358" s="93" t="s">
        <v>624</v>
      </c>
      <c r="B358" s="159" t="s">
        <v>493</v>
      </c>
      <c r="C358" s="93" t="s">
        <v>914</v>
      </c>
      <c r="D358" s="93" t="s">
        <v>494</v>
      </c>
      <c r="E358" s="93" t="str">
        <f t="shared" si="1"/>
        <v>BO2000-202-HH</v>
      </c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>
      <c r="A359" s="93" t="s">
        <v>626</v>
      </c>
      <c r="B359" s="159" t="s">
        <v>493</v>
      </c>
      <c r="C359" s="93" t="s">
        <v>916</v>
      </c>
      <c r="D359" s="93" t="s">
        <v>494</v>
      </c>
      <c r="E359" s="93" t="str">
        <f t="shared" si="1"/>
        <v>BO2000-202-BH</v>
      </c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>
      <c r="A360" s="93" t="s">
        <v>627</v>
      </c>
      <c r="B360" s="159" t="s">
        <v>493</v>
      </c>
      <c r="C360" s="93" t="s">
        <v>918</v>
      </c>
      <c r="D360" s="93" t="s">
        <v>494</v>
      </c>
      <c r="E360" s="93" t="str">
        <f t="shared" si="1"/>
        <v>BO2000-202-FC</v>
      </c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>
      <c r="A361" s="93" t="s">
        <v>629</v>
      </c>
      <c r="B361" s="159" t="s">
        <v>493</v>
      </c>
      <c r="C361" s="93" t="s">
        <v>629</v>
      </c>
      <c r="D361" s="93" t="s">
        <v>494</v>
      </c>
      <c r="E361" s="93" t="str">
        <f t="shared" si="1"/>
        <v>BO2000-202-QC</v>
      </c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>
      <c r="A362" s="93" t="s">
        <v>631</v>
      </c>
      <c r="B362" s="159" t="s">
        <v>493</v>
      </c>
      <c r="C362" s="93" t="s">
        <v>921</v>
      </c>
      <c r="D362" s="93" t="s">
        <v>494</v>
      </c>
      <c r="E362" s="93" t="str">
        <f t="shared" si="1"/>
        <v>BO2000-202-FG</v>
      </c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>
      <c r="A363" s="93" t="s">
        <v>604</v>
      </c>
      <c r="B363" s="159" t="s">
        <v>471</v>
      </c>
      <c r="C363" s="94" t="s">
        <v>889</v>
      </c>
      <c r="D363" s="94" t="s">
        <v>472</v>
      </c>
      <c r="E363" s="93" t="str">
        <f t="shared" si="1"/>
        <v>ND1500-204-CC</v>
      </c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>
      <c r="A364" s="93" t="s">
        <v>605</v>
      </c>
      <c r="B364" s="159" t="s">
        <v>471</v>
      </c>
      <c r="C364" s="94" t="s">
        <v>892</v>
      </c>
      <c r="D364" s="93" t="s">
        <v>472</v>
      </c>
      <c r="E364" s="93" t="str">
        <f t="shared" si="1"/>
        <v>ND1500-204-PR1</v>
      </c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>
      <c r="A365" s="93" t="s">
        <v>607</v>
      </c>
      <c r="B365" s="159" t="s">
        <v>471</v>
      </c>
      <c r="C365" s="93" t="s">
        <v>896</v>
      </c>
      <c r="D365" s="93" t="s">
        <v>472</v>
      </c>
      <c r="E365" s="93" t="str">
        <f t="shared" si="1"/>
        <v>ND1500-204-SX</v>
      </c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>
      <c r="A366" s="93" t="s">
        <v>611</v>
      </c>
      <c r="B366" s="159" t="s">
        <v>471</v>
      </c>
      <c r="C366" s="93" t="s">
        <v>1199</v>
      </c>
      <c r="D366" s="93" t="s">
        <v>472</v>
      </c>
      <c r="E366" s="93" t="str">
        <f t="shared" si="1"/>
        <v>ND1500-204-RF</v>
      </c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>
      <c r="A367" s="93" t="s">
        <v>609</v>
      </c>
      <c r="B367" s="159" t="s">
        <v>471</v>
      </c>
      <c r="C367" s="94" t="s">
        <v>899</v>
      </c>
      <c r="D367" s="93" t="s">
        <v>472</v>
      </c>
      <c r="E367" s="93" t="str">
        <f t="shared" si="1"/>
        <v>ND1500-204-CU</v>
      </c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>
      <c r="A368" s="93" t="s">
        <v>612</v>
      </c>
      <c r="B368" s="159" t="s">
        <v>471</v>
      </c>
      <c r="C368" s="94" t="s">
        <v>902</v>
      </c>
      <c r="D368" s="93" t="s">
        <v>472</v>
      </c>
      <c r="E368" s="93" t="str">
        <f t="shared" si="1"/>
        <v>ND1500-204-GB</v>
      </c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>
      <c r="A369" s="94" t="s">
        <v>617</v>
      </c>
      <c r="B369" s="159" t="s">
        <v>471</v>
      </c>
      <c r="C369" s="94" t="s">
        <v>906</v>
      </c>
      <c r="D369" s="93" t="s">
        <v>472</v>
      </c>
      <c r="E369" s="93" t="str">
        <f t="shared" si="1"/>
        <v>ND1500-204-PBF</v>
      </c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>
      <c r="A370" s="93" t="s">
        <v>619</v>
      </c>
      <c r="B370" s="159" t="s">
        <v>471</v>
      </c>
      <c r="C370" s="94" t="s">
        <v>908</v>
      </c>
      <c r="D370" s="93" t="s">
        <v>472</v>
      </c>
      <c r="E370" s="93" t="str">
        <f t="shared" si="1"/>
        <v>ND1500-204-POL</v>
      </c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>
      <c r="A371" s="93" t="s">
        <v>622</v>
      </c>
      <c r="B371" s="159" t="s">
        <v>471</v>
      </c>
      <c r="C371" s="94" t="s">
        <v>912</v>
      </c>
      <c r="D371" s="93" t="s">
        <v>472</v>
      </c>
      <c r="E371" s="93" t="str">
        <f t="shared" si="1"/>
        <v>ND1500-204-CL</v>
      </c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>
      <c r="A372" s="93" t="s">
        <v>624</v>
      </c>
      <c r="B372" s="159" t="s">
        <v>471</v>
      </c>
      <c r="C372" s="94" t="s">
        <v>914</v>
      </c>
      <c r="D372" s="93" t="s">
        <v>472</v>
      </c>
      <c r="E372" s="93" t="str">
        <f t="shared" si="1"/>
        <v>ND1500-204-HH</v>
      </c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>
      <c r="A373" s="93" t="s">
        <v>626</v>
      </c>
      <c r="B373" s="159" t="s">
        <v>471</v>
      </c>
      <c r="C373" s="94" t="s">
        <v>916</v>
      </c>
      <c r="D373" s="93" t="s">
        <v>472</v>
      </c>
      <c r="E373" s="93" t="str">
        <f t="shared" si="1"/>
        <v>ND1500-204-BH</v>
      </c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>
      <c r="A374" s="93" t="s">
        <v>628</v>
      </c>
      <c r="B374" s="159" t="s">
        <v>471</v>
      </c>
      <c r="C374" s="94" t="s">
        <v>960</v>
      </c>
      <c r="D374" s="93" t="s">
        <v>472</v>
      </c>
      <c r="E374" s="93" t="str">
        <f t="shared" si="1"/>
        <v>ND1500-204-FB</v>
      </c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>
      <c r="A375" s="93" t="s">
        <v>627</v>
      </c>
      <c r="B375" s="159" t="s">
        <v>471</v>
      </c>
      <c r="C375" s="94" t="s">
        <v>918</v>
      </c>
      <c r="D375" s="93" t="s">
        <v>472</v>
      </c>
      <c r="E375" s="93" t="str">
        <f t="shared" si="1"/>
        <v>ND1500-204-FC</v>
      </c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>
      <c r="A376" s="93" t="s">
        <v>629</v>
      </c>
      <c r="B376" s="159" t="s">
        <v>471</v>
      </c>
      <c r="C376" s="94" t="s">
        <v>629</v>
      </c>
      <c r="D376" s="93" t="s">
        <v>472</v>
      </c>
      <c r="E376" s="93" t="str">
        <f t="shared" si="1"/>
        <v>ND1500-204-QC</v>
      </c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>
      <c r="A377" s="93" t="s">
        <v>631</v>
      </c>
      <c r="B377" s="159" t="s">
        <v>471</v>
      </c>
      <c r="C377" s="94" t="s">
        <v>921</v>
      </c>
      <c r="D377" s="93" t="s">
        <v>472</v>
      </c>
      <c r="E377" s="93" t="str">
        <f t="shared" si="1"/>
        <v>ND1500-204-FG</v>
      </c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>
      <c r="A378" s="93" t="s">
        <v>604</v>
      </c>
      <c r="B378" s="159" t="s">
        <v>473</v>
      </c>
      <c r="C378" s="94" t="s">
        <v>889</v>
      </c>
      <c r="D378" s="93" t="s">
        <v>474</v>
      </c>
      <c r="E378" s="93" t="str">
        <f t="shared" si="1"/>
        <v>NF1000-204-CC</v>
      </c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>
      <c r="A379" s="93" t="s">
        <v>605</v>
      </c>
      <c r="B379" s="159" t="s">
        <v>473</v>
      </c>
      <c r="C379" s="94" t="s">
        <v>892</v>
      </c>
      <c r="D379" s="93" t="s">
        <v>474</v>
      </c>
      <c r="E379" s="93" t="str">
        <f t="shared" si="1"/>
        <v>NF1000-204-PR1</v>
      </c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>
      <c r="A380" s="93" t="s">
        <v>607</v>
      </c>
      <c r="B380" s="159" t="s">
        <v>473</v>
      </c>
      <c r="C380" s="93" t="s">
        <v>896</v>
      </c>
      <c r="D380" s="93" t="s">
        <v>474</v>
      </c>
      <c r="E380" s="93" t="str">
        <f t="shared" si="1"/>
        <v>NF1000-204-SX</v>
      </c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>
      <c r="A381" s="93" t="s">
        <v>611</v>
      </c>
      <c r="B381" s="159" t="s">
        <v>473</v>
      </c>
      <c r="C381" s="93" t="s">
        <v>1199</v>
      </c>
      <c r="D381" s="93" t="s">
        <v>474</v>
      </c>
      <c r="E381" s="93" t="str">
        <f t="shared" si="1"/>
        <v>NF1000-204-RF</v>
      </c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>
      <c r="A382" s="93" t="s">
        <v>609</v>
      </c>
      <c r="B382" s="159" t="s">
        <v>473</v>
      </c>
      <c r="C382" s="94" t="s">
        <v>899</v>
      </c>
      <c r="D382" s="93" t="s">
        <v>474</v>
      </c>
      <c r="E382" s="93" t="str">
        <f t="shared" si="1"/>
        <v>NF1000-204-CU</v>
      </c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>
      <c r="A383" s="93" t="s">
        <v>612</v>
      </c>
      <c r="B383" s="159" t="s">
        <v>473</v>
      </c>
      <c r="C383" s="94" t="s">
        <v>902</v>
      </c>
      <c r="D383" s="93" t="s">
        <v>474</v>
      </c>
      <c r="E383" s="93" t="str">
        <f t="shared" si="1"/>
        <v>NF1000-204-GB</v>
      </c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>
      <c r="A384" s="94" t="s">
        <v>617</v>
      </c>
      <c r="B384" s="159" t="s">
        <v>473</v>
      </c>
      <c r="C384" s="94" t="s">
        <v>906</v>
      </c>
      <c r="D384" s="93" t="s">
        <v>474</v>
      </c>
      <c r="E384" s="93" t="str">
        <f t="shared" si="1"/>
        <v>NF1000-204-PBF</v>
      </c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>
      <c r="A385" s="93" t="s">
        <v>619</v>
      </c>
      <c r="B385" s="159" t="s">
        <v>473</v>
      </c>
      <c r="C385" s="94" t="s">
        <v>908</v>
      </c>
      <c r="D385" s="93" t="s">
        <v>474</v>
      </c>
      <c r="E385" s="93" t="str">
        <f t="shared" si="1"/>
        <v>NF1000-204-POL</v>
      </c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>
      <c r="A386" s="93" t="s">
        <v>622</v>
      </c>
      <c r="B386" s="159" t="s">
        <v>473</v>
      </c>
      <c r="C386" s="94" t="s">
        <v>912</v>
      </c>
      <c r="D386" s="93" t="s">
        <v>474</v>
      </c>
      <c r="E386" s="93" t="str">
        <f t="shared" si="1"/>
        <v>NF1000-204-CL</v>
      </c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>
      <c r="A387" s="93" t="s">
        <v>624</v>
      </c>
      <c r="B387" s="159" t="s">
        <v>473</v>
      </c>
      <c r="C387" s="94" t="s">
        <v>914</v>
      </c>
      <c r="D387" s="93" t="s">
        <v>474</v>
      </c>
      <c r="E387" s="93" t="str">
        <f t="shared" si="1"/>
        <v>NF1000-204-HH</v>
      </c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>
      <c r="A388" s="93" t="s">
        <v>626</v>
      </c>
      <c r="B388" s="159" t="s">
        <v>473</v>
      </c>
      <c r="C388" s="94" t="s">
        <v>916</v>
      </c>
      <c r="D388" s="93" t="s">
        <v>474</v>
      </c>
      <c r="E388" s="93" t="str">
        <f t="shared" si="1"/>
        <v>NF1000-204-BH</v>
      </c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>
      <c r="A389" s="93" t="s">
        <v>628</v>
      </c>
      <c r="B389" s="159" t="s">
        <v>473</v>
      </c>
      <c r="C389" s="94" t="s">
        <v>960</v>
      </c>
      <c r="D389" s="93" t="s">
        <v>474</v>
      </c>
      <c r="E389" s="93" t="str">
        <f t="shared" si="1"/>
        <v>NF1000-204-FB</v>
      </c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>
      <c r="A390" s="93" t="s">
        <v>627</v>
      </c>
      <c r="B390" s="159" t="s">
        <v>473</v>
      </c>
      <c r="C390" s="94" t="s">
        <v>918</v>
      </c>
      <c r="D390" s="93" t="s">
        <v>474</v>
      </c>
      <c r="E390" s="93" t="str">
        <f t="shared" si="1"/>
        <v>NF1000-204-FC</v>
      </c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>
      <c r="A391" s="93" t="s">
        <v>629</v>
      </c>
      <c r="B391" s="159" t="s">
        <v>473</v>
      </c>
      <c r="C391" s="94" t="s">
        <v>629</v>
      </c>
      <c r="D391" s="93" t="s">
        <v>474</v>
      </c>
      <c r="E391" s="93" t="str">
        <f t="shared" si="1"/>
        <v>NF1000-204-QC</v>
      </c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>
      <c r="A392" s="93" t="s">
        <v>631</v>
      </c>
      <c r="B392" s="159" t="s">
        <v>473</v>
      </c>
      <c r="C392" s="94" t="s">
        <v>921</v>
      </c>
      <c r="D392" s="93" t="s">
        <v>474</v>
      </c>
      <c r="E392" s="93" t="str">
        <f t="shared" si="1"/>
        <v>NF1000-204-FG</v>
      </c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>
      <c r="A393" s="93" t="s">
        <v>604</v>
      </c>
      <c r="B393" s="159" t="s">
        <v>475</v>
      </c>
      <c r="C393" s="94" t="s">
        <v>889</v>
      </c>
      <c r="D393" s="93" t="s">
        <v>476</v>
      </c>
      <c r="E393" s="93" t="str">
        <f t="shared" si="1"/>
        <v>NC0400-204-CC</v>
      </c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>
      <c r="A394" s="93" t="s">
        <v>605</v>
      </c>
      <c r="B394" s="159" t="s">
        <v>475</v>
      </c>
      <c r="C394" s="94" t="s">
        <v>892</v>
      </c>
      <c r="D394" s="93" t="s">
        <v>476</v>
      </c>
      <c r="E394" s="93" t="str">
        <f t="shared" si="1"/>
        <v>NC0400-204-PR1</v>
      </c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>
      <c r="A395" s="93" t="s">
        <v>607</v>
      </c>
      <c r="B395" s="159" t="s">
        <v>475</v>
      </c>
      <c r="C395" s="94" t="s">
        <v>896</v>
      </c>
      <c r="D395" s="93" t="s">
        <v>476</v>
      </c>
      <c r="E395" s="93" t="str">
        <f t="shared" si="1"/>
        <v>NC0400-204-SX</v>
      </c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>
      <c r="A396" s="93" t="s">
        <v>611</v>
      </c>
      <c r="B396" s="159" t="s">
        <v>475</v>
      </c>
      <c r="C396" s="94" t="s">
        <v>1199</v>
      </c>
      <c r="D396" s="93" t="s">
        <v>476</v>
      </c>
      <c r="E396" s="93" t="str">
        <f t="shared" si="1"/>
        <v>NC0400-204-RF</v>
      </c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>
      <c r="A397" s="93" t="s">
        <v>609</v>
      </c>
      <c r="B397" s="159" t="s">
        <v>475</v>
      </c>
      <c r="C397" s="94" t="s">
        <v>899</v>
      </c>
      <c r="D397" s="93" t="s">
        <v>476</v>
      </c>
      <c r="E397" s="93" t="str">
        <f t="shared" si="1"/>
        <v>NC0400-204-CU</v>
      </c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>
      <c r="A398" s="94" t="s">
        <v>617</v>
      </c>
      <c r="B398" s="159" t="s">
        <v>475</v>
      </c>
      <c r="C398" s="94" t="s">
        <v>906</v>
      </c>
      <c r="D398" s="93" t="s">
        <v>476</v>
      </c>
      <c r="E398" s="93" t="str">
        <f t="shared" si="1"/>
        <v>NC0400-204-PBF</v>
      </c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>
      <c r="A399" s="93" t="s">
        <v>619</v>
      </c>
      <c r="B399" s="159" t="s">
        <v>475</v>
      </c>
      <c r="C399" s="94" t="s">
        <v>908</v>
      </c>
      <c r="D399" s="93" t="s">
        <v>476</v>
      </c>
      <c r="E399" s="93" t="str">
        <f t="shared" si="1"/>
        <v>NC0400-204-POL</v>
      </c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>
      <c r="A400" s="93" t="s">
        <v>622</v>
      </c>
      <c r="B400" s="159" t="s">
        <v>475</v>
      </c>
      <c r="C400" s="94" t="s">
        <v>912</v>
      </c>
      <c r="D400" s="93" t="s">
        <v>476</v>
      </c>
      <c r="E400" s="93" t="str">
        <f t="shared" si="1"/>
        <v>NC0400-204-CL</v>
      </c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>
      <c r="A401" s="93" t="s">
        <v>624</v>
      </c>
      <c r="B401" s="159" t="s">
        <v>475</v>
      </c>
      <c r="C401" s="94" t="s">
        <v>914</v>
      </c>
      <c r="D401" s="93" t="s">
        <v>476</v>
      </c>
      <c r="E401" s="93" t="str">
        <f t="shared" si="1"/>
        <v>NC0400-204-HH</v>
      </c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>
      <c r="A402" s="93" t="s">
        <v>626</v>
      </c>
      <c r="B402" s="159" t="s">
        <v>475</v>
      </c>
      <c r="C402" s="94" t="s">
        <v>916</v>
      </c>
      <c r="D402" s="93" t="s">
        <v>476</v>
      </c>
      <c r="E402" s="93" t="str">
        <f t="shared" si="1"/>
        <v>NC0400-204-BH</v>
      </c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>
      <c r="A403" s="93" t="s">
        <v>627</v>
      </c>
      <c r="B403" s="159" t="s">
        <v>475</v>
      </c>
      <c r="C403" s="94" t="s">
        <v>918</v>
      </c>
      <c r="D403" s="93" t="s">
        <v>476</v>
      </c>
      <c r="E403" s="93" t="str">
        <f t="shared" si="1"/>
        <v>NC0400-204-FC</v>
      </c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>
      <c r="A404" s="93" t="s">
        <v>629</v>
      </c>
      <c r="B404" s="159" t="s">
        <v>475</v>
      </c>
      <c r="C404" s="94" t="s">
        <v>629</v>
      </c>
      <c r="D404" s="93" t="s">
        <v>476</v>
      </c>
      <c r="E404" s="93" t="str">
        <f t="shared" si="1"/>
        <v>NC0400-204-QC</v>
      </c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>
      <c r="A405" s="93" t="s">
        <v>631</v>
      </c>
      <c r="B405" s="159" t="s">
        <v>475</v>
      </c>
      <c r="C405" s="94" t="s">
        <v>921</v>
      </c>
      <c r="D405" s="93" t="s">
        <v>476</v>
      </c>
      <c r="E405" s="93" t="str">
        <f t="shared" si="1"/>
        <v>NC0400-204-FG</v>
      </c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>
      <c r="A406" s="93"/>
      <c r="B406" s="159"/>
      <c r="C406" s="94"/>
      <c r="D406" s="93" t="s">
        <v>654</v>
      </c>
      <c r="E406" s="93" t="str">
        <f t="shared" si="1"/>
        <v>-</v>
      </c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>
      <c r="A407" s="93"/>
      <c r="B407" s="159"/>
      <c r="C407" s="94"/>
      <c r="D407" s="93" t="s">
        <v>654</v>
      </c>
      <c r="E407" s="93" t="str">
        <f t="shared" si="1"/>
        <v>-</v>
      </c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>
      <c r="A408" s="93"/>
      <c r="B408" s="159"/>
      <c r="C408" s="94"/>
      <c r="D408" s="93" t="s">
        <v>654</v>
      </c>
      <c r="E408" s="93" t="str">
        <f t="shared" si="1"/>
        <v>-</v>
      </c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>
      <c r="A409" s="93"/>
      <c r="B409" s="159"/>
      <c r="C409" s="94"/>
      <c r="D409" s="93" t="s">
        <v>654</v>
      </c>
      <c r="E409" s="93" t="str">
        <f t="shared" si="1"/>
        <v>-</v>
      </c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>
      <c r="A410" s="93"/>
      <c r="B410" s="159"/>
      <c r="C410" s="94"/>
      <c r="D410" s="93" t="s">
        <v>654</v>
      </c>
      <c r="E410" s="93" t="str">
        <f t="shared" si="1"/>
        <v>-</v>
      </c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>
      <c r="A411" s="93"/>
      <c r="B411" s="159"/>
      <c r="C411" s="94"/>
      <c r="D411" s="93" t="s">
        <v>654</v>
      </c>
      <c r="E411" s="93" t="str">
        <f t="shared" si="1"/>
        <v>-</v>
      </c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>
      <c r="A412" s="93"/>
      <c r="B412" s="159"/>
      <c r="C412" s="94"/>
      <c r="D412" s="93" t="s">
        <v>654</v>
      </c>
      <c r="E412" s="93" t="str">
        <f t="shared" si="1"/>
        <v>-</v>
      </c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>
      <c r="A413" s="93"/>
      <c r="B413" s="159"/>
      <c r="C413" s="94"/>
      <c r="D413" s="93" t="s">
        <v>654</v>
      </c>
      <c r="E413" s="93" t="str">
        <f t="shared" si="1"/>
        <v>-</v>
      </c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>
      <c r="A414" s="93"/>
      <c r="B414" s="159"/>
      <c r="C414" s="94"/>
      <c r="D414" s="93" t="s">
        <v>654</v>
      </c>
      <c r="E414" s="93" t="str">
        <f t="shared" si="1"/>
        <v>-</v>
      </c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>
      <c r="A415" s="93"/>
      <c r="B415" s="159"/>
      <c r="C415" s="94"/>
      <c r="D415" s="93" t="s">
        <v>654</v>
      </c>
      <c r="E415" s="93" t="str">
        <f t="shared" si="1"/>
        <v>-</v>
      </c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>
      <c r="A416" s="93"/>
      <c r="B416" s="159"/>
      <c r="C416" s="94"/>
      <c r="D416" s="93" t="s">
        <v>654</v>
      </c>
      <c r="E416" s="93" t="str">
        <f t="shared" si="1"/>
        <v>-</v>
      </c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>
      <c r="A417" s="93"/>
      <c r="B417" s="159"/>
      <c r="C417" s="94"/>
      <c r="D417" s="93" t="s">
        <v>654</v>
      </c>
      <c r="E417" s="93" t="str">
        <f t="shared" si="1"/>
        <v>-</v>
      </c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>
      <c r="A418" s="93"/>
      <c r="B418" s="159"/>
      <c r="C418" s="94"/>
      <c r="D418" s="93" t="s">
        <v>654</v>
      </c>
      <c r="E418" s="93" t="str">
        <f t="shared" si="1"/>
        <v>-</v>
      </c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>
      <c r="A419" s="93"/>
      <c r="B419" s="159"/>
      <c r="C419" s="94"/>
      <c r="D419" s="93" t="s">
        <v>654</v>
      </c>
      <c r="E419" s="93" t="str">
        <f t="shared" si="1"/>
        <v>-</v>
      </c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>
      <c r="A420" s="93"/>
      <c r="B420" s="159"/>
      <c r="C420" s="94"/>
      <c r="D420" s="93" t="s">
        <v>654</v>
      </c>
      <c r="E420" s="93" t="str">
        <f t="shared" si="1"/>
        <v>-</v>
      </c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>
      <c r="A421" s="93"/>
      <c r="B421" s="159"/>
      <c r="C421" s="94"/>
      <c r="D421" s="93" t="s">
        <v>654</v>
      </c>
      <c r="E421" s="93" t="str">
        <f t="shared" si="1"/>
        <v>-</v>
      </c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>
      <c r="A422" s="93"/>
      <c r="B422" s="159"/>
      <c r="C422" s="94"/>
      <c r="D422" s="93" t="s">
        <v>654</v>
      </c>
      <c r="E422" s="93" t="str">
        <f t="shared" si="1"/>
        <v>-</v>
      </c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>
      <c r="A423" s="93"/>
      <c r="B423" s="159"/>
      <c r="C423" s="94"/>
      <c r="D423" s="93" t="s">
        <v>654</v>
      </c>
      <c r="E423" s="93" t="str">
        <f t="shared" si="1"/>
        <v>-</v>
      </c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>
      <c r="A424" s="93"/>
      <c r="B424" s="159"/>
      <c r="C424" s="94"/>
      <c r="D424" s="93" t="s">
        <v>654</v>
      </c>
      <c r="E424" s="93" t="str">
        <f t="shared" si="1"/>
        <v>-</v>
      </c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>
      <c r="A425" s="93"/>
      <c r="B425" s="159"/>
      <c r="C425" s="94"/>
      <c r="D425" s="93" t="s">
        <v>654</v>
      </c>
      <c r="E425" s="93" t="str">
        <f t="shared" si="1"/>
        <v>-</v>
      </c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>
      <c r="A426" s="93"/>
      <c r="B426" s="159"/>
      <c r="C426" s="94"/>
      <c r="D426" s="93" t="s">
        <v>654</v>
      </c>
      <c r="E426" s="93" t="str">
        <f t="shared" si="1"/>
        <v>-</v>
      </c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>
      <c r="A427" s="93"/>
      <c r="B427" s="159"/>
      <c r="C427" s="94"/>
      <c r="D427" s="93" t="s">
        <v>654</v>
      </c>
      <c r="E427" s="93" t="str">
        <f t="shared" si="1"/>
        <v>-</v>
      </c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>
      <c r="A428" s="93"/>
      <c r="B428" s="159"/>
      <c r="C428" s="94"/>
      <c r="D428" s="93" t="s">
        <v>654</v>
      </c>
      <c r="E428" s="93" t="str">
        <f t="shared" si="1"/>
        <v>-</v>
      </c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>
      <c r="A429" s="93"/>
      <c r="B429" s="159"/>
      <c r="C429" s="94"/>
      <c r="D429" s="93" t="s">
        <v>654</v>
      </c>
      <c r="E429" s="93" t="str">
        <f t="shared" si="1"/>
        <v>-</v>
      </c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>
      <c r="A430" s="93"/>
      <c r="B430" s="159"/>
      <c r="C430" s="94"/>
      <c r="D430" s="93" t="s">
        <v>654</v>
      </c>
      <c r="E430" s="93" t="str">
        <f t="shared" si="1"/>
        <v>-</v>
      </c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>
      <c r="A431" s="93"/>
      <c r="B431" s="159"/>
      <c r="C431" s="94"/>
      <c r="D431" s="93" t="s">
        <v>654</v>
      </c>
      <c r="E431" s="93" t="str">
        <f t="shared" si="1"/>
        <v>-</v>
      </c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>
      <c r="A432" s="93"/>
      <c r="B432" s="159"/>
      <c r="C432" s="94"/>
      <c r="D432" s="93" t="s">
        <v>654</v>
      </c>
      <c r="E432" s="93" t="str">
        <f t="shared" si="1"/>
        <v>-</v>
      </c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>
      <c r="A433" s="93"/>
      <c r="B433" s="159"/>
      <c r="C433" s="94"/>
      <c r="D433" s="93" t="s">
        <v>654</v>
      </c>
      <c r="E433" s="93" t="str">
        <f t="shared" si="1"/>
        <v>-</v>
      </c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>
      <c r="A434" s="93"/>
      <c r="B434" s="159"/>
      <c r="C434" s="94"/>
      <c r="D434" s="93" t="s">
        <v>654</v>
      </c>
      <c r="E434" s="93" t="str">
        <f t="shared" si="1"/>
        <v>-</v>
      </c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>
      <c r="A435" s="93"/>
      <c r="B435" s="159"/>
      <c r="C435" s="94"/>
      <c r="D435" s="93" t="s">
        <v>654</v>
      </c>
      <c r="E435" s="93" t="str">
        <f t="shared" si="1"/>
        <v>-</v>
      </c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>
      <c r="A436" s="93"/>
      <c r="B436" s="159"/>
      <c r="C436" s="94"/>
      <c r="D436" s="93" t="s">
        <v>654</v>
      </c>
      <c r="E436" s="93" t="str">
        <f t="shared" si="1"/>
        <v>-</v>
      </c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>
      <c r="A437" s="93"/>
      <c r="B437" s="159"/>
      <c r="C437" s="94"/>
      <c r="D437" s="93" t="s">
        <v>654</v>
      </c>
      <c r="E437" s="93" t="str">
        <f t="shared" si="1"/>
        <v>-</v>
      </c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>
      <c r="A438" s="93"/>
      <c r="B438" s="159"/>
      <c r="C438" s="94"/>
      <c r="D438" s="93" t="s">
        <v>654</v>
      </c>
      <c r="E438" s="93" t="str">
        <f t="shared" si="1"/>
        <v>-</v>
      </c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>
      <c r="A439" s="93"/>
      <c r="B439" s="159"/>
      <c r="C439" s="94"/>
      <c r="D439" s="93" t="s">
        <v>654</v>
      </c>
      <c r="E439" s="93" t="str">
        <f t="shared" si="1"/>
        <v>-</v>
      </c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>
      <c r="A440" s="93"/>
      <c r="B440" s="159"/>
      <c r="C440" s="94"/>
      <c r="D440" s="93" t="s">
        <v>654</v>
      </c>
      <c r="E440" s="93" t="str">
        <f t="shared" si="1"/>
        <v>-</v>
      </c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>
      <c r="A441" s="93"/>
      <c r="B441" s="159"/>
      <c r="C441" s="94"/>
      <c r="D441" s="93" t="s">
        <v>654</v>
      </c>
      <c r="E441" s="93" t="str">
        <f t="shared" si="1"/>
        <v>-</v>
      </c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>
      <c r="A442" s="93"/>
      <c r="B442" s="159"/>
      <c r="C442" s="94"/>
      <c r="D442" s="93" t="s">
        <v>654</v>
      </c>
      <c r="E442" s="93" t="str">
        <f t="shared" si="1"/>
        <v>-</v>
      </c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>
      <c r="A443" s="93"/>
      <c r="B443" s="159"/>
      <c r="C443" s="94"/>
      <c r="D443" s="93" t="s">
        <v>654</v>
      </c>
      <c r="E443" s="93" t="str">
        <f t="shared" si="1"/>
        <v>-</v>
      </c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>
      <c r="A444" s="93"/>
      <c r="B444" s="159"/>
      <c r="C444" s="94"/>
      <c r="D444" s="93" t="s">
        <v>654</v>
      </c>
      <c r="E444" s="93" t="str">
        <f t="shared" si="1"/>
        <v>-</v>
      </c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>
      <c r="A445" s="93"/>
      <c r="B445" s="159"/>
      <c r="C445" s="94"/>
      <c r="D445" s="93" t="s">
        <v>654</v>
      </c>
      <c r="E445" s="93" t="str">
        <f t="shared" si="1"/>
        <v>-</v>
      </c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>
      <c r="A446" s="93"/>
      <c r="B446" s="159"/>
      <c r="C446" s="94"/>
      <c r="D446" s="93" t="s">
        <v>654</v>
      </c>
      <c r="E446" s="93" t="str">
        <f t="shared" si="1"/>
        <v>-</v>
      </c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>
      <c r="A447" s="93"/>
      <c r="B447" s="159"/>
      <c r="C447" s="94"/>
      <c r="D447" s="93" t="s">
        <v>654</v>
      </c>
      <c r="E447" s="93" t="str">
        <f t="shared" si="1"/>
        <v>-</v>
      </c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>
      <c r="A448" s="93"/>
      <c r="B448" s="159"/>
      <c r="C448" s="94"/>
      <c r="D448" s="93" t="s">
        <v>654</v>
      </c>
      <c r="E448" s="93" t="str">
        <f t="shared" si="1"/>
        <v>-</v>
      </c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>
      <c r="A449" s="93"/>
      <c r="B449" s="159"/>
      <c r="C449" s="94"/>
      <c r="D449" s="93" t="s">
        <v>654</v>
      </c>
      <c r="E449" s="93" t="str">
        <f t="shared" si="1"/>
        <v>-</v>
      </c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>
      <c r="A450" s="93"/>
      <c r="B450" s="159"/>
      <c r="C450" s="94"/>
      <c r="D450" s="93" t="s">
        <v>654</v>
      </c>
      <c r="E450" s="93" t="str">
        <f t="shared" si="1"/>
        <v>-</v>
      </c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>
      <c r="A451" s="93"/>
      <c r="B451" s="159"/>
      <c r="C451" s="94"/>
      <c r="D451" s="93" t="s">
        <v>654</v>
      </c>
      <c r="E451" s="93" t="str">
        <f t="shared" si="1"/>
        <v>-</v>
      </c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>
      <c r="A452" s="93"/>
      <c r="B452" s="159"/>
      <c r="C452" s="94"/>
      <c r="D452" s="93" t="s">
        <v>654</v>
      </c>
      <c r="E452" s="93" t="str">
        <f t="shared" si="1"/>
        <v>-</v>
      </c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>
      <c r="A453" s="93"/>
      <c r="B453" s="159"/>
      <c r="C453" s="94"/>
      <c r="D453" s="93" t="s">
        <v>654</v>
      </c>
      <c r="E453" s="93" t="str">
        <f t="shared" si="1"/>
        <v>-</v>
      </c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>
      <c r="A454" s="93"/>
      <c r="B454" s="159"/>
      <c r="C454" s="94"/>
      <c r="D454" s="93" t="s">
        <v>654</v>
      </c>
      <c r="E454" s="93" t="str">
        <f t="shared" si="1"/>
        <v>-</v>
      </c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>
      <c r="A455" s="93"/>
      <c r="B455" s="159"/>
      <c r="C455" s="94"/>
      <c r="D455" s="93" t="s">
        <v>654</v>
      </c>
      <c r="E455" s="93" t="str">
        <f t="shared" si="1"/>
        <v>-</v>
      </c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>
      <c r="A456" s="93"/>
      <c r="B456" s="159"/>
      <c r="C456" s="94"/>
      <c r="D456" s="93" t="s">
        <v>654</v>
      </c>
      <c r="E456" s="93" t="str">
        <f t="shared" si="1"/>
        <v>-</v>
      </c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>
      <c r="A457" s="93"/>
      <c r="B457" s="159"/>
      <c r="C457" s="94"/>
      <c r="D457" s="93" t="s">
        <v>654</v>
      </c>
      <c r="E457" s="93" t="str">
        <f t="shared" si="1"/>
        <v>-</v>
      </c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>
      <c r="A458" s="93"/>
      <c r="B458" s="159"/>
      <c r="C458" s="94"/>
      <c r="D458" s="93" t="s">
        <v>654</v>
      </c>
      <c r="E458" s="93" t="str">
        <f t="shared" si="1"/>
        <v>-</v>
      </c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>
      <c r="A459" s="93"/>
      <c r="B459" s="159"/>
      <c r="C459" s="94"/>
      <c r="D459" s="93" t="s">
        <v>654</v>
      </c>
      <c r="E459" s="93" t="str">
        <f t="shared" si="1"/>
        <v>-</v>
      </c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>
      <c r="A460" s="93"/>
      <c r="B460" s="159"/>
      <c r="C460" s="94"/>
      <c r="D460" s="93" t="s">
        <v>654</v>
      </c>
      <c r="E460" s="93" t="str">
        <f t="shared" si="1"/>
        <v>-</v>
      </c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>
      <c r="A461" s="93"/>
      <c r="B461" s="159"/>
      <c r="C461" s="94"/>
      <c r="D461" s="93" t="s">
        <v>654</v>
      </c>
      <c r="E461" s="93" t="str">
        <f t="shared" si="1"/>
        <v>-</v>
      </c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>
      <c r="A462" s="93"/>
      <c r="B462" s="159"/>
      <c r="C462" s="94"/>
      <c r="D462" s="93" t="s">
        <v>654</v>
      </c>
      <c r="E462" s="93" t="str">
        <f t="shared" si="1"/>
        <v>-</v>
      </c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>
      <c r="A463" s="93"/>
      <c r="B463" s="159"/>
      <c r="C463" s="94"/>
      <c r="D463" s="93" t="s">
        <v>654</v>
      </c>
      <c r="E463" s="93" t="str">
        <f t="shared" si="1"/>
        <v>-</v>
      </c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>
      <c r="A464" s="93"/>
      <c r="B464" s="159"/>
      <c r="C464" s="94"/>
      <c r="D464" s="93" t="s">
        <v>654</v>
      </c>
      <c r="E464" s="93" t="str">
        <f t="shared" si="1"/>
        <v>-</v>
      </c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>
      <c r="A465" s="93"/>
      <c r="B465" s="159"/>
      <c r="C465" s="94"/>
      <c r="D465" s="93" t="s">
        <v>654</v>
      </c>
      <c r="E465" s="93" t="str">
        <f t="shared" si="1"/>
        <v>-</v>
      </c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>
      <c r="A466" s="93"/>
      <c r="B466" s="159"/>
      <c r="C466" s="94"/>
      <c r="D466" s="93" t="s">
        <v>654</v>
      </c>
      <c r="E466" s="93" t="str">
        <f t="shared" si="1"/>
        <v>-</v>
      </c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>
      <c r="A467" s="93"/>
      <c r="B467" s="159"/>
      <c r="C467" s="94"/>
      <c r="D467" s="93" t="s">
        <v>654</v>
      </c>
      <c r="E467" s="93" t="str">
        <f t="shared" si="1"/>
        <v>-</v>
      </c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>
      <c r="A468" s="93"/>
      <c r="B468" s="159"/>
      <c r="C468" s="94"/>
      <c r="D468" s="93" t="s">
        <v>654</v>
      </c>
      <c r="E468" s="93" t="str">
        <f t="shared" si="1"/>
        <v>-</v>
      </c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>
      <c r="A469" s="93"/>
      <c r="B469" s="159"/>
      <c r="C469" s="94"/>
      <c r="D469" s="93" t="s">
        <v>654</v>
      </c>
      <c r="E469" s="93" t="str">
        <f t="shared" si="1"/>
        <v>-</v>
      </c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>
      <c r="A470" s="93"/>
      <c r="B470" s="159"/>
      <c r="C470" s="94"/>
      <c r="D470" s="93" t="s">
        <v>654</v>
      </c>
      <c r="E470" s="93" t="str">
        <f t="shared" si="1"/>
        <v>-</v>
      </c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>
      <c r="A471" s="93"/>
      <c r="B471" s="159"/>
      <c r="C471" s="94"/>
      <c r="D471" s="93" t="s">
        <v>654</v>
      </c>
      <c r="E471" s="93" t="str">
        <f t="shared" si="1"/>
        <v>-</v>
      </c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>
      <c r="A472" s="93"/>
      <c r="B472" s="159"/>
      <c r="C472" s="94"/>
      <c r="D472" s="93" t="s">
        <v>654</v>
      </c>
      <c r="E472" s="93" t="str">
        <f t="shared" si="1"/>
        <v>-</v>
      </c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>
      <c r="A473" s="93"/>
      <c r="B473" s="159"/>
      <c r="C473" s="94"/>
      <c r="D473" s="93" t="s">
        <v>654</v>
      </c>
      <c r="E473" s="93" t="str">
        <f t="shared" si="1"/>
        <v>-</v>
      </c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>
      <c r="A474" s="93"/>
      <c r="B474" s="159"/>
      <c r="C474" s="94"/>
      <c r="D474" s="93" t="s">
        <v>654</v>
      </c>
      <c r="E474" s="93" t="str">
        <f t="shared" si="1"/>
        <v>-</v>
      </c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>
      <c r="A475" s="93"/>
      <c r="B475" s="159"/>
      <c r="C475" s="94"/>
      <c r="D475" s="93" t="s">
        <v>654</v>
      </c>
      <c r="E475" s="93" t="str">
        <f t="shared" si="1"/>
        <v>-</v>
      </c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>
      <c r="A476" s="93"/>
      <c r="B476" s="159"/>
      <c r="C476" s="94"/>
      <c r="D476" s="93" t="s">
        <v>654</v>
      </c>
      <c r="E476" s="93" t="str">
        <f t="shared" si="1"/>
        <v>-</v>
      </c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>
      <c r="A477" s="93"/>
      <c r="B477" s="159"/>
      <c r="C477" s="94"/>
      <c r="D477" s="93" t="s">
        <v>654</v>
      </c>
      <c r="E477" s="93" t="str">
        <f t="shared" si="1"/>
        <v>-</v>
      </c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>
      <c r="A478" s="93"/>
      <c r="B478" s="159"/>
      <c r="C478" s="94"/>
      <c r="D478" s="93" t="s">
        <v>654</v>
      </c>
      <c r="E478" s="93" t="str">
        <f t="shared" si="1"/>
        <v>-</v>
      </c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>
      <c r="A479" s="93"/>
      <c r="B479" s="159"/>
      <c r="C479" s="94"/>
      <c r="D479" s="93" t="s">
        <v>654</v>
      </c>
      <c r="E479" s="93" t="str">
        <f t="shared" si="1"/>
        <v>-</v>
      </c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>
      <c r="A480" s="93"/>
      <c r="B480" s="159"/>
      <c r="C480" s="94"/>
      <c r="D480" s="93" t="s">
        <v>654</v>
      </c>
      <c r="E480" s="93" t="str">
        <f t="shared" si="1"/>
        <v>-</v>
      </c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>
      <c r="A481" s="93"/>
      <c r="B481" s="159"/>
      <c r="C481" s="94"/>
      <c r="D481" s="93" t="s">
        <v>654</v>
      </c>
      <c r="E481" s="93" t="str">
        <f t="shared" si="1"/>
        <v>-</v>
      </c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>
      <c r="A482" s="93"/>
      <c r="B482" s="159"/>
      <c r="C482" s="94"/>
      <c r="D482" s="93" t="s">
        <v>654</v>
      </c>
      <c r="E482" s="93" t="str">
        <f t="shared" si="1"/>
        <v>-</v>
      </c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>
      <c r="A483" s="93"/>
      <c r="B483" s="159"/>
      <c r="C483" s="94"/>
      <c r="D483" s="93" t="s">
        <v>654</v>
      </c>
      <c r="E483" s="93" t="str">
        <f t="shared" si="1"/>
        <v>-</v>
      </c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>
      <c r="A484" s="93"/>
      <c r="B484" s="159"/>
      <c r="C484" s="94"/>
      <c r="D484" s="93" t="s">
        <v>654</v>
      </c>
      <c r="E484" s="93" t="str">
        <f t="shared" si="1"/>
        <v>-</v>
      </c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>
      <c r="A485" s="93"/>
      <c r="B485" s="159"/>
      <c r="C485" s="94"/>
      <c r="D485" s="93" t="s">
        <v>654</v>
      </c>
      <c r="E485" s="93" t="str">
        <f t="shared" si="1"/>
        <v>-</v>
      </c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>
      <c r="A486" s="93"/>
      <c r="B486" s="159"/>
      <c r="C486" s="94"/>
      <c r="D486" s="93" t="s">
        <v>654</v>
      </c>
      <c r="E486" s="93" t="str">
        <f t="shared" si="1"/>
        <v>-</v>
      </c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>
      <c r="A487" s="93"/>
      <c r="B487" s="159"/>
      <c r="C487" s="94"/>
      <c r="D487" s="93" t="s">
        <v>654</v>
      </c>
      <c r="E487" s="93" t="str">
        <f t="shared" si="1"/>
        <v>-</v>
      </c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>
      <c r="A488" s="93"/>
      <c r="B488" s="159"/>
      <c r="C488" s="94"/>
      <c r="D488" s="93" t="s">
        <v>654</v>
      </c>
      <c r="E488" s="93" t="str">
        <f t="shared" si="1"/>
        <v>-</v>
      </c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>
      <c r="A489" s="93"/>
      <c r="B489" s="159"/>
      <c r="C489" s="94"/>
      <c r="D489" s="93" t="s">
        <v>654</v>
      </c>
      <c r="E489" s="93" t="str">
        <f t="shared" si="1"/>
        <v>-</v>
      </c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>
      <c r="A490" s="93"/>
      <c r="B490" s="159"/>
      <c r="C490" s="94"/>
      <c r="D490" s="93" t="s">
        <v>654</v>
      </c>
      <c r="E490" s="93" t="str">
        <f t="shared" si="1"/>
        <v>-</v>
      </c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>
      <c r="A491" s="93"/>
      <c r="B491" s="159"/>
      <c r="C491" s="94"/>
      <c r="D491" s="93" t="s">
        <v>654</v>
      </c>
      <c r="E491" s="93" t="str">
        <f t="shared" si="1"/>
        <v>-</v>
      </c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>
      <c r="A492" s="93"/>
      <c r="B492" s="159"/>
      <c r="C492" s="94"/>
      <c r="D492" s="93" t="s">
        <v>654</v>
      </c>
      <c r="E492" s="93" t="str">
        <f t="shared" si="1"/>
        <v>-</v>
      </c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>
      <c r="A493" s="93"/>
      <c r="B493" s="159"/>
      <c r="C493" s="94"/>
      <c r="D493" s="93" t="s">
        <v>654</v>
      </c>
      <c r="E493" s="93" t="str">
        <f t="shared" si="1"/>
        <v>-</v>
      </c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>
      <c r="A494" s="93"/>
      <c r="B494" s="159"/>
      <c r="C494" s="94"/>
      <c r="D494" s="93" t="s">
        <v>654</v>
      </c>
      <c r="E494" s="93" t="str">
        <f t="shared" si="1"/>
        <v>-</v>
      </c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>
      <c r="A495" s="93"/>
      <c r="B495" s="159"/>
      <c r="C495" s="94"/>
      <c r="D495" s="93" t="s">
        <v>654</v>
      </c>
      <c r="E495" s="93" t="str">
        <f t="shared" si="1"/>
        <v>-</v>
      </c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>
      <c r="A496" s="93"/>
      <c r="B496" s="159"/>
      <c r="C496" s="94"/>
      <c r="D496" s="93" t="s">
        <v>654</v>
      </c>
      <c r="E496" s="93" t="str">
        <f t="shared" si="1"/>
        <v>-</v>
      </c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>
      <c r="A497" s="93"/>
      <c r="B497" s="159"/>
      <c r="C497" s="94"/>
      <c r="D497" s="93" t="s">
        <v>654</v>
      </c>
      <c r="E497" s="93" t="str">
        <f t="shared" si="1"/>
        <v>-</v>
      </c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>
      <c r="A498" s="93"/>
      <c r="B498" s="159"/>
      <c r="C498" s="94"/>
      <c r="D498" s="93" t="s">
        <v>654</v>
      </c>
      <c r="E498" s="93" t="str">
        <f t="shared" si="1"/>
        <v>-</v>
      </c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>
      <c r="A499" s="93"/>
      <c r="B499" s="159"/>
      <c r="C499" s="94"/>
      <c r="D499" s="93" t="s">
        <v>654</v>
      </c>
      <c r="E499" s="93" t="str">
        <f t="shared" si="1"/>
        <v>-</v>
      </c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>
      <c r="A500" s="93"/>
      <c r="B500" s="159"/>
      <c r="C500" s="94"/>
      <c r="D500" s="93" t="s">
        <v>654</v>
      </c>
      <c r="E500" s="93" t="str">
        <f t="shared" si="1"/>
        <v>-</v>
      </c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>
      <c r="A501" s="93"/>
      <c r="B501" s="159"/>
      <c r="C501" s="94"/>
      <c r="D501" s="93" t="s">
        <v>654</v>
      </c>
      <c r="E501" s="93" t="str">
        <f t="shared" si="1"/>
        <v>-</v>
      </c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>
      <c r="A502" s="93"/>
      <c r="B502" s="159"/>
      <c r="C502" s="94"/>
      <c r="D502" s="93" t="s">
        <v>654</v>
      </c>
      <c r="E502" s="93" t="str">
        <f t="shared" si="1"/>
        <v>-</v>
      </c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>
      <c r="A503" s="93"/>
      <c r="B503" s="159"/>
      <c r="C503" s="94"/>
      <c r="D503" s="93" t="s">
        <v>654</v>
      </c>
      <c r="E503" s="93" t="str">
        <f t="shared" si="1"/>
        <v>-</v>
      </c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>
      <c r="A504" s="93"/>
      <c r="B504" s="159"/>
      <c r="C504" s="94"/>
      <c r="D504" s="93" t="s">
        <v>654</v>
      </c>
      <c r="E504" s="93" t="str">
        <f t="shared" si="1"/>
        <v>-</v>
      </c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>
      <c r="A505" s="93"/>
      <c r="B505" s="159"/>
      <c r="C505" s="94"/>
      <c r="D505" s="93" t="s">
        <v>654</v>
      </c>
      <c r="E505" s="93" t="str">
        <f t="shared" si="1"/>
        <v>-</v>
      </c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>
      <c r="A506" s="93"/>
      <c r="B506" s="159"/>
      <c r="C506" s="94"/>
      <c r="D506" s="93" t="s">
        <v>654</v>
      </c>
      <c r="E506" s="93" t="str">
        <f t="shared" si="1"/>
        <v>-</v>
      </c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>
      <c r="A507" s="93"/>
      <c r="B507" s="159"/>
      <c r="C507" s="94"/>
      <c r="D507" s="93" t="s">
        <v>654</v>
      </c>
      <c r="E507" s="93" t="str">
        <f t="shared" si="1"/>
        <v>-</v>
      </c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>
      <c r="A508" s="93"/>
      <c r="B508" s="159"/>
      <c r="C508" s="94"/>
      <c r="D508" s="93" t="s">
        <v>654</v>
      </c>
      <c r="E508" s="93" t="str">
        <f t="shared" si="1"/>
        <v>-</v>
      </c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>
      <c r="A509" s="93"/>
      <c r="B509" s="159"/>
      <c r="C509" s="94"/>
      <c r="D509" s="93" t="s">
        <v>654</v>
      </c>
      <c r="E509" s="93" t="str">
        <f t="shared" si="1"/>
        <v>-</v>
      </c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>
      <c r="A510" s="93"/>
      <c r="B510" s="159"/>
      <c r="C510" s="94"/>
      <c r="D510" s="93" t="s">
        <v>654</v>
      </c>
      <c r="E510" s="93" t="str">
        <f t="shared" si="1"/>
        <v>-</v>
      </c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>
      <c r="A511" s="93"/>
      <c r="B511" s="159"/>
      <c r="C511" s="94"/>
      <c r="D511" s="93" t="s">
        <v>654</v>
      </c>
      <c r="E511" s="93" t="str">
        <f t="shared" si="1"/>
        <v>-</v>
      </c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>
      <c r="A512" s="93"/>
      <c r="B512" s="159"/>
      <c r="C512" s="94"/>
      <c r="D512" s="93" t="s">
        <v>654</v>
      </c>
      <c r="E512" s="93" t="str">
        <f t="shared" si="1"/>
        <v>-</v>
      </c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>
      <c r="A513" s="93"/>
      <c r="B513" s="159"/>
      <c r="C513" s="94"/>
      <c r="D513" s="93" t="s">
        <v>654</v>
      </c>
      <c r="E513" s="93" t="str">
        <f t="shared" si="1"/>
        <v>-</v>
      </c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>
      <c r="A514" s="93"/>
      <c r="B514" s="159"/>
      <c r="C514" s="94"/>
      <c r="D514" s="93" t="s">
        <v>654</v>
      </c>
      <c r="E514" s="93" t="str">
        <f t="shared" si="1"/>
        <v>-</v>
      </c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>
      <c r="A515" s="93"/>
      <c r="B515" s="159"/>
      <c r="C515" s="94"/>
      <c r="D515" s="93" t="s">
        <v>654</v>
      </c>
      <c r="E515" s="93" t="str">
        <f t="shared" si="1"/>
        <v>-</v>
      </c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>
      <c r="A516" s="93"/>
      <c r="B516" s="159"/>
      <c r="C516" s="94"/>
      <c r="D516" s="93" t="s">
        <v>654</v>
      </c>
      <c r="E516" s="93" t="str">
        <f t="shared" si="1"/>
        <v>-</v>
      </c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>
      <c r="A517" s="93"/>
      <c r="B517" s="159"/>
      <c r="C517" s="94"/>
      <c r="D517" s="93" t="s">
        <v>654</v>
      </c>
      <c r="E517" s="93" t="str">
        <f t="shared" si="1"/>
        <v>-</v>
      </c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>
      <c r="A518" s="93"/>
      <c r="B518" s="159"/>
      <c r="C518" s="94"/>
      <c r="D518" s="93" t="s">
        <v>654</v>
      </c>
      <c r="E518" s="93" t="str">
        <f t="shared" si="1"/>
        <v>-</v>
      </c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>
      <c r="A519" s="93"/>
      <c r="B519" s="159"/>
      <c r="C519" s="94"/>
      <c r="D519" s="93" t="s">
        <v>654</v>
      </c>
      <c r="E519" s="93" t="str">
        <f t="shared" si="1"/>
        <v>-</v>
      </c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>
      <c r="A520" s="93"/>
      <c r="B520" s="159"/>
      <c r="C520" s="94"/>
      <c r="D520" s="93" t="s">
        <v>654</v>
      </c>
      <c r="E520" s="93" t="str">
        <f t="shared" si="1"/>
        <v>-</v>
      </c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>
      <c r="A521" s="93"/>
      <c r="B521" s="159"/>
      <c r="C521" s="94"/>
      <c r="D521" s="93" t="s">
        <v>654</v>
      </c>
      <c r="E521" s="93" t="str">
        <f t="shared" si="1"/>
        <v>-</v>
      </c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>
      <c r="A522" s="93"/>
      <c r="B522" s="159"/>
      <c r="C522" s="94"/>
      <c r="D522" s="93" t="s">
        <v>654</v>
      </c>
      <c r="E522" s="93" t="str">
        <f t="shared" si="1"/>
        <v>-</v>
      </c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>
      <c r="A523" s="93"/>
      <c r="B523" s="159"/>
      <c r="C523" s="94"/>
      <c r="D523" s="93" t="s">
        <v>654</v>
      </c>
      <c r="E523" s="93" t="str">
        <f t="shared" si="1"/>
        <v>-</v>
      </c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>
      <c r="A524" s="93"/>
      <c r="B524" s="159"/>
      <c r="C524" s="94"/>
      <c r="D524" s="93" t="s">
        <v>654</v>
      </c>
      <c r="E524" s="93" t="str">
        <f t="shared" si="1"/>
        <v>-</v>
      </c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>
      <c r="A525" s="93"/>
      <c r="B525" s="159"/>
      <c r="C525" s="94"/>
      <c r="D525" s="93" t="s">
        <v>654</v>
      </c>
      <c r="E525" s="93" t="str">
        <f t="shared" si="1"/>
        <v>-</v>
      </c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>
      <c r="A526" s="93"/>
      <c r="B526" s="159"/>
      <c r="C526" s="94"/>
      <c r="D526" s="93" t="s">
        <v>654</v>
      </c>
      <c r="E526" s="93" t="str">
        <f t="shared" si="1"/>
        <v>-</v>
      </c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>
      <c r="A527" s="93"/>
      <c r="B527" s="159"/>
      <c r="C527" s="94"/>
      <c r="D527" s="93" t="s">
        <v>654</v>
      </c>
      <c r="E527" s="93" t="str">
        <f t="shared" si="1"/>
        <v>-</v>
      </c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>
      <c r="A528" s="93"/>
      <c r="B528" s="159"/>
      <c r="C528" s="94"/>
      <c r="D528" s="93" t="s">
        <v>654</v>
      </c>
      <c r="E528" s="93" t="str">
        <f t="shared" si="1"/>
        <v>-</v>
      </c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>
      <c r="A529" s="93"/>
      <c r="B529" s="159"/>
      <c r="C529" s="94"/>
      <c r="D529" s="93" t="s">
        <v>654</v>
      </c>
      <c r="E529" s="93" t="str">
        <f t="shared" si="1"/>
        <v>-</v>
      </c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>
      <c r="A530" s="93"/>
      <c r="B530" s="159"/>
      <c r="C530" s="94"/>
      <c r="D530" s="93" t="s">
        <v>654</v>
      </c>
      <c r="E530" s="93" t="str">
        <f t="shared" si="1"/>
        <v>-</v>
      </c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>
      <c r="A531" s="93"/>
      <c r="B531" s="159"/>
      <c r="C531" s="94"/>
      <c r="D531" s="93" t="s">
        <v>654</v>
      </c>
      <c r="E531" s="93" t="str">
        <f t="shared" si="1"/>
        <v>-</v>
      </c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>
      <c r="A532" s="93"/>
      <c r="B532" s="159"/>
      <c r="C532" s="94"/>
      <c r="D532" s="93" t="s">
        <v>654</v>
      </c>
      <c r="E532" s="93" t="str">
        <f t="shared" si="1"/>
        <v>-</v>
      </c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>
      <c r="A533" s="93"/>
      <c r="B533" s="159"/>
      <c r="C533" s="94"/>
      <c r="D533" s="93" t="s">
        <v>654</v>
      </c>
      <c r="E533" s="93" t="str">
        <f t="shared" si="1"/>
        <v>-</v>
      </c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>
      <c r="A534" s="93"/>
      <c r="B534" s="159"/>
      <c r="C534" s="94"/>
      <c r="D534" s="93" t="s">
        <v>654</v>
      </c>
      <c r="E534" s="93" t="str">
        <f t="shared" si="1"/>
        <v>-</v>
      </c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>
      <c r="A535" s="93"/>
      <c r="B535" s="159"/>
      <c r="C535" s="94"/>
      <c r="D535" s="93" t="s">
        <v>654</v>
      </c>
      <c r="E535" s="93" t="str">
        <f t="shared" si="1"/>
        <v>-</v>
      </c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>
      <c r="A536" s="93"/>
      <c r="B536" s="159"/>
      <c r="C536" s="94"/>
      <c r="D536" s="93" t="s">
        <v>654</v>
      </c>
      <c r="E536" s="93" t="str">
        <f t="shared" si="1"/>
        <v>-</v>
      </c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>
      <c r="A537" s="93"/>
      <c r="B537" s="159"/>
      <c r="C537" s="94"/>
      <c r="D537" s="93" t="s">
        <v>654</v>
      </c>
      <c r="E537" s="93" t="str">
        <f t="shared" si="1"/>
        <v>-</v>
      </c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>
      <c r="A538" s="93"/>
      <c r="B538" s="159"/>
      <c r="C538" s="94"/>
      <c r="D538" s="93" t="s">
        <v>654</v>
      </c>
      <c r="E538" s="93" t="str">
        <f t="shared" si="1"/>
        <v>-</v>
      </c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>
      <c r="A539" s="93"/>
      <c r="B539" s="159"/>
      <c r="C539" s="94"/>
      <c r="D539" s="93" t="s">
        <v>654</v>
      </c>
      <c r="E539" s="93" t="str">
        <f t="shared" si="1"/>
        <v>-</v>
      </c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>
      <c r="A540" s="93"/>
      <c r="B540" s="159"/>
      <c r="C540" s="94"/>
      <c r="D540" s="93" t="s">
        <v>654</v>
      </c>
      <c r="E540" s="93" t="str">
        <f t="shared" si="1"/>
        <v>-</v>
      </c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>
      <c r="A541" s="93"/>
      <c r="B541" s="159"/>
      <c r="C541" s="94"/>
      <c r="D541" s="93" t="s">
        <v>654</v>
      </c>
      <c r="E541" s="93" t="str">
        <f t="shared" si="1"/>
        <v>-</v>
      </c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>
      <c r="A542" s="93"/>
      <c r="B542" s="159"/>
      <c r="C542" s="94"/>
      <c r="D542" s="93" t="s">
        <v>654</v>
      </c>
      <c r="E542" s="93" t="str">
        <f t="shared" si="1"/>
        <v>-</v>
      </c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>
      <c r="A543" s="93"/>
      <c r="B543" s="159"/>
      <c r="C543" s="94"/>
      <c r="D543" s="93" t="s">
        <v>654</v>
      </c>
      <c r="E543" s="93" t="str">
        <f t="shared" si="1"/>
        <v>-</v>
      </c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>
      <c r="A544" s="93"/>
      <c r="B544" s="159"/>
      <c r="C544" s="94"/>
      <c r="D544" s="93" t="s">
        <v>654</v>
      </c>
      <c r="E544" s="93" t="str">
        <f t="shared" si="1"/>
        <v>-</v>
      </c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>
      <c r="A545" s="93"/>
      <c r="B545" s="159"/>
      <c r="C545" s="94"/>
      <c r="D545" s="93" t="s">
        <v>654</v>
      </c>
      <c r="E545" s="93" t="str">
        <f t="shared" si="1"/>
        <v>-</v>
      </c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>
      <c r="A546" s="93"/>
      <c r="B546" s="159"/>
      <c r="C546" s="94"/>
      <c r="D546" s="93" t="s">
        <v>654</v>
      </c>
      <c r="E546" s="93" t="str">
        <f t="shared" si="1"/>
        <v>-</v>
      </c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>
      <c r="A547" s="93"/>
      <c r="B547" s="159"/>
      <c r="C547" s="94"/>
      <c r="D547" s="93" t="s">
        <v>654</v>
      </c>
      <c r="E547" s="93" t="str">
        <f t="shared" si="1"/>
        <v>-</v>
      </c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>
      <c r="A548" s="93"/>
      <c r="B548" s="159"/>
      <c r="C548" s="94"/>
      <c r="D548" s="93" t="s">
        <v>654</v>
      </c>
      <c r="E548" s="93" t="str">
        <f t="shared" si="1"/>
        <v>-</v>
      </c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>
      <c r="A549" s="93"/>
      <c r="B549" s="159"/>
      <c r="C549" s="94"/>
      <c r="D549" s="93" t="s">
        <v>654</v>
      </c>
      <c r="E549" s="93" t="str">
        <f t="shared" si="1"/>
        <v>-</v>
      </c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>
      <c r="A550" s="93"/>
      <c r="B550" s="159"/>
      <c r="C550" s="94"/>
      <c r="D550" s="93" t="s">
        <v>654</v>
      </c>
      <c r="E550" s="93" t="str">
        <f t="shared" si="1"/>
        <v>-</v>
      </c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>
      <c r="A551" s="93"/>
      <c r="B551" s="159"/>
      <c r="C551" s="94"/>
      <c r="D551" s="93" t="s">
        <v>654</v>
      </c>
      <c r="E551" s="93" t="str">
        <f t="shared" si="1"/>
        <v>-</v>
      </c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>
      <c r="A552" s="93"/>
      <c r="B552" s="159"/>
      <c r="C552" s="94"/>
      <c r="D552" s="93" t="s">
        <v>654</v>
      </c>
      <c r="E552" s="93" t="str">
        <f t="shared" si="1"/>
        <v>-</v>
      </c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>
      <c r="A553" s="93"/>
      <c r="B553" s="159"/>
      <c r="C553" s="94"/>
      <c r="D553" s="93" t="s">
        <v>654</v>
      </c>
      <c r="E553" s="93" t="str">
        <f t="shared" si="1"/>
        <v>-</v>
      </c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>
      <c r="A554" s="93"/>
      <c r="B554" s="159"/>
      <c r="C554" s="94"/>
      <c r="D554" s="93" t="s">
        <v>654</v>
      </c>
      <c r="E554" s="93" t="str">
        <f t="shared" si="1"/>
        <v>-</v>
      </c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>
      <c r="A555" s="93"/>
      <c r="B555" s="159"/>
      <c r="C555" s="94"/>
      <c r="D555" s="93" t="s">
        <v>654</v>
      </c>
      <c r="E555" s="93" t="str">
        <f t="shared" si="1"/>
        <v>-</v>
      </c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>
      <c r="A556" s="93"/>
      <c r="B556" s="159"/>
      <c r="C556" s="94"/>
      <c r="D556" s="93" t="s">
        <v>654</v>
      </c>
      <c r="E556" s="93" t="str">
        <f t="shared" si="1"/>
        <v>-</v>
      </c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>
      <c r="A557" s="93"/>
      <c r="B557" s="159"/>
      <c r="C557" s="94"/>
      <c r="D557" s="93" t="s">
        <v>654</v>
      </c>
      <c r="E557" s="93" t="str">
        <f t="shared" si="1"/>
        <v>-</v>
      </c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>
      <c r="A558" s="93"/>
      <c r="B558" s="159"/>
      <c r="C558" s="94"/>
      <c r="D558" s="93" t="s">
        <v>654</v>
      </c>
      <c r="E558" s="93" t="str">
        <f t="shared" si="1"/>
        <v>-</v>
      </c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>
      <c r="A559" s="93"/>
      <c r="B559" s="159"/>
      <c r="C559" s="94"/>
      <c r="D559" s="93" t="s">
        <v>654</v>
      </c>
      <c r="E559" s="93" t="str">
        <f t="shared" si="1"/>
        <v>-</v>
      </c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>
      <c r="A560" s="96"/>
      <c r="B560" s="160"/>
      <c r="C560" s="96"/>
      <c r="D560" s="96" t="s">
        <v>654</v>
      </c>
      <c r="E560" s="93" t="str">
        <f t="shared" si="1"/>
        <v>-</v>
      </c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>
      <c r="A561" s="96"/>
      <c r="B561" s="160"/>
      <c r="C561" s="96"/>
      <c r="D561" s="96" t="s">
        <v>654</v>
      </c>
      <c r="E561" s="93" t="str">
        <f t="shared" si="1"/>
        <v>-</v>
      </c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>
      <c r="A562" s="96"/>
      <c r="B562" s="160"/>
      <c r="C562" s="96"/>
      <c r="D562" s="96" t="s">
        <v>654</v>
      </c>
      <c r="E562" s="93" t="str">
        <f t="shared" si="1"/>
        <v>-</v>
      </c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>
      <c r="A563" s="96"/>
      <c r="B563" s="160"/>
      <c r="C563" s="96"/>
      <c r="D563" s="96" t="s">
        <v>654</v>
      </c>
      <c r="E563" s="93" t="str">
        <f t="shared" si="1"/>
        <v>-</v>
      </c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>
      <c r="A564" s="96"/>
      <c r="B564" s="160"/>
      <c r="C564" s="96"/>
      <c r="D564" s="96" t="s">
        <v>654</v>
      </c>
      <c r="E564" s="93" t="str">
        <f t="shared" si="1"/>
        <v>-</v>
      </c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>
      <c r="A565" s="96"/>
      <c r="B565" s="160"/>
      <c r="C565" s="96"/>
      <c r="D565" s="96" t="s">
        <v>654</v>
      </c>
      <c r="E565" s="93" t="str">
        <f t="shared" si="1"/>
        <v>-</v>
      </c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>
      <c r="A566" s="96"/>
      <c r="B566" s="160"/>
      <c r="C566" s="96"/>
      <c r="D566" s="96" t="s">
        <v>654</v>
      </c>
      <c r="E566" s="93" t="str">
        <f t="shared" si="1"/>
        <v>-</v>
      </c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>
      <c r="A567" s="96"/>
      <c r="B567" s="160"/>
      <c r="C567" s="96"/>
      <c r="D567" s="96" t="s">
        <v>654</v>
      </c>
      <c r="E567" s="93" t="str">
        <f t="shared" si="1"/>
        <v>-</v>
      </c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>
      <c r="A568" s="96"/>
      <c r="B568" s="160"/>
      <c r="C568" s="96"/>
      <c r="D568" s="96" t="s">
        <v>654</v>
      </c>
      <c r="E568" s="93" t="str">
        <f t="shared" si="1"/>
        <v>-</v>
      </c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>
      <c r="A569" s="96"/>
      <c r="B569" s="160"/>
      <c r="C569" s="96"/>
      <c r="D569" s="96" t="s">
        <v>654</v>
      </c>
      <c r="E569" s="93" t="str">
        <f t="shared" si="1"/>
        <v>-</v>
      </c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>
      <c r="A570" s="96"/>
      <c r="B570" s="160"/>
      <c r="C570" s="96"/>
      <c r="D570" s="96" t="s">
        <v>654</v>
      </c>
      <c r="E570" s="93" t="str">
        <f t="shared" si="1"/>
        <v>-</v>
      </c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>
      <c r="A571" s="96"/>
      <c r="B571" s="160"/>
      <c r="C571" s="96"/>
      <c r="D571" s="96" t="s">
        <v>654</v>
      </c>
      <c r="E571" s="93" t="str">
        <f t="shared" si="1"/>
        <v>-</v>
      </c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>
      <c r="A572" s="96"/>
      <c r="B572" s="160"/>
      <c r="C572" s="96"/>
      <c r="D572" s="96" t="s">
        <v>654</v>
      </c>
      <c r="E572" s="93" t="str">
        <f t="shared" si="1"/>
        <v>-</v>
      </c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>
      <c r="A573" s="96"/>
      <c r="B573" s="160"/>
      <c r="C573" s="96"/>
      <c r="D573" s="96" t="s">
        <v>654</v>
      </c>
      <c r="E573" s="93" t="str">
        <f t="shared" si="1"/>
        <v>-</v>
      </c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>
      <c r="A574" s="96"/>
      <c r="B574" s="160"/>
      <c r="C574" s="96"/>
      <c r="D574" s="96" t="s">
        <v>654</v>
      </c>
      <c r="E574" s="93" t="str">
        <f t="shared" si="1"/>
        <v>-</v>
      </c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>
      <c r="A575" s="96"/>
      <c r="B575" s="160"/>
      <c r="C575" s="96"/>
      <c r="D575" s="96" t="s">
        <v>654</v>
      </c>
      <c r="E575" s="93" t="str">
        <f t="shared" si="1"/>
        <v>-</v>
      </c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>
      <c r="A576" s="96"/>
      <c r="B576" s="160"/>
      <c r="C576" s="96"/>
      <c r="D576" s="96" t="s">
        <v>654</v>
      </c>
      <c r="E576" s="93" t="str">
        <f t="shared" si="1"/>
        <v>-</v>
      </c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>
      <c r="A577" s="96"/>
      <c r="B577" s="160"/>
      <c r="C577" s="96"/>
      <c r="D577" s="96" t="s">
        <v>654</v>
      </c>
      <c r="E577" s="93" t="str">
        <f t="shared" si="1"/>
        <v>-</v>
      </c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>
      <c r="A578" s="96"/>
      <c r="B578" s="160"/>
      <c r="C578" s="96"/>
      <c r="D578" s="96" t="s">
        <v>654</v>
      </c>
      <c r="E578" s="93" t="str">
        <f t="shared" si="1"/>
        <v>-</v>
      </c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>
      <c r="A579" s="96"/>
      <c r="B579" s="160"/>
      <c r="C579" s="96"/>
      <c r="D579" s="96" t="s">
        <v>654</v>
      </c>
      <c r="E579" s="93" t="str">
        <f t="shared" si="1"/>
        <v>-</v>
      </c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>
      <c r="A580" s="96"/>
      <c r="B580" s="160"/>
      <c r="C580" s="96"/>
      <c r="D580" s="96" t="s">
        <v>654</v>
      </c>
      <c r="E580" s="93" t="str">
        <f t="shared" si="1"/>
        <v>-</v>
      </c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>
      <c r="A581" s="96"/>
      <c r="B581" s="160"/>
      <c r="C581" s="96"/>
      <c r="D581" s="96" t="s">
        <v>654</v>
      </c>
      <c r="E581" s="93" t="str">
        <f t="shared" si="1"/>
        <v>-</v>
      </c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>
      <c r="A582" s="96"/>
      <c r="B582" s="160"/>
      <c r="C582" s="96"/>
      <c r="D582" s="96" t="s">
        <v>654</v>
      </c>
      <c r="E582" s="93" t="str">
        <f t="shared" si="1"/>
        <v>-</v>
      </c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>
      <c r="A583" s="96"/>
      <c r="B583" s="160"/>
      <c r="C583" s="96"/>
      <c r="D583" s="96" t="s">
        <v>654</v>
      </c>
      <c r="E583" s="93" t="str">
        <f t="shared" si="1"/>
        <v>-</v>
      </c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>
      <c r="A584" s="96"/>
      <c r="B584" s="160"/>
      <c r="C584" s="96"/>
      <c r="D584" s="96" t="s">
        <v>654</v>
      </c>
      <c r="E584" s="93" t="str">
        <f t="shared" si="1"/>
        <v>-</v>
      </c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>
      <c r="A585" s="96"/>
      <c r="B585" s="160"/>
      <c r="C585" s="96"/>
      <c r="D585" s="96" t="s">
        <v>654</v>
      </c>
      <c r="E585" s="93" t="str">
        <f t="shared" si="1"/>
        <v>-</v>
      </c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>
      <c r="A586" s="96"/>
      <c r="B586" s="160"/>
      <c r="C586" s="96"/>
      <c r="D586" s="96" t="s">
        <v>654</v>
      </c>
      <c r="E586" s="93" t="str">
        <f t="shared" si="1"/>
        <v>-</v>
      </c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>
      <c r="A587" s="96"/>
      <c r="B587" s="160"/>
      <c r="C587" s="96"/>
      <c r="D587" s="96" t="s">
        <v>654</v>
      </c>
      <c r="E587" s="93" t="str">
        <f t="shared" si="1"/>
        <v>-</v>
      </c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>
      <c r="A588" s="96"/>
      <c r="B588" s="160"/>
      <c r="C588" s="96"/>
      <c r="D588" s="96" t="s">
        <v>654</v>
      </c>
      <c r="E588" s="93" t="str">
        <f t="shared" si="1"/>
        <v>-</v>
      </c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>
      <c r="A589" s="96"/>
      <c r="B589" s="160"/>
      <c r="C589" s="96"/>
      <c r="D589" s="96" t="s">
        <v>654</v>
      </c>
      <c r="E589" s="93" t="str">
        <f t="shared" si="1"/>
        <v>-</v>
      </c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>
      <c r="A590" s="96"/>
      <c r="B590" s="160"/>
      <c r="C590" s="96"/>
      <c r="D590" s="96" t="s">
        <v>654</v>
      </c>
      <c r="E590" s="93" t="str">
        <f t="shared" si="1"/>
        <v>-</v>
      </c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>
      <c r="A591" s="96"/>
      <c r="B591" s="160"/>
      <c r="C591" s="96"/>
      <c r="D591" s="96" t="s">
        <v>654</v>
      </c>
      <c r="E591" s="93" t="str">
        <f t="shared" si="1"/>
        <v>-</v>
      </c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>
      <c r="A592" s="96"/>
      <c r="B592" s="160"/>
      <c r="C592" s="96"/>
      <c r="D592" s="96" t="s">
        <v>654</v>
      </c>
      <c r="E592" s="93" t="str">
        <f t="shared" si="1"/>
        <v>-</v>
      </c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>
      <c r="A593" s="96"/>
      <c r="B593" s="160"/>
      <c r="C593" s="96"/>
      <c r="D593" s="96" t="s">
        <v>654</v>
      </c>
      <c r="E593" s="93" t="str">
        <f t="shared" si="1"/>
        <v>-</v>
      </c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>
      <c r="A594" s="96"/>
      <c r="B594" s="160"/>
      <c r="C594" s="96"/>
      <c r="D594" s="96" t="s">
        <v>654</v>
      </c>
      <c r="E594" s="93" t="str">
        <f t="shared" si="1"/>
        <v>-</v>
      </c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>
      <c r="A595" s="96"/>
      <c r="B595" s="160"/>
      <c r="C595" s="96"/>
      <c r="D595" s="96" t="s">
        <v>654</v>
      </c>
      <c r="E595" s="93" t="str">
        <f t="shared" si="1"/>
        <v>-</v>
      </c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>
      <c r="A596" s="96"/>
      <c r="B596" s="160"/>
      <c r="C596" s="96"/>
      <c r="D596" s="96" t="s">
        <v>654</v>
      </c>
      <c r="E596" s="93" t="str">
        <f t="shared" si="1"/>
        <v>-</v>
      </c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>
      <c r="A597" s="96"/>
      <c r="B597" s="160"/>
      <c r="C597" s="96"/>
      <c r="D597" s="96" t="s">
        <v>654</v>
      </c>
      <c r="E597" s="93" t="str">
        <f t="shared" si="1"/>
        <v>-</v>
      </c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>
      <c r="A598" s="96"/>
      <c r="B598" s="160"/>
      <c r="C598" s="96"/>
      <c r="D598" s="96" t="s">
        <v>654</v>
      </c>
      <c r="E598" s="93" t="str">
        <f t="shared" si="1"/>
        <v>-</v>
      </c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>
      <c r="A599" s="96"/>
      <c r="B599" s="160"/>
      <c r="C599" s="96"/>
      <c r="D599" s="96" t="s">
        <v>654</v>
      </c>
      <c r="E599" s="93" t="str">
        <f t="shared" si="1"/>
        <v>-</v>
      </c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>
      <c r="A600" s="96"/>
      <c r="B600" s="160"/>
      <c r="C600" s="96"/>
      <c r="D600" s="96" t="s">
        <v>654</v>
      </c>
      <c r="E600" s="93" t="str">
        <f t="shared" si="1"/>
        <v>-</v>
      </c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>
      <c r="A601" s="96"/>
      <c r="B601" s="160"/>
      <c r="C601" s="96"/>
      <c r="D601" s="96" t="s">
        <v>654</v>
      </c>
      <c r="E601" s="93" t="str">
        <f t="shared" si="1"/>
        <v>-</v>
      </c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>
      <c r="A602" s="96"/>
      <c r="B602" s="160"/>
      <c r="C602" s="96"/>
      <c r="D602" s="96" t="s">
        <v>654</v>
      </c>
      <c r="E602" s="93" t="str">
        <f t="shared" si="1"/>
        <v>-</v>
      </c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>
      <c r="A603" s="96"/>
      <c r="B603" s="160"/>
      <c r="C603" s="96"/>
      <c r="D603" s="96" t="s">
        <v>654</v>
      </c>
      <c r="E603" s="93" t="str">
        <f t="shared" si="1"/>
        <v>-</v>
      </c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>
      <c r="A604" s="96"/>
      <c r="B604" s="160"/>
      <c r="C604" s="96"/>
      <c r="D604" s="96" t="s">
        <v>654</v>
      </c>
      <c r="E604" s="93" t="str">
        <f t="shared" si="1"/>
        <v>-</v>
      </c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>
      <c r="A605" s="96"/>
      <c r="B605" s="160"/>
      <c r="C605" s="96"/>
      <c r="D605" s="96" t="s">
        <v>654</v>
      </c>
      <c r="E605" s="93" t="str">
        <f t="shared" si="1"/>
        <v>-</v>
      </c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>
      <c r="A606" s="96"/>
      <c r="B606" s="160"/>
      <c r="C606" s="96"/>
      <c r="D606" s="96" t="s">
        <v>654</v>
      </c>
      <c r="E606" s="93" t="str">
        <f t="shared" si="1"/>
        <v>-</v>
      </c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>
      <c r="A607" s="96"/>
      <c r="B607" s="160"/>
      <c r="C607" s="96"/>
      <c r="D607" s="96" t="s">
        <v>654</v>
      </c>
      <c r="E607" s="93" t="str">
        <f t="shared" si="1"/>
        <v>-</v>
      </c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>
      <c r="A608" s="96"/>
      <c r="B608" s="160"/>
      <c r="C608" s="96"/>
      <c r="D608" s="96" t="s">
        <v>654</v>
      </c>
      <c r="E608" s="93" t="str">
        <f t="shared" si="1"/>
        <v>-</v>
      </c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>
      <c r="A609" s="96"/>
      <c r="B609" s="160"/>
      <c r="C609" s="96"/>
      <c r="D609" s="96" t="s">
        <v>654</v>
      </c>
      <c r="E609" s="93" t="str">
        <f t="shared" si="1"/>
        <v>-</v>
      </c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>
      <c r="A610" s="96"/>
      <c r="B610" s="160"/>
      <c r="C610" s="96"/>
      <c r="D610" s="96" t="s">
        <v>654</v>
      </c>
      <c r="E610" s="93" t="str">
        <f t="shared" si="1"/>
        <v>-</v>
      </c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>
      <c r="A611" s="96"/>
      <c r="B611" s="160"/>
      <c r="C611" s="96"/>
      <c r="D611" s="96" t="s">
        <v>654</v>
      </c>
      <c r="E611" s="93" t="str">
        <f t="shared" si="1"/>
        <v>-</v>
      </c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>
      <c r="A612" s="96"/>
      <c r="B612" s="160"/>
      <c r="C612" s="96"/>
      <c r="D612" s="96" t="s">
        <v>654</v>
      </c>
      <c r="E612" s="93" t="str">
        <f t="shared" si="1"/>
        <v>-</v>
      </c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>
      <c r="A613" s="96"/>
      <c r="B613" s="160"/>
      <c r="C613" s="96"/>
      <c r="D613" s="96" t="s">
        <v>654</v>
      </c>
      <c r="E613" s="93" t="str">
        <f t="shared" si="1"/>
        <v>-</v>
      </c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>
      <c r="A614" s="96"/>
      <c r="B614" s="160"/>
      <c r="C614" s="96"/>
      <c r="D614" s="96" t="s">
        <v>654</v>
      </c>
      <c r="E614" s="93" t="str">
        <f t="shared" si="1"/>
        <v>-</v>
      </c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>
      <c r="A615" s="96"/>
      <c r="B615" s="160"/>
      <c r="C615" s="96"/>
      <c r="D615" s="96" t="s">
        <v>654</v>
      </c>
      <c r="E615" s="93" t="str">
        <f t="shared" si="1"/>
        <v>-</v>
      </c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>
      <c r="A616" s="96"/>
      <c r="B616" s="160"/>
      <c r="C616" s="96"/>
      <c r="D616" s="96" t="s">
        <v>654</v>
      </c>
      <c r="E616" s="93" t="str">
        <f t="shared" si="1"/>
        <v>-</v>
      </c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>
      <c r="A617" s="96"/>
      <c r="B617" s="160"/>
      <c r="C617" s="96"/>
      <c r="D617" s="96" t="s">
        <v>654</v>
      </c>
      <c r="E617" s="93" t="str">
        <f t="shared" si="1"/>
        <v>-</v>
      </c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>
      <c r="A618" s="96"/>
      <c r="B618" s="160"/>
      <c r="C618" s="96"/>
      <c r="D618" s="96" t="s">
        <v>654</v>
      </c>
      <c r="E618" s="93" t="str">
        <f t="shared" si="1"/>
        <v>-</v>
      </c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>
      <c r="A619" s="96"/>
      <c r="B619" s="160"/>
      <c r="C619" s="96"/>
      <c r="D619" s="96" t="s">
        <v>654</v>
      </c>
      <c r="E619" s="93" t="str">
        <f t="shared" si="1"/>
        <v>-</v>
      </c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>
      <c r="A620" s="96"/>
      <c r="B620" s="160"/>
      <c r="C620" s="96"/>
      <c r="D620" s="96" t="s">
        <v>654</v>
      </c>
      <c r="E620" s="93" t="str">
        <f t="shared" si="1"/>
        <v>-</v>
      </c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>
      <c r="A621" s="96"/>
      <c r="B621" s="160"/>
      <c r="C621" s="96"/>
      <c r="D621" s="96" t="s">
        <v>654</v>
      </c>
      <c r="E621" s="93" t="str">
        <f t="shared" si="1"/>
        <v>-</v>
      </c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>
      <c r="A622" s="96"/>
      <c r="B622" s="160"/>
      <c r="C622" s="96"/>
      <c r="D622" s="96" t="s">
        <v>654</v>
      </c>
      <c r="E622" s="93" t="str">
        <f t="shared" si="1"/>
        <v>-</v>
      </c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>
      <c r="A623" s="96"/>
      <c r="B623" s="160"/>
      <c r="C623" s="96"/>
      <c r="D623" s="96" t="s">
        <v>654</v>
      </c>
      <c r="E623" s="93" t="str">
        <f t="shared" si="1"/>
        <v>-</v>
      </c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>
      <c r="A624" s="96"/>
      <c r="B624" s="160"/>
      <c r="C624" s="96"/>
      <c r="D624" s="96" t="s">
        <v>654</v>
      </c>
      <c r="E624" s="93" t="str">
        <f t="shared" si="1"/>
        <v>-</v>
      </c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>
      <c r="A625" s="96"/>
      <c r="B625" s="160"/>
      <c r="C625" s="96"/>
      <c r="D625" s="96" t="s">
        <v>654</v>
      </c>
      <c r="E625" s="93" t="str">
        <f t="shared" si="1"/>
        <v>-</v>
      </c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>
      <c r="A626" s="96"/>
      <c r="B626" s="160"/>
      <c r="C626" s="96"/>
      <c r="D626" s="96" t="s">
        <v>654</v>
      </c>
      <c r="E626" s="93" t="str">
        <f t="shared" si="1"/>
        <v>-</v>
      </c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>
      <c r="A627" s="96"/>
      <c r="B627" s="160"/>
      <c r="C627" s="96"/>
      <c r="D627" s="96" t="s">
        <v>654</v>
      </c>
      <c r="E627" s="93" t="str">
        <f t="shared" si="1"/>
        <v>-</v>
      </c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>
      <c r="A628" s="96"/>
      <c r="B628" s="160"/>
      <c r="C628" s="96"/>
      <c r="D628" s="96" t="s">
        <v>654</v>
      </c>
      <c r="E628" s="93" t="str">
        <f t="shared" si="1"/>
        <v>-</v>
      </c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>
      <c r="A629" s="96"/>
      <c r="B629" s="160"/>
      <c r="C629" s="96"/>
      <c r="D629" s="96" t="s">
        <v>654</v>
      </c>
      <c r="E629" s="93" t="str">
        <f t="shared" si="1"/>
        <v>-</v>
      </c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>
      <c r="A630" s="96"/>
      <c r="B630" s="160"/>
      <c r="C630" s="96"/>
      <c r="D630" s="96" t="s">
        <v>654</v>
      </c>
      <c r="E630" s="93" t="str">
        <f t="shared" si="1"/>
        <v>-</v>
      </c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>
      <c r="A631" s="96"/>
      <c r="B631" s="160"/>
      <c r="C631" s="96"/>
      <c r="D631" s="96" t="s">
        <v>654</v>
      </c>
      <c r="E631" s="93" t="str">
        <f t="shared" si="1"/>
        <v>-</v>
      </c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>
      <c r="A632" s="96"/>
      <c r="B632" s="160"/>
      <c r="C632" s="96"/>
      <c r="D632" s="96" t="s">
        <v>654</v>
      </c>
      <c r="E632" s="93" t="str">
        <f t="shared" si="1"/>
        <v>-</v>
      </c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>
      <c r="A633" s="96"/>
      <c r="B633" s="160"/>
      <c r="C633" s="96"/>
      <c r="D633" s="96" t="s">
        <v>654</v>
      </c>
      <c r="E633" s="93" t="str">
        <f t="shared" si="1"/>
        <v>-</v>
      </c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>
      <c r="A634" s="96"/>
      <c r="B634" s="160"/>
      <c r="C634" s="96"/>
      <c r="D634" s="96" t="s">
        <v>654</v>
      </c>
      <c r="E634" s="93" t="str">
        <f t="shared" si="1"/>
        <v>-</v>
      </c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>
      <c r="A635" s="96"/>
      <c r="B635" s="160"/>
      <c r="C635" s="96"/>
      <c r="D635" s="96" t="s">
        <v>654</v>
      </c>
      <c r="E635" s="93" t="str">
        <f t="shared" si="1"/>
        <v>-</v>
      </c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>
      <c r="A636" s="96"/>
      <c r="B636" s="160"/>
      <c r="C636" s="96"/>
      <c r="D636" s="96" t="s">
        <v>654</v>
      </c>
      <c r="E636" s="93" t="str">
        <f t="shared" si="1"/>
        <v>-</v>
      </c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>
      <c r="A637" s="96"/>
      <c r="B637" s="160"/>
      <c r="C637" s="96"/>
      <c r="D637" s="96" t="s">
        <v>654</v>
      </c>
      <c r="E637" s="93" t="str">
        <f t="shared" si="1"/>
        <v>-</v>
      </c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>
      <c r="A638" s="96"/>
      <c r="B638" s="160"/>
      <c r="C638" s="96"/>
      <c r="D638" s="96" t="s">
        <v>654</v>
      </c>
      <c r="E638" s="93" t="str">
        <f t="shared" si="1"/>
        <v>-</v>
      </c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>
      <c r="A639" s="96"/>
      <c r="B639" s="160"/>
      <c r="C639" s="96"/>
      <c r="D639" s="96" t="s">
        <v>654</v>
      </c>
      <c r="E639" s="93" t="str">
        <f t="shared" si="1"/>
        <v>-</v>
      </c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>
      <c r="A640" s="96"/>
      <c r="B640" s="160"/>
      <c r="C640" s="96"/>
      <c r="D640" s="96" t="s">
        <v>654</v>
      </c>
      <c r="E640" s="93" t="str">
        <f t="shared" si="1"/>
        <v>-</v>
      </c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>
      <c r="A641" s="96"/>
      <c r="B641" s="160"/>
      <c r="C641" s="96"/>
      <c r="D641" s="96" t="s">
        <v>654</v>
      </c>
      <c r="E641" s="93" t="str">
        <f t="shared" si="1"/>
        <v>-</v>
      </c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>
      <c r="A642" s="96"/>
      <c r="B642" s="160"/>
      <c r="C642" s="96"/>
      <c r="D642" s="96" t="s">
        <v>654</v>
      </c>
      <c r="E642" s="93" t="str">
        <f t="shared" si="1"/>
        <v>-</v>
      </c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>
      <c r="A643" s="96"/>
      <c r="B643" s="160"/>
      <c r="C643" s="96"/>
      <c r="D643" s="96" t="s">
        <v>654</v>
      </c>
      <c r="E643" s="93" t="str">
        <f t="shared" si="1"/>
        <v>-</v>
      </c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>
      <c r="A644" s="96"/>
      <c r="B644" s="160"/>
      <c r="C644" s="96"/>
      <c r="D644" s="96" t="s">
        <v>654</v>
      </c>
      <c r="E644" s="93" t="str">
        <f t="shared" si="1"/>
        <v>-</v>
      </c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>
      <c r="A645" s="96"/>
      <c r="B645" s="160"/>
      <c r="C645" s="96"/>
      <c r="D645" s="96" t="s">
        <v>654</v>
      </c>
      <c r="E645" s="93" t="str">
        <f t="shared" si="1"/>
        <v>-</v>
      </c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>
      <c r="A646" s="96"/>
      <c r="B646" s="160"/>
      <c r="C646" s="96"/>
      <c r="D646" s="96" t="s">
        <v>654</v>
      </c>
      <c r="E646" s="93" t="str">
        <f t="shared" si="1"/>
        <v>-</v>
      </c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>
      <c r="A647" s="96"/>
      <c r="B647" s="160"/>
      <c r="C647" s="96"/>
      <c r="D647" s="96" t="s">
        <v>654</v>
      </c>
      <c r="E647" s="93" t="str">
        <f t="shared" si="1"/>
        <v>-</v>
      </c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>
      <c r="A648" s="96"/>
      <c r="B648" s="160"/>
      <c r="C648" s="96"/>
      <c r="D648" s="96" t="s">
        <v>654</v>
      </c>
      <c r="E648" s="93" t="str">
        <f t="shared" si="1"/>
        <v>-</v>
      </c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>
      <c r="A649" s="96"/>
      <c r="B649" s="160"/>
      <c r="C649" s="96"/>
      <c r="D649" s="96" t="s">
        <v>654</v>
      </c>
      <c r="E649" s="93" t="str">
        <f t="shared" si="1"/>
        <v>-</v>
      </c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>
      <c r="A650" s="96"/>
      <c r="B650" s="160"/>
      <c r="C650" s="96"/>
      <c r="D650" s="96" t="s">
        <v>654</v>
      </c>
      <c r="E650" s="93" t="str">
        <f t="shared" si="1"/>
        <v>-</v>
      </c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>
      <c r="A651" s="96"/>
      <c r="B651" s="160"/>
      <c r="C651" s="96"/>
      <c r="D651" s="96" t="s">
        <v>654</v>
      </c>
      <c r="E651" s="93" t="str">
        <f t="shared" si="1"/>
        <v>-</v>
      </c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>
      <c r="A652" s="96"/>
      <c r="B652" s="160"/>
      <c r="C652" s="96"/>
      <c r="D652" s="96" t="s">
        <v>654</v>
      </c>
      <c r="E652" s="93" t="str">
        <f t="shared" si="1"/>
        <v>-</v>
      </c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>
      <c r="A653" s="96"/>
      <c r="B653" s="160"/>
      <c r="C653" s="96"/>
      <c r="D653" s="96" t="s">
        <v>654</v>
      </c>
      <c r="E653" s="93" t="str">
        <f t="shared" si="1"/>
        <v>-</v>
      </c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>
      <c r="A654" s="96"/>
      <c r="B654" s="160"/>
      <c r="C654" s="96"/>
      <c r="D654" s="96" t="s">
        <v>654</v>
      </c>
      <c r="E654" s="93" t="str">
        <f t="shared" si="1"/>
        <v>-</v>
      </c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>
      <c r="A655" s="96"/>
      <c r="B655" s="160"/>
      <c r="C655" s="96"/>
      <c r="D655" s="96" t="s">
        <v>654</v>
      </c>
      <c r="E655" s="93" t="str">
        <f t="shared" si="1"/>
        <v>-</v>
      </c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>
      <c r="A656" s="96"/>
      <c r="B656" s="160"/>
      <c r="C656" s="96"/>
      <c r="D656" s="96" t="s">
        <v>654</v>
      </c>
      <c r="E656" s="93" t="str">
        <f t="shared" si="1"/>
        <v>-</v>
      </c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>
      <c r="A657" s="96"/>
      <c r="B657" s="160"/>
      <c r="C657" s="96"/>
      <c r="D657" s="96" t="s">
        <v>654</v>
      </c>
      <c r="E657" s="93" t="str">
        <f t="shared" si="1"/>
        <v>-</v>
      </c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>
      <c r="A658" s="96"/>
      <c r="B658" s="160"/>
      <c r="C658" s="96"/>
      <c r="D658" s="96" t="s">
        <v>654</v>
      </c>
      <c r="E658" s="93" t="str">
        <f t="shared" si="1"/>
        <v>-</v>
      </c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>
      <c r="A659" s="96"/>
      <c r="B659" s="160"/>
      <c r="C659" s="96"/>
      <c r="D659" s="96" t="s">
        <v>654</v>
      </c>
      <c r="E659" s="93" t="str">
        <f t="shared" si="1"/>
        <v>-</v>
      </c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>
      <c r="A660" s="96"/>
      <c r="B660" s="160"/>
      <c r="C660" s="96"/>
      <c r="D660" s="96" t="s">
        <v>654</v>
      </c>
      <c r="E660" s="93" t="str">
        <f t="shared" si="1"/>
        <v>-</v>
      </c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>
      <c r="A661" s="96"/>
      <c r="B661" s="160"/>
      <c r="C661" s="96"/>
      <c r="D661" s="96" t="s">
        <v>654</v>
      </c>
      <c r="E661" s="93" t="str">
        <f t="shared" si="1"/>
        <v>-</v>
      </c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>
      <c r="A662" s="96"/>
      <c r="B662" s="160"/>
      <c r="C662" s="96"/>
      <c r="D662" s="96" t="s">
        <v>654</v>
      </c>
      <c r="E662" s="93" t="str">
        <f t="shared" si="1"/>
        <v>-</v>
      </c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>
      <c r="A663" s="96"/>
      <c r="B663" s="160"/>
      <c r="C663" s="96"/>
      <c r="D663" s="96" t="s">
        <v>654</v>
      </c>
      <c r="E663" s="93" t="str">
        <f t="shared" si="1"/>
        <v>-</v>
      </c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>
      <c r="A664" s="96"/>
      <c r="B664" s="160"/>
      <c r="C664" s="96"/>
      <c r="D664" s="96" t="s">
        <v>654</v>
      </c>
      <c r="E664" s="93" t="str">
        <f t="shared" si="1"/>
        <v>-</v>
      </c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>
      <c r="A665" s="96"/>
      <c r="B665" s="160"/>
      <c r="C665" s="96"/>
      <c r="D665" s="96" t="s">
        <v>654</v>
      </c>
      <c r="E665" s="93" t="str">
        <f t="shared" si="1"/>
        <v>-</v>
      </c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>
      <c r="A666" s="96"/>
      <c r="B666" s="160"/>
      <c r="C666" s="96"/>
      <c r="D666" s="96" t="s">
        <v>654</v>
      </c>
      <c r="E666" s="93" t="str">
        <f t="shared" si="1"/>
        <v>-</v>
      </c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>
      <c r="A667" s="96"/>
      <c r="B667" s="160"/>
      <c r="C667" s="96"/>
      <c r="D667" s="96" t="s">
        <v>654</v>
      </c>
      <c r="E667" s="93" t="str">
        <f t="shared" si="1"/>
        <v>-</v>
      </c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>
      <c r="A668" s="96"/>
      <c r="B668" s="160"/>
      <c r="C668" s="96"/>
      <c r="D668" s="96" t="s">
        <v>654</v>
      </c>
      <c r="E668" s="93" t="str">
        <f t="shared" si="1"/>
        <v>-</v>
      </c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>
      <c r="A669" s="96"/>
      <c r="B669" s="160"/>
      <c r="C669" s="96"/>
      <c r="D669" s="96" t="s">
        <v>654</v>
      </c>
      <c r="E669" s="93" t="str">
        <f t="shared" si="1"/>
        <v>-</v>
      </c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>
      <c r="A670" s="96"/>
      <c r="B670" s="160"/>
      <c r="C670" s="96"/>
      <c r="D670" s="96" t="s">
        <v>654</v>
      </c>
      <c r="E670" s="93" t="str">
        <f t="shared" si="1"/>
        <v>-</v>
      </c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>
      <c r="A671" s="96"/>
      <c r="B671" s="160"/>
      <c r="C671" s="96"/>
      <c r="D671" s="96" t="s">
        <v>654</v>
      </c>
      <c r="E671" s="93" t="str">
        <f t="shared" si="1"/>
        <v>-</v>
      </c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>
      <c r="A672" s="96"/>
      <c r="B672" s="160"/>
      <c r="C672" s="96"/>
      <c r="D672" s="96" t="s">
        <v>654</v>
      </c>
      <c r="E672" s="93" t="str">
        <f t="shared" si="1"/>
        <v>-</v>
      </c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>
      <c r="A673" s="96"/>
      <c r="B673" s="160"/>
      <c r="C673" s="96"/>
      <c r="D673" s="96" t="s">
        <v>654</v>
      </c>
      <c r="E673" s="93" t="str">
        <f t="shared" si="1"/>
        <v>-</v>
      </c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>
      <c r="A674" s="96"/>
      <c r="B674" s="160"/>
      <c r="C674" s="96"/>
      <c r="D674" s="96" t="s">
        <v>654</v>
      </c>
      <c r="E674" s="93" t="str">
        <f t="shared" si="1"/>
        <v>-</v>
      </c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>
      <c r="A675" s="96"/>
      <c r="B675" s="160"/>
      <c r="C675" s="96"/>
      <c r="D675" s="96" t="s">
        <v>654</v>
      </c>
      <c r="E675" s="93" t="str">
        <f t="shared" si="1"/>
        <v>-</v>
      </c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>
      <c r="A676" s="96"/>
      <c r="B676" s="160"/>
      <c r="C676" s="96"/>
      <c r="D676" s="96" t="s">
        <v>654</v>
      </c>
      <c r="E676" s="93" t="str">
        <f t="shared" si="1"/>
        <v>-</v>
      </c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>
      <c r="A677" s="96"/>
      <c r="B677" s="160"/>
      <c r="C677" s="96"/>
      <c r="D677" s="96" t="s">
        <v>654</v>
      </c>
      <c r="E677" s="93" t="str">
        <f t="shared" si="1"/>
        <v>-</v>
      </c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>
      <c r="A678" s="96"/>
      <c r="B678" s="160"/>
      <c r="C678" s="96"/>
      <c r="D678" s="96" t="s">
        <v>654</v>
      </c>
      <c r="E678" s="93" t="str">
        <f t="shared" si="1"/>
        <v>-</v>
      </c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>
      <c r="A679" s="96"/>
      <c r="B679" s="160"/>
      <c r="C679" s="96"/>
      <c r="D679" s="96" t="s">
        <v>654</v>
      </c>
      <c r="E679" s="93" t="str">
        <f t="shared" si="1"/>
        <v>-</v>
      </c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>
      <c r="A680" s="96"/>
      <c r="B680" s="160"/>
      <c r="C680" s="96"/>
      <c r="D680" s="96" t="s">
        <v>654</v>
      </c>
      <c r="E680" s="93" t="str">
        <f t="shared" si="1"/>
        <v>-</v>
      </c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>
      <c r="A681" s="96"/>
      <c r="B681" s="160"/>
      <c r="C681" s="96"/>
      <c r="D681" s="96" t="s">
        <v>654</v>
      </c>
      <c r="E681" s="93" t="str">
        <f t="shared" si="1"/>
        <v>-</v>
      </c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>
      <c r="A682" s="96"/>
      <c r="B682" s="160"/>
      <c r="C682" s="96"/>
      <c r="D682" s="96" t="s">
        <v>654</v>
      </c>
      <c r="E682" s="93" t="str">
        <f t="shared" si="1"/>
        <v>-</v>
      </c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>
      <c r="A683" s="96"/>
      <c r="B683" s="160"/>
      <c r="C683" s="96"/>
      <c r="D683" s="96" t="s">
        <v>654</v>
      </c>
      <c r="E683" s="93" t="str">
        <f t="shared" si="1"/>
        <v>-</v>
      </c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>
      <c r="A684" s="96"/>
      <c r="B684" s="160"/>
      <c r="C684" s="96"/>
      <c r="D684" s="96" t="s">
        <v>654</v>
      </c>
      <c r="E684" s="93" t="str">
        <f t="shared" si="1"/>
        <v>-</v>
      </c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>
      <c r="A685" s="96"/>
      <c r="B685" s="160"/>
      <c r="C685" s="96"/>
      <c r="D685" s="96" t="s">
        <v>654</v>
      </c>
      <c r="E685" s="93" t="str">
        <f t="shared" si="1"/>
        <v>-</v>
      </c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>
      <c r="A686" s="96"/>
      <c r="B686" s="160"/>
      <c r="C686" s="96"/>
      <c r="D686" s="96" t="s">
        <v>654</v>
      </c>
      <c r="E686" s="93" t="str">
        <f t="shared" si="1"/>
        <v>-</v>
      </c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>
      <c r="A687" s="96"/>
      <c r="B687" s="160"/>
      <c r="C687" s="96"/>
      <c r="D687" s="96" t="s">
        <v>654</v>
      </c>
      <c r="E687" s="93" t="str">
        <f t="shared" si="1"/>
        <v>-</v>
      </c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>
      <c r="A688" s="96"/>
      <c r="B688" s="160"/>
      <c r="C688" s="96"/>
      <c r="D688" s="96" t="s">
        <v>654</v>
      </c>
      <c r="E688" s="93" t="str">
        <f t="shared" si="1"/>
        <v>-</v>
      </c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>
      <c r="A689" s="96"/>
      <c r="B689" s="160"/>
      <c r="C689" s="96"/>
      <c r="D689" s="96" t="s">
        <v>654</v>
      </c>
      <c r="E689" s="93" t="str">
        <f t="shared" si="1"/>
        <v>-</v>
      </c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>
      <c r="A690" s="96"/>
      <c r="B690" s="160"/>
      <c r="C690" s="96"/>
      <c r="D690" s="96" t="s">
        <v>654</v>
      </c>
      <c r="E690" s="93" t="str">
        <f t="shared" si="1"/>
        <v>-</v>
      </c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>
      <c r="A691" s="96"/>
      <c r="B691" s="160"/>
      <c r="C691" s="96"/>
      <c r="D691" s="96" t="s">
        <v>654</v>
      </c>
      <c r="E691" s="93" t="str">
        <f t="shared" si="1"/>
        <v>-</v>
      </c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>
      <c r="A692" s="96"/>
      <c r="B692" s="160"/>
      <c r="C692" s="96"/>
      <c r="D692" s="96" t="s">
        <v>654</v>
      </c>
      <c r="E692" s="93" t="str">
        <f t="shared" si="1"/>
        <v>-</v>
      </c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>
      <c r="A693" s="96"/>
      <c r="B693" s="160"/>
      <c r="C693" s="96"/>
      <c r="D693" s="96" t="s">
        <v>654</v>
      </c>
      <c r="E693" s="93" t="str">
        <f t="shared" si="1"/>
        <v>-</v>
      </c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>
      <c r="A694" s="96"/>
      <c r="B694" s="160"/>
      <c r="C694" s="96"/>
      <c r="D694" s="96" t="s">
        <v>654</v>
      </c>
      <c r="E694" s="93" t="str">
        <f t="shared" si="1"/>
        <v>-</v>
      </c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>
      <c r="A695" s="96"/>
      <c r="B695" s="160"/>
      <c r="C695" s="96"/>
      <c r="D695" s="96" t="s">
        <v>654</v>
      </c>
      <c r="E695" s="93" t="str">
        <f t="shared" si="1"/>
        <v>-</v>
      </c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>
      <c r="A696" s="96"/>
      <c r="B696" s="160"/>
      <c r="C696" s="96"/>
      <c r="D696" s="96" t="s">
        <v>654</v>
      </c>
      <c r="E696" s="93" t="str">
        <f t="shared" si="1"/>
        <v>-</v>
      </c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>
      <c r="A697" s="96"/>
      <c r="B697" s="160"/>
      <c r="C697" s="96"/>
      <c r="D697" s="96" t="s">
        <v>654</v>
      </c>
      <c r="E697" s="93" t="str">
        <f t="shared" si="1"/>
        <v>-</v>
      </c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>
      <c r="A698" s="96"/>
      <c r="B698" s="160"/>
      <c r="C698" s="96"/>
      <c r="D698" s="96" t="s">
        <v>654</v>
      </c>
      <c r="E698" s="93" t="str">
        <f t="shared" si="1"/>
        <v>-</v>
      </c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>
      <c r="A699" s="96"/>
      <c r="B699" s="160"/>
      <c r="C699" s="96"/>
      <c r="D699" s="96" t="s">
        <v>654</v>
      </c>
      <c r="E699" s="93" t="str">
        <f t="shared" si="1"/>
        <v>-</v>
      </c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>
      <c r="A700" s="96"/>
      <c r="B700" s="160"/>
      <c r="C700" s="96"/>
      <c r="D700" s="96" t="s">
        <v>654</v>
      </c>
      <c r="E700" s="93" t="str">
        <f t="shared" si="1"/>
        <v>-</v>
      </c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>
      <c r="A701" s="96"/>
      <c r="B701" s="160"/>
      <c r="C701" s="96"/>
      <c r="D701" s="96" t="s">
        <v>654</v>
      </c>
      <c r="E701" s="93" t="str">
        <f t="shared" si="1"/>
        <v>-</v>
      </c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>
      <c r="A702" s="96"/>
      <c r="B702" s="160"/>
      <c r="C702" s="96"/>
      <c r="D702" s="96" t="s">
        <v>654</v>
      </c>
      <c r="E702" s="93" t="str">
        <f t="shared" si="1"/>
        <v>-</v>
      </c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>
      <c r="A703" s="96"/>
      <c r="B703" s="160"/>
      <c r="C703" s="96"/>
      <c r="D703" s="96" t="s">
        <v>654</v>
      </c>
      <c r="E703" s="93" t="str">
        <f t="shared" si="1"/>
        <v>-</v>
      </c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>
      <c r="A704" s="96"/>
      <c r="B704" s="160"/>
      <c r="C704" s="96"/>
      <c r="D704" s="96" t="s">
        <v>654</v>
      </c>
      <c r="E704" s="93" t="str">
        <f t="shared" si="1"/>
        <v>-</v>
      </c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>
      <c r="A705" s="96"/>
      <c r="B705" s="160"/>
      <c r="C705" s="96"/>
      <c r="D705" s="96" t="s">
        <v>654</v>
      </c>
      <c r="E705" s="93" t="str">
        <f t="shared" si="1"/>
        <v>-</v>
      </c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>
      <c r="A706" s="96"/>
      <c r="B706" s="160"/>
      <c r="C706" s="96"/>
      <c r="D706" s="96" t="s">
        <v>654</v>
      </c>
      <c r="E706" s="93" t="str">
        <f t="shared" si="1"/>
        <v>-</v>
      </c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>
      <c r="A707" s="96"/>
      <c r="B707" s="160"/>
      <c r="C707" s="96"/>
      <c r="D707" s="96" t="s">
        <v>654</v>
      </c>
      <c r="E707" s="93" t="str">
        <f t="shared" si="1"/>
        <v>-</v>
      </c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>
      <c r="A708" s="96"/>
      <c r="B708" s="160"/>
      <c r="C708" s="96"/>
      <c r="D708" s="96" t="s">
        <v>654</v>
      </c>
      <c r="E708" s="93" t="str">
        <f t="shared" si="1"/>
        <v>-</v>
      </c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>
      <c r="A709" s="96"/>
      <c r="B709" s="160"/>
      <c r="C709" s="96"/>
      <c r="D709" s="96" t="s">
        <v>654</v>
      </c>
      <c r="E709" s="93" t="str">
        <f t="shared" si="1"/>
        <v>-</v>
      </c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>
      <c r="A710" s="96"/>
      <c r="B710" s="160"/>
      <c r="C710" s="96"/>
      <c r="D710" s="96" t="s">
        <v>654</v>
      </c>
      <c r="E710" s="93" t="str">
        <f t="shared" si="1"/>
        <v>-</v>
      </c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>
      <c r="A711" s="96"/>
      <c r="B711" s="160"/>
      <c r="C711" s="96"/>
      <c r="D711" s="96" t="s">
        <v>654</v>
      </c>
      <c r="E711" s="93" t="str">
        <f t="shared" si="1"/>
        <v>-</v>
      </c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>
      <c r="A712" s="96"/>
      <c r="B712" s="160"/>
      <c r="C712" s="96"/>
      <c r="D712" s="96" t="s">
        <v>654</v>
      </c>
      <c r="E712" s="93" t="str">
        <f t="shared" si="1"/>
        <v>-</v>
      </c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>
      <c r="A713" s="96"/>
      <c r="B713" s="160"/>
      <c r="C713" s="96"/>
      <c r="D713" s="96" t="s">
        <v>654</v>
      </c>
      <c r="E713" s="93" t="str">
        <f t="shared" si="1"/>
        <v>-</v>
      </c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>
      <c r="A714" s="96"/>
      <c r="B714" s="160"/>
      <c r="C714" s="96"/>
      <c r="D714" s="96" t="s">
        <v>654</v>
      </c>
      <c r="E714" s="93" t="str">
        <f t="shared" si="1"/>
        <v>-</v>
      </c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>
      <c r="A715" s="96"/>
      <c r="B715" s="160"/>
      <c r="C715" s="96"/>
      <c r="D715" s="96" t="s">
        <v>654</v>
      </c>
      <c r="E715" s="93" t="str">
        <f t="shared" si="1"/>
        <v>-</v>
      </c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>
      <c r="A716" s="96"/>
      <c r="B716" s="160"/>
      <c r="C716" s="96"/>
      <c r="D716" s="96" t="s">
        <v>654</v>
      </c>
      <c r="E716" s="93" t="str">
        <f t="shared" si="1"/>
        <v>-</v>
      </c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>
      <c r="A717" s="96"/>
      <c r="B717" s="160"/>
      <c r="C717" s="96"/>
      <c r="D717" s="96" t="s">
        <v>654</v>
      </c>
      <c r="E717" s="93" t="str">
        <f t="shared" si="1"/>
        <v>-</v>
      </c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>
      <c r="A718" s="96"/>
      <c r="B718" s="160"/>
      <c r="C718" s="96"/>
      <c r="D718" s="96" t="s">
        <v>654</v>
      </c>
      <c r="E718" s="93" t="str">
        <f t="shared" si="1"/>
        <v>-</v>
      </c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>
      <c r="A719" s="96"/>
      <c r="B719" s="160"/>
      <c r="C719" s="96"/>
      <c r="D719" s="96" t="s">
        <v>654</v>
      </c>
      <c r="E719" s="93" t="str">
        <f t="shared" si="1"/>
        <v>-</v>
      </c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>
      <c r="A720" s="96"/>
      <c r="B720" s="160"/>
      <c r="C720" s="96"/>
      <c r="D720" s="96" t="s">
        <v>654</v>
      </c>
      <c r="E720" s="93" t="str">
        <f t="shared" si="1"/>
        <v>-</v>
      </c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>
      <c r="A721" s="96"/>
      <c r="B721" s="160"/>
      <c r="C721" s="96"/>
      <c r="D721" s="96" t="s">
        <v>654</v>
      </c>
      <c r="E721" s="93" t="str">
        <f t="shared" si="1"/>
        <v>-</v>
      </c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>
      <c r="A722" s="96"/>
      <c r="B722" s="160"/>
      <c r="C722" s="96"/>
      <c r="D722" s="96" t="s">
        <v>654</v>
      </c>
      <c r="E722" s="93" t="str">
        <f t="shared" si="1"/>
        <v>-</v>
      </c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>
      <c r="A723" s="96"/>
      <c r="B723" s="160"/>
      <c r="C723" s="96"/>
      <c r="D723" s="96" t="s">
        <v>654</v>
      </c>
      <c r="E723" s="93" t="str">
        <f t="shared" si="1"/>
        <v>-</v>
      </c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>
      <c r="A724" s="96"/>
      <c r="B724" s="160"/>
      <c r="C724" s="96"/>
      <c r="D724" s="96" t="s">
        <v>654</v>
      </c>
      <c r="E724" s="93" t="str">
        <f t="shared" si="1"/>
        <v>-</v>
      </c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>
      <c r="A725" s="96"/>
      <c r="B725" s="160"/>
      <c r="C725" s="96"/>
      <c r="D725" s="96" t="s">
        <v>654</v>
      </c>
      <c r="E725" s="93" t="str">
        <f t="shared" si="1"/>
        <v>-</v>
      </c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>
      <c r="A726" s="96"/>
      <c r="B726" s="160"/>
      <c r="C726" s="96"/>
      <c r="D726" s="96" t="s">
        <v>654</v>
      </c>
      <c r="E726" s="93" t="str">
        <f t="shared" si="1"/>
        <v>-</v>
      </c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>
      <c r="A727" s="96"/>
      <c r="B727" s="160"/>
      <c r="C727" s="96"/>
      <c r="D727" s="96" t="s">
        <v>654</v>
      </c>
      <c r="E727" s="93" t="str">
        <f t="shared" si="1"/>
        <v>-</v>
      </c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>
      <c r="A728" s="96"/>
      <c r="B728" s="160"/>
      <c r="C728" s="96"/>
      <c r="D728" s="96" t="s">
        <v>654</v>
      </c>
      <c r="E728" s="93" t="str">
        <f t="shared" si="1"/>
        <v>-</v>
      </c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>
      <c r="A729" s="96"/>
      <c r="B729" s="160"/>
      <c r="C729" s="96"/>
      <c r="D729" s="96" t="s">
        <v>654</v>
      </c>
      <c r="E729" s="93" t="str">
        <f t="shared" si="1"/>
        <v>-</v>
      </c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>
      <c r="A730" s="96"/>
      <c r="B730" s="160"/>
      <c r="C730" s="96"/>
      <c r="D730" s="96" t="s">
        <v>654</v>
      </c>
      <c r="E730" s="93" t="str">
        <f t="shared" si="1"/>
        <v>-</v>
      </c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>
      <c r="A731" s="96"/>
      <c r="B731" s="160"/>
      <c r="C731" s="96"/>
      <c r="D731" s="96" t="s">
        <v>654</v>
      </c>
      <c r="E731" s="93" t="str">
        <f t="shared" si="1"/>
        <v>-</v>
      </c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>
      <c r="A732" s="96"/>
      <c r="B732" s="160"/>
      <c r="C732" s="96"/>
      <c r="D732" s="96" t="s">
        <v>654</v>
      </c>
      <c r="E732" s="93" t="str">
        <f t="shared" si="1"/>
        <v>-</v>
      </c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>
      <c r="A733" s="96"/>
      <c r="B733" s="160"/>
      <c r="C733" s="96"/>
      <c r="D733" s="96" t="s">
        <v>654</v>
      </c>
      <c r="E733" s="93" t="str">
        <f t="shared" si="1"/>
        <v>-</v>
      </c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>
      <c r="A734" s="96"/>
      <c r="B734" s="160"/>
      <c r="C734" s="96"/>
      <c r="D734" s="96" t="s">
        <v>654</v>
      </c>
      <c r="E734" s="93" t="str">
        <f t="shared" si="1"/>
        <v>-</v>
      </c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>
      <c r="A735" s="96"/>
      <c r="B735" s="160"/>
      <c r="C735" s="96"/>
      <c r="D735" s="96" t="s">
        <v>654</v>
      </c>
      <c r="E735" s="93" t="str">
        <f t="shared" si="1"/>
        <v>-</v>
      </c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>
      <c r="A736" s="96"/>
      <c r="B736" s="160"/>
      <c r="C736" s="96"/>
      <c r="D736" s="96" t="s">
        <v>654</v>
      </c>
      <c r="E736" s="93" t="str">
        <f t="shared" si="1"/>
        <v>-</v>
      </c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>
      <c r="A737" s="96"/>
      <c r="B737" s="160"/>
      <c r="C737" s="96"/>
      <c r="D737" s="96" t="s">
        <v>654</v>
      </c>
      <c r="E737" s="93" t="str">
        <f t="shared" si="1"/>
        <v>-</v>
      </c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>
      <c r="A738" s="96"/>
      <c r="B738" s="160"/>
      <c r="C738" s="96"/>
      <c r="D738" s="96" t="s">
        <v>654</v>
      </c>
      <c r="E738" s="93" t="str">
        <f t="shared" si="1"/>
        <v>-</v>
      </c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>
      <c r="A739" s="96"/>
      <c r="B739" s="160"/>
      <c r="C739" s="96"/>
      <c r="D739" s="96" t="s">
        <v>654</v>
      </c>
      <c r="E739" s="93" t="str">
        <f t="shared" si="1"/>
        <v>-</v>
      </c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>
      <c r="A740" s="96"/>
      <c r="B740" s="160"/>
      <c r="C740" s="96"/>
      <c r="D740" s="96" t="s">
        <v>654</v>
      </c>
      <c r="E740" s="93" t="str">
        <f t="shared" si="1"/>
        <v>-</v>
      </c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>
      <c r="A741" s="96"/>
      <c r="B741" s="160"/>
      <c r="C741" s="96"/>
      <c r="D741" s="96" t="s">
        <v>654</v>
      </c>
      <c r="E741" s="93" t="str">
        <f t="shared" si="1"/>
        <v>-</v>
      </c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>
      <c r="A742" s="96"/>
      <c r="B742" s="160"/>
      <c r="C742" s="96"/>
      <c r="D742" s="96" t="s">
        <v>654</v>
      </c>
      <c r="E742" s="93" t="str">
        <f t="shared" si="1"/>
        <v>-</v>
      </c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>
      <c r="A743" s="96"/>
      <c r="B743" s="160"/>
      <c r="C743" s="96"/>
      <c r="D743" s="96" t="s">
        <v>654</v>
      </c>
      <c r="E743" s="93" t="str">
        <f t="shared" si="1"/>
        <v>-</v>
      </c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>
      <c r="A744" s="96"/>
      <c r="B744" s="160"/>
      <c r="C744" s="96"/>
      <c r="D744" s="96" t="s">
        <v>654</v>
      </c>
      <c r="E744" s="93" t="str">
        <f t="shared" si="1"/>
        <v>-</v>
      </c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>
      <c r="A745" s="96"/>
      <c r="B745" s="160"/>
      <c r="C745" s="96"/>
      <c r="D745" s="96" t="s">
        <v>654</v>
      </c>
      <c r="E745" s="93" t="str">
        <f t="shared" si="1"/>
        <v>-</v>
      </c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>
      <c r="A746" s="96"/>
      <c r="B746" s="160"/>
      <c r="C746" s="96"/>
      <c r="D746" s="96" t="s">
        <v>654</v>
      </c>
      <c r="E746" s="93" t="str">
        <f t="shared" si="1"/>
        <v>-</v>
      </c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>
      <c r="A747" s="96"/>
      <c r="B747" s="160"/>
      <c r="C747" s="96"/>
      <c r="D747" s="96" t="s">
        <v>654</v>
      </c>
      <c r="E747" s="93" t="str">
        <f t="shared" si="1"/>
        <v>-</v>
      </c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>
      <c r="A748" s="96"/>
      <c r="B748" s="160"/>
      <c r="C748" s="96"/>
      <c r="D748" s="96" t="s">
        <v>654</v>
      </c>
      <c r="E748" s="93" t="str">
        <f t="shared" si="1"/>
        <v>-</v>
      </c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>
      <c r="A749" s="96"/>
      <c r="B749" s="160"/>
      <c r="C749" s="96"/>
      <c r="D749" s="96" t="s">
        <v>654</v>
      </c>
      <c r="E749" s="93" t="str">
        <f t="shared" si="1"/>
        <v>-</v>
      </c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>
      <c r="A750" s="96"/>
      <c r="B750" s="160"/>
      <c r="C750" s="96"/>
      <c r="D750" s="96" t="s">
        <v>654</v>
      </c>
      <c r="E750" s="93" t="str">
        <f t="shared" si="1"/>
        <v>-</v>
      </c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>
      <c r="A751" s="96"/>
      <c r="B751" s="160"/>
      <c r="C751" s="96"/>
      <c r="D751" s="96" t="s">
        <v>654</v>
      </c>
      <c r="E751" s="93" t="str">
        <f t="shared" si="1"/>
        <v>-</v>
      </c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>
      <c r="A752" s="96"/>
      <c r="B752" s="160"/>
      <c r="C752" s="96"/>
      <c r="D752" s="96" t="s">
        <v>654</v>
      </c>
      <c r="E752" s="93" t="str">
        <f t="shared" si="1"/>
        <v>-</v>
      </c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>
      <c r="A753" s="96"/>
      <c r="B753" s="160"/>
      <c r="C753" s="96"/>
      <c r="D753" s="96" t="s">
        <v>654</v>
      </c>
      <c r="E753" s="93" t="str">
        <f t="shared" si="1"/>
        <v>-</v>
      </c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>
      <c r="A754" s="96"/>
      <c r="B754" s="160"/>
      <c r="C754" s="96"/>
      <c r="D754" s="96" t="s">
        <v>654</v>
      </c>
      <c r="E754" s="93" t="str">
        <f t="shared" si="1"/>
        <v>-</v>
      </c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>
      <c r="A755" s="96"/>
      <c r="B755" s="160"/>
      <c r="C755" s="96"/>
      <c r="D755" s="96" t="s">
        <v>654</v>
      </c>
      <c r="E755" s="93" t="str">
        <f t="shared" si="1"/>
        <v>-</v>
      </c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>
      <c r="A756" s="96"/>
      <c r="B756" s="160"/>
      <c r="C756" s="96"/>
      <c r="D756" s="96" t="s">
        <v>654</v>
      </c>
      <c r="E756" s="93" t="str">
        <f t="shared" si="1"/>
        <v>-</v>
      </c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>
      <c r="A757" s="96"/>
      <c r="B757" s="160"/>
      <c r="C757" s="96"/>
      <c r="D757" s="96" t="s">
        <v>654</v>
      </c>
      <c r="E757" s="93" t="str">
        <f t="shared" si="1"/>
        <v>-</v>
      </c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>
      <c r="A758" s="96"/>
      <c r="B758" s="160"/>
      <c r="C758" s="96"/>
      <c r="D758" s="96" t="s">
        <v>654</v>
      </c>
      <c r="E758" s="93" t="str">
        <f t="shared" si="1"/>
        <v>-</v>
      </c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>
      <c r="A759" s="96"/>
      <c r="B759" s="160"/>
      <c r="C759" s="96"/>
      <c r="D759" s="96" t="s">
        <v>654</v>
      </c>
      <c r="E759" s="93" t="str">
        <f t="shared" si="1"/>
        <v>-</v>
      </c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>
      <c r="A760" s="96"/>
      <c r="B760" s="160"/>
      <c r="C760" s="96"/>
      <c r="D760" s="96" t="s">
        <v>654</v>
      </c>
      <c r="E760" s="93" t="str">
        <f t="shared" si="1"/>
        <v>-</v>
      </c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>
      <c r="A761" s="96"/>
      <c r="B761" s="160"/>
      <c r="C761" s="96"/>
      <c r="D761" s="96" t="s">
        <v>654</v>
      </c>
      <c r="E761" s="93" t="str">
        <f t="shared" si="1"/>
        <v>-</v>
      </c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>
      <c r="A762" s="96"/>
      <c r="B762" s="160"/>
      <c r="C762" s="96"/>
      <c r="D762" s="96" t="s">
        <v>654</v>
      </c>
      <c r="E762" s="93" t="str">
        <f t="shared" si="1"/>
        <v>-</v>
      </c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>
      <c r="A763" s="96"/>
      <c r="B763" s="160"/>
      <c r="C763" s="96"/>
      <c r="D763" s="96" t="s">
        <v>654</v>
      </c>
      <c r="E763" s="93" t="str">
        <f t="shared" si="1"/>
        <v>-</v>
      </c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>
      <c r="A764" s="96"/>
      <c r="B764" s="160"/>
      <c r="C764" s="96"/>
      <c r="D764" s="96" t="s">
        <v>654</v>
      </c>
      <c r="E764" s="93" t="str">
        <f t="shared" si="1"/>
        <v>-</v>
      </c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>
      <c r="A765" s="96"/>
      <c r="B765" s="160"/>
      <c r="C765" s="96"/>
      <c r="D765" s="96" t="s">
        <v>654</v>
      </c>
      <c r="E765" s="93" t="str">
        <f t="shared" si="1"/>
        <v>-</v>
      </c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>
      <c r="A766" s="96"/>
      <c r="B766" s="160"/>
      <c r="C766" s="96"/>
      <c r="D766" s="96" t="s">
        <v>654</v>
      </c>
      <c r="E766" s="93" t="str">
        <f t="shared" si="1"/>
        <v>-</v>
      </c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>
      <c r="A767" s="96"/>
      <c r="B767" s="160"/>
      <c r="C767" s="96"/>
      <c r="D767" s="96" t="s">
        <v>654</v>
      </c>
      <c r="E767" s="93" t="str">
        <f t="shared" si="1"/>
        <v>-</v>
      </c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>
      <c r="A768" s="96"/>
      <c r="B768" s="160"/>
      <c r="C768" s="96"/>
      <c r="D768" s="96" t="s">
        <v>654</v>
      </c>
      <c r="E768" s="93" t="str">
        <f t="shared" si="1"/>
        <v>-</v>
      </c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>
      <c r="A769" s="96"/>
      <c r="B769" s="160"/>
      <c r="C769" s="96"/>
      <c r="D769" s="96" t="s">
        <v>654</v>
      </c>
      <c r="E769" s="93" t="str">
        <f t="shared" si="1"/>
        <v>-</v>
      </c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>
      <c r="A770" s="96"/>
      <c r="B770" s="160"/>
      <c r="C770" s="96"/>
      <c r="D770" s="96" t="s">
        <v>654</v>
      </c>
      <c r="E770" s="93" t="str">
        <f t="shared" si="1"/>
        <v>-</v>
      </c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>
      <c r="A771" s="96"/>
      <c r="B771" s="160"/>
      <c r="C771" s="96"/>
      <c r="D771" s="96" t="s">
        <v>654</v>
      </c>
      <c r="E771" s="93" t="str">
        <f t="shared" si="1"/>
        <v>-</v>
      </c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>
      <c r="A772" s="96"/>
      <c r="B772" s="160"/>
      <c r="C772" s="96"/>
      <c r="D772" s="96" t="s">
        <v>654</v>
      </c>
      <c r="E772" s="93" t="str">
        <f t="shared" si="1"/>
        <v>-</v>
      </c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>
      <c r="A773" s="96"/>
      <c r="B773" s="160"/>
      <c r="C773" s="96"/>
      <c r="D773" s="96" t="s">
        <v>654</v>
      </c>
      <c r="E773" s="93" t="str">
        <f t="shared" si="1"/>
        <v>-</v>
      </c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>
      <c r="A774" s="96"/>
      <c r="B774" s="160"/>
      <c r="C774" s="96"/>
      <c r="D774" s="96" t="s">
        <v>654</v>
      </c>
      <c r="E774" s="93" t="str">
        <f t="shared" si="1"/>
        <v>-</v>
      </c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>
      <c r="A775" s="96"/>
      <c r="B775" s="160"/>
      <c r="C775" s="96"/>
      <c r="D775" s="96" t="s">
        <v>654</v>
      </c>
      <c r="E775" s="93" t="str">
        <f t="shared" si="1"/>
        <v>-</v>
      </c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>
      <c r="A776" s="96"/>
      <c r="B776" s="160"/>
      <c r="C776" s="96"/>
      <c r="D776" s="96" t="s">
        <v>654</v>
      </c>
      <c r="E776" s="93" t="str">
        <f t="shared" si="1"/>
        <v>-</v>
      </c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>
      <c r="A777" s="96"/>
      <c r="B777" s="160"/>
      <c r="C777" s="96"/>
      <c r="D777" s="96" t="s">
        <v>654</v>
      </c>
      <c r="E777" s="93" t="str">
        <f t="shared" si="1"/>
        <v>-</v>
      </c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>
      <c r="A778" s="96"/>
      <c r="B778" s="160"/>
      <c r="C778" s="96"/>
      <c r="D778" s="96" t="s">
        <v>654</v>
      </c>
      <c r="E778" s="93" t="str">
        <f t="shared" si="1"/>
        <v>-</v>
      </c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>
      <c r="A779" s="96"/>
      <c r="B779" s="160"/>
      <c r="C779" s="96"/>
      <c r="D779" s="96" t="s">
        <v>654</v>
      </c>
      <c r="E779" s="93" t="str">
        <f t="shared" si="1"/>
        <v>-</v>
      </c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>
      <c r="A780" s="96"/>
      <c r="B780" s="160"/>
      <c r="C780" s="96"/>
      <c r="D780" s="96" t="s">
        <v>654</v>
      </c>
      <c r="E780" s="93" t="str">
        <f t="shared" si="1"/>
        <v>-</v>
      </c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>
      <c r="A781" s="96"/>
      <c r="B781" s="160"/>
      <c r="C781" s="96"/>
      <c r="D781" s="96" t="s">
        <v>654</v>
      </c>
      <c r="E781" s="93" t="str">
        <f t="shared" si="1"/>
        <v>-</v>
      </c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>
      <c r="A782" s="96"/>
      <c r="B782" s="160"/>
      <c r="C782" s="96"/>
      <c r="D782" s="96" t="s">
        <v>654</v>
      </c>
      <c r="E782" s="93" t="str">
        <f t="shared" si="1"/>
        <v>-</v>
      </c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>
      <c r="A783" s="96"/>
      <c r="B783" s="160"/>
      <c r="C783" s="96"/>
      <c r="D783" s="96" t="s">
        <v>654</v>
      </c>
      <c r="E783" s="93" t="str">
        <f t="shared" si="1"/>
        <v>-</v>
      </c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>
      <c r="A784" s="96"/>
      <c r="B784" s="160"/>
      <c r="C784" s="96"/>
      <c r="D784" s="96" t="s">
        <v>654</v>
      </c>
      <c r="E784" s="93" t="str">
        <f t="shared" si="1"/>
        <v>-</v>
      </c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>
      <c r="A785" s="96"/>
      <c r="B785" s="160"/>
      <c r="C785" s="96"/>
      <c r="D785" s="96" t="s">
        <v>654</v>
      </c>
      <c r="E785" s="93" t="str">
        <f t="shared" si="1"/>
        <v>-</v>
      </c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>
      <c r="A786" s="96"/>
      <c r="B786" s="160"/>
      <c r="C786" s="96"/>
      <c r="D786" s="96" t="s">
        <v>654</v>
      </c>
      <c r="E786" s="93" t="str">
        <f t="shared" si="1"/>
        <v>-</v>
      </c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>
      <c r="A787" s="96"/>
      <c r="B787" s="160"/>
      <c r="C787" s="96"/>
      <c r="D787" s="96" t="s">
        <v>654</v>
      </c>
      <c r="E787" s="93" t="str">
        <f t="shared" si="1"/>
        <v>-</v>
      </c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>
      <c r="A788" s="96"/>
      <c r="B788" s="160"/>
      <c r="C788" s="96"/>
      <c r="D788" s="96" t="s">
        <v>654</v>
      </c>
      <c r="E788" s="93" t="str">
        <f t="shared" si="1"/>
        <v>-</v>
      </c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>
      <c r="A789" s="96"/>
      <c r="B789" s="160"/>
      <c r="C789" s="96"/>
      <c r="D789" s="96" t="s">
        <v>654</v>
      </c>
      <c r="E789" s="93" t="str">
        <f t="shared" si="1"/>
        <v>-</v>
      </c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>
      <c r="A790" s="96"/>
      <c r="B790" s="160"/>
      <c r="C790" s="96"/>
      <c r="D790" s="96" t="s">
        <v>654</v>
      </c>
      <c r="E790" s="93" t="str">
        <f t="shared" si="1"/>
        <v>-</v>
      </c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>
      <c r="A791" s="96"/>
      <c r="B791" s="160"/>
      <c r="C791" s="96"/>
      <c r="D791" s="96" t="s">
        <v>654</v>
      </c>
      <c r="E791" s="93" t="str">
        <f t="shared" si="1"/>
        <v>-</v>
      </c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>
      <c r="A792" s="96"/>
      <c r="B792" s="160"/>
      <c r="C792" s="96"/>
      <c r="D792" s="96" t="s">
        <v>654</v>
      </c>
      <c r="E792" s="93" t="str">
        <f t="shared" si="1"/>
        <v>-</v>
      </c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>
      <c r="A793" s="96"/>
      <c r="B793" s="160"/>
      <c r="C793" s="96"/>
      <c r="D793" s="96" t="s">
        <v>654</v>
      </c>
      <c r="E793" s="93" t="str">
        <f t="shared" si="1"/>
        <v>-</v>
      </c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>
      <c r="A794" s="96"/>
      <c r="B794" s="160"/>
      <c r="C794" s="96"/>
      <c r="D794" s="96" t="s">
        <v>654</v>
      </c>
      <c r="E794" s="93" t="str">
        <f t="shared" si="1"/>
        <v>-</v>
      </c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>
      <c r="A795" s="96"/>
      <c r="B795" s="160"/>
      <c r="C795" s="96"/>
      <c r="D795" s="96" t="s">
        <v>654</v>
      </c>
      <c r="E795" s="93" t="str">
        <f t="shared" si="1"/>
        <v>-</v>
      </c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>
      <c r="A796" s="96"/>
      <c r="B796" s="160"/>
      <c r="C796" s="96"/>
      <c r="D796" s="96" t="s">
        <v>654</v>
      </c>
      <c r="E796" s="93" t="str">
        <f t="shared" si="1"/>
        <v>-</v>
      </c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>
      <c r="A797" s="96"/>
      <c r="B797" s="160"/>
      <c r="C797" s="96"/>
      <c r="D797" s="96" t="s">
        <v>654</v>
      </c>
      <c r="E797" s="93" t="str">
        <f t="shared" si="1"/>
        <v>-</v>
      </c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>
      <c r="A798" s="96"/>
      <c r="B798" s="160"/>
      <c r="C798" s="96"/>
      <c r="D798" s="96" t="s">
        <v>654</v>
      </c>
      <c r="E798" s="93" t="str">
        <f t="shared" si="1"/>
        <v>-</v>
      </c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>
      <c r="A799" s="96"/>
      <c r="B799" s="160"/>
      <c r="C799" s="96"/>
      <c r="D799" s="96" t="s">
        <v>654</v>
      </c>
      <c r="E799" s="93" t="str">
        <f t="shared" si="1"/>
        <v>-</v>
      </c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>
      <c r="A800" s="96"/>
      <c r="B800" s="160"/>
      <c r="C800" s="96"/>
      <c r="D800" s="96" t="s">
        <v>654</v>
      </c>
      <c r="E800" s="93" t="str">
        <f t="shared" si="1"/>
        <v>-</v>
      </c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>
      <c r="A801" s="96"/>
      <c r="B801" s="160"/>
      <c r="C801" s="96"/>
      <c r="D801" s="96" t="s">
        <v>654</v>
      </c>
      <c r="E801" s="93" t="str">
        <f t="shared" si="1"/>
        <v>-</v>
      </c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>
      <c r="A802" s="96"/>
      <c r="B802" s="160"/>
      <c r="C802" s="96"/>
      <c r="D802" s="96" t="s">
        <v>654</v>
      </c>
      <c r="E802" s="93" t="str">
        <f t="shared" si="1"/>
        <v>-</v>
      </c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>
      <c r="A803" s="96"/>
      <c r="B803" s="160"/>
      <c r="C803" s="96"/>
      <c r="D803" s="96" t="s">
        <v>654</v>
      </c>
      <c r="E803" s="93" t="str">
        <f t="shared" si="1"/>
        <v>-</v>
      </c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>
      <c r="A804" s="96"/>
      <c r="B804" s="160"/>
      <c r="C804" s="96"/>
      <c r="D804" s="96" t="s">
        <v>654</v>
      </c>
      <c r="E804" s="93" t="str">
        <f t="shared" si="1"/>
        <v>-</v>
      </c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>
      <c r="A805" s="96"/>
      <c r="B805" s="160"/>
      <c r="C805" s="96"/>
      <c r="D805" s="96" t="s">
        <v>654</v>
      </c>
      <c r="E805" s="93" t="str">
        <f t="shared" si="1"/>
        <v>-</v>
      </c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>
      <c r="A806" s="96"/>
      <c r="B806" s="160"/>
      <c r="C806" s="96"/>
      <c r="D806" s="96" t="s">
        <v>654</v>
      </c>
      <c r="E806" s="93" t="str">
        <f t="shared" si="1"/>
        <v>-</v>
      </c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>
      <c r="A807" s="96"/>
      <c r="B807" s="160"/>
      <c r="C807" s="96"/>
      <c r="D807" s="96" t="s">
        <v>654</v>
      </c>
      <c r="E807" s="93" t="str">
        <f t="shared" si="1"/>
        <v>-</v>
      </c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>
      <c r="A808" s="96"/>
      <c r="B808" s="160"/>
      <c r="C808" s="96"/>
      <c r="D808" s="96" t="s">
        <v>654</v>
      </c>
      <c r="E808" s="93" t="str">
        <f t="shared" si="1"/>
        <v>-</v>
      </c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>
      <c r="A809" s="96"/>
      <c r="B809" s="160"/>
      <c r="C809" s="96"/>
      <c r="D809" s="96" t="s">
        <v>654</v>
      </c>
      <c r="E809" s="93" t="str">
        <f t="shared" si="1"/>
        <v>-</v>
      </c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>
      <c r="A810" s="96"/>
      <c r="B810" s="160"/>
      <c r="C810" s="96"/>
      <c r="D810" s="96" t="s">
        <v>654</v>
      </c>
      <c r="E810" s="93" t="str">
        <f t="shared" si="1"/>
        <v>-</v>
      </c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>
      <c r="A811" s="96"/>
      <c r="B811" s="160"/>
      <c r="C811" s="96"/>
      <c r="D811" s="96" t="s">
        <v>654</v>
      </c>
      <c r="E811" s="93" t="str">
        <f t="shared" si="1"/>
        <v>-</v>
      </c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>
      <c r="A812" s="96"/>
      <c r="B812" s="160"/>
      <c r="C812" s="96"/>
      <c r="D812" s="96" t="s">
        <v>654</v>
      </c>
      <c r="E812" s="93" t="str">
        <f t="shared" si="1"/>
        <v>-</v>
      </c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>
      <c r="A813" s="96"/>
      <c r="B813" s="160"/>
      <c r="C813" s="96"/>
      <c r="D813" s="96" t="s">
        <v>654</v>
      </c>
      <c r="E813" s="93" t="str">
        <f t="shared" si="1"/>
        <v>-</v>
      </c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>
      <c r="A814" s="96"/>
      <c r="B814" s="160"/>
      <c r="C814" s="96"/>
      <c r="D814" s="96" t="s">
        <v>654</v>
      </c>
      <c r="E814" s="93" t="str">
        <f t="shared" si="1"/>
        <v>-</v>
      </c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>
      <c r="A815" s="96"/>
      <c r="B815" s="160"/>
      <c r="C815" s="96"/>
      <c r="D815" s="96" t="s">
        <v>654</v>
      </c>
      <c r="E815" s="93" t="str">
        <f t="shared" si="1"/>
        <v>-</v>
      </c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>
      <c r="A816" s="96"/>
      <c r="B816" s="160"/>
      <c r="C816" s="96"/>
      <c r="D816" s="96" t="s">
        <v>654</v>
      </c>
      <c r="E816" s="93" t="str">
        <f t="shared" si="1"/>
        <v>-</v>
      </c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>
      <c r="A817" s="96"/>
      <c r="B817" s="160"/>
      <c r="C817" s="96"/>
      <c r="D817" s="96" t="s">
        <v>654</v>
      </c>
      <c r="E817" s="93" t="str">
        <f t="shared" si="1"/>
        <v>-</v>
      </c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>
      <c r="A818" s="96"/>
      <c r="B818" s="160"/>
      <c r="C818" s="96"/>
      <c r="D818" s="96" t="s">
        <v>654</v>
      </c>
      <c r="E818" s="93" t="str">
        <f t="shared" si="1"/>
        <v>-</v>
      </c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>
      <c r="A819" s="96"/>
      <c r="B819" s="160"/>
      <c r="C819" s="96"/>
      <c r="D819" s="96" t="s">
        <v>654</v>
      </c>
      <c r="E819" s="93" t="str">
        <f t="shared" si="1"/>
        <v>-</v>
      </c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>
      <c r="A820" s="96"/>
      <c r="B820" s="160"/>
      <c r="C820" s="96"/>
      <c r="D820" s="96" t="s">
        <v>654</v>
      </c>
      <c r="E820" s="93" t="str">
        <f t="shared" si="1"/>
        <v>-</v>
      </c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>
      <c r="A821" s="96"/>
      <c r="B821" s="160"/>
      <c r="C821" s="96"/>
      <c r="D821" s="96" t="s">
        <v>654</v>
      </c>
      <c r="E821" s="93" t="str">
        <f t="shared" si="1"/>
        <v>-</v>
      </c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>
      <c r="A822" s="96"/>
      <c r="B822" s="160"/>
      <c r="C822" s="96"/>
      <c r="D822" s="96" t="s">
        <v>654</v>
      </c>
      <c r="E822" s="93" t="str">
        <f t="shared" si="1"/>
        <v>-</v>
      </c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>
      <c r="A823" s="96"/>
      <c r="B823" s="160"/>
      <c r="C823" s="96"/>
      <c r="D823" s="96" t="s">
        <v>654</v>
      </c>
      <c r="E823" s="93" t="str">
        <f t="shared" si="1"/>
        <v>-</v>
      </c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>
      <c r="A824" s="96"/>
      <c r="B824" s="160"/>
      <c r="C824" s="96"/>
      <c r="D824" s="96" t="s">
        <v>654</v>
      </c>
      <c r="E824" s="93" t="str">
        <f t="shared" si="1"/>
        <v>-</v>
      </c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>
      <c r="A825" s="96"/>
      <c r="B825" s="160"/>
      <c r="C825" s="96"/>
      <c r="D825" s="96" t="s">
        <v>654</v>
      </c>
      <c r="E825" s="93" t="str">
        <f t="shared" si="1"/>
        <v>-</v>
      </c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>
      <c r="A826" s="96"/>
      <c r="B826" s="160"/>
      <c r="C826" s="96"/>
      <c r="D826" s="96" t="s">
        <v>654</v>
      </c>
      <c r="E826" s="93" t="str">
        <f t="shared" si="1"/>
        <v>-</v>
      </c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>
      <c r="A827" s="96"/>
      <c r="B827" s="160"/>
      <c r="C827" s="96"/>
      <c r="D827" s="96" t="s">
        <v>654</v>
      </c>
      <c r="E827" s="93" t="str">
        <f t="shared" si="1"/>
        <v>-</v>
      </c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>
      <c r="A828" s="96"/>
      <c r="B828" s="160"/>
      <c r="C828" s="96"/>
      <c r="D828" s="96" t="s">
        <v>654</v>
      </c>
      <c r="E828" s="93" t="str">
        <f t="shared" si="1"/>
        <v>-</v>
      </c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>
      <c r="A829" s="96"/>
      <c r="B829" s="160"/>
      <c r="C829" s="96"/>
      <c r="D829" s="96" t="s">
        <v>654</v>
      </c>
      <c r="E829" s="93" t="str">
        <f t="shared" si="1"/>
        <v>-</v>
      </c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>
      <c r="A830" s="96"/>
      <c r="B830" s="160"/>
      <c r="C830" s="96"/>
      <c r="D830" s="96" t="s">
        <v>654</v>
      </c>
      <c r="E830" s="93" t="str">
        <f t="shared" si="1"/>
        <v>-</v>
      </c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>
      <c r="A831" s="96"/>
      <c r="B831" s="160"/>
      <c r="C831" s="96"/>
      <c r="D831" s="96" t="s">
        <v>654</v>
      </c>
      <c r="E831" s="93" t="str">
        <f t="shared" si="1"/>
        <v>-</v>
      </c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>
      <c r="A832" s="96"/>
      <c r="B832" s="160"/>
      <c r="C832" s="96"/>
      <c r="D832" s="96" t="s">
        <v>654</v>
      </c>
      <c r="E832" s="93" t="str">
        <f t="shared" si="1"/>
        <v>-</v>
      </c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>
      <c r="A833" s="96"/>
      <c r="B833" s="160"/>
      <c r="C833" s="96"/>
      <c r="D833" s="96" t="s">
        <v>654</v>
      </c>
      <c r="E833" s="93" t="str">
        <f t="shared" si="1"/>
        <v>-</v>
      </c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>
      <c r="A834" s="96"/>
      <c r="B834" s="160"/>
      <c r="C834" s="96"/>
      <c r="D834" s="96" t="s">
        <v>654</v>
      </c>
      <c r="E834" s="93" t="str">
        <f t="shared" si="1"/>
        <v>-</v>
      </c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>
      <c r="A835" s="96"/>
      <c r="B835" s="160"/>
      <c r="C835" s="96"/>
      <c r="D835" s="96" t="s">
        <v>654</v>
      </c>
      <c r="E835" s="93" t="str">
        <f t="shared" si="1"/>
        <v>-</v>
      </c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>
      <c r="A836" s="96"/>
      <c r="B836" s="160"/>
      <c r="C836" s="96"/>
      <c r="D836" s="96" t="s">
        <v>654</v>
      </c>
      <c r="E836" s="93" t="str">
        <f t="shared" si="1"/>
        <v>-</v>
      </c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>
      <c r="A837" s="96"/>
      <c r="B837" s="160"/>
      <c r="C837" s="96"/>
      <c r="D837" s="96" t="s">
        <v>654</v>
      </c>
      <c r="E837" s="93" t="str">
        <f t="shared" si="1"/>
        <v>-</v>
      </c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>
      <c r="A838" s="96"/>
      <c r="B838" s="160"/>
      <c r="C838" s="96"/>
      <c r="D838" s="96" t="s">
        <v>654</v>
      </c>
      <c r="E838" s="93" t="str">
        <f t="shared" si="1"/>
        <v>-</v>
      </c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>
      <c r="A839" s="96"/>
      <c r="B839" s="160"/>
      <c r="C839" s="96"/>
      <c r="D839" s="96" t="s">
        <v>654</v>
      </c>
      <c r="E839" s="93" t="str">
        <f t="shared" si="1"/>
        <v>-</v>
      </c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>
      <c r="A840" s="96"/>
      <c r="B840" s="160"/>
      <c r="C840" s="96"/>
      <c r="D840" s="96" t="s">
        <v>654</v>
      </c>
      <c r="E840" s="93" t="str">
        <f t="shared" si="1"/>
        <v>-</v>
      </c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>
      <c r="A841" s="96"/>
      <c r="B841" s="160"/>
      <c r="C841" s="96"/>
      <c r="D841" s="96" t="s">
        <v>654</v>
      </c>
      <c r="E841" s="93" t="str">
        <f t="shared" si="1"/>
        <v>-</v>
      </c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>
      <c r="A842" s="96"/>
      <c r="B842" s="160"/>
      <c r="C842" s="96"/>
      <c r="D842" s="96" t="s">
        <v>654</v>
      </c>
      <c r="E842" s="93" t="str">
        <f t="shared" si="1"/>
        <v>-</v>
      </c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>
      <c r="A843" s="96"/>
      <c r="B843" s="160"/>
      <c r="C843" s="96"/>
      <c r="D843" s="96" t="s">
        <v>654</v>
      </c>
      <c r="E843" s="93" t="str">
        <f t="shared" si="1"/>
        <v>-</v>
      </c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>
      <c r="A844" s="96"/>
      <c r="B844" s="160"/>
      <c r="C844" s="96"/>
      <c r="D844" s="96" t="s">
        <v>654</v>
      </c>
      <c r="E844" s="93" t="str">
        <f t="shared" si="1"/>
        <v>-</v>
      </c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>
      <c r="A845" s="96"/>
      <c r="B845" s="160"/>
      <c r="C845" s="96"/>
      <c r="D845" s="96" t="s">
        <v>654</v>
      </c>
      <c r="E845" s="93" t="str">
        <f t="shared" si="1"/>
        <v>-</v>
      </c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>
      <c r="A846" s="96"/>
      <c r="B846" s="160"/>
      <c r="C846" s="96"/>
      <c r="D846" s="96" t="s">
        <v>654</v>
      </c>
      <c r="E846" s="93" t="str">
        <f t="shared" si="1"/>
        <v>-</v>
      </c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>
      <c r="A847" s="96"/>
      <c r="B847" s="160"/>
      <c r="C847" s="96"/>
      <c r="D847" s="96" t="s">
        <v>654</v>
      </c>
      <c r="E847" s="93" t="str">
        <f t="shared" si="1"/>
        <v>-</v>
      </c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>
      <c r="A848" s="96"/>
      <c r="B848" s="160"/>
      <c r="C848" s="96"/>
      <c r="D848" s="96" t="s">
        <v>654</v>
      </c>
      <c r="E848" s="93" t="str">
        <f t="shared" si="1"/>
        <v>-</v>
      </c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>
      <c r="A849" s="96"/>
      <c r="B849" s="160"/>
      <c r="C849" s="96"/>
      <c r="D849" s="96" t="s">
        <v>654</v>
      </c>
      <c r="E849" s="93" t="str">
        <f t="shared" si="1"/>
        <v>-</v>
      </c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>
      <c r="A850" s="96"/>
      <c r="B850" s="160"/>
      <c r="C850" s="96"/>
      <c r="D850" s="96" t="s">
        <v>654</v>
      </c>
      <c r="E850" s="93" t="str">
        <f t="shared" si="1"/>
        <v>-</v>
      </c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>
      <c r="A851" s="96"/>
      <c r="B851" s="160"/>
      <c r="C851" s="96"/>
      <c r="D851" s="96" t="s">
        <v>654</v>
      </c>
      <c r="E851" s="93" t="str">
        <f t="shared" si="1"/>
        <v>-</v>
      </c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>
      <c r="A852" s="96"/>
      <c r="B852" s="160"/>
      <c r="C852" s="96"/>
      <c r="D852" s="96" t="s">
        <v>654</v>
      </c>
      <c r="E852" s="93" t="str">
        <f t="shared" si="1"/>
        <v>-</v>
      </c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>
      <c r="A853" s="96"/>
      <c r="B853" s="160"/>
      <c r="C853" s="96"/>
      <c r="D853" s="96" t="s">
        <v>654</v>
      </c>
      <c r="E853" s="93" t="str">
        <f t="shared" si="1"/>
        <v>-</v>
      </c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>
      <c r="A854" s="96"/>
      <c r="B854" s="160"/>
      <c r="C854" s="96"/>
      <c r="D854" s="96" t="s">
        <v>654</v>
      </c>
      <c r="E854" s="93" t="str">
        <f t="shared" si="1"/>
        <v>-</v>
      </c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>
      <c r="A855" s="96"/>
      <c r="B855" s="160"/>
      <c r="C855" s="96"/>
      <c r="D855" s="96" t="s">
        <v>654</v>
      </c>
      <c r="E855" s="93" t="str">
        <f t="shared" si="1"/>
        <v>-</v>
      </c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>
      <c r="A856" s="96"/>
      <c r="B856" s="160"/>
      <c r="C856" s="96"/>
      <c r="D856" s="96" t="s">
        <v>654</v>
      </c>
      <c r="E856" s="93" t="str">
        <f t="shared" si="1"/>
        <v>-</v>
      </c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>
      <c r="A857" s="96"/>
      <c r="B857" s="160"/>
      <c r="C857" s="96"/>
      <c r="D857" s="96" t="s">
        <v>654</v>
      </c>
      <c r="E857" s="93" t="str">
        <f t="shared" si="1"/>
        <v>-</v>
      </c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>
      <c r="A858" s="96"/>
      <c r="B858" s="160"/>
      <c r="C858" s="96"/>
      <c r="D858" s="96" t="s">
        <v>654</v>
      </c>
      <c r="E858" s="93" t="str">
        <f t="shared" si="1"/>
        <v>-</v>
      </c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>
      <c r="A859" s="96"/>
      <c r="B859" s="160"/>
      <c r="C859" s="96"/>
      <c r="D859" s="96" t="s">
        <v>654</v>
      </c>
      <c r="E859" s="93" t="str">
        <f t="shared" si="1"/>
        <v>-</v>
      </c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>
      <c r="A860" s="96"/>
      <c r="B860" s="160"/>
      <c r="C860" s="96"/>
      <c r="D860" s="96" t="s">
        <v>654</v>
      </c>
      <c r="E860" s="93" t="str">
        <f t="shared" si="1"/>
        <v>-</v>
      </c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>
      <c r="A861" s="96"/>
      <c r="B861" s="160"/>
      <c r="C861" s="96"/>
      <c r="D861" s="96" t="s">
        <v>654</v>
      </c>
      <c r="E861" s="93" t="str">
        <f t="shared" si="1"/>
        <v>-</v>
      </c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>
      <c r="A862" s="96"/>
      <c r="B862" s="160"/>
      <c r="C862" s="96"/>
      <c r="D862" s="96" t="s">
        <v>654</v>
      </c>
      <c r="E862" s="93" t="str">
        <f t="shared" si="1"/>
        <v>-</v>
      </c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>
      <c r="A863" s="96"/>
      <c r="B863" s="160"/>
      <c r="C863" s="96"/>
      <c r="D863" s="96" t="s">
        <v>654</v>
      </c>
      <c r="E863" s="93" t="str">
        <f t="shared" si="1"/>
        <v>-</v>
      </c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>
      <c r="A864" s="96"/>
      <c r="B864" s="160"/>
      <c r="C864" s="96"/>
      <c r="D864" s="96" t="s">
        <v>654</v>
      </c>
      <c r="E864" s="93" t="str">
        <f t="shared" si="1"/>
        <v>-</v>
      </c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>
      <c r="A865" s="96"/>
      <c r="B865" s="160"/>
      <c r="C865" s="96"/>
      <c r="D865" s="96" t="s">
        <v>654</v>
      </c>
      <c r="E865" s="93" t="str">
        <f t="shared" si="1"/>
        <v>-</v>
      </c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>
      <c r="A866" s="96"/>
      <c r="B866" s="160"/>
      <c r="C866" s="96"/>
      <c r="D866" s="96" t="s">
        <v>654</v>
      </c>
      <c r="E866" s="93" t="str">
        <f t="shared" si="1"/>
        <v>-</v>
      </c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>
      <c r="A867" s="96"/>
      <c r="B867" s="160"/>
      <c r="C867" s="96"/>
      <c r="D867" s="96" t="s">
        <v>654</v>
      </c>
      <c r="E867" s="93" t="str">
        <f t="shared" si="1"/>
        <v>-</v>
      </c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>
      <c r="A868" s="96"/>
      <c r="B868" s="160"/>
      <c r="C868" s="96"/>
      <c r="D868" s="96" t="s">
        <v>654</v>
      </c>
      <c r="E868" s="93" t="str">
        <f t="shared" si="1"/>
        <v>-</v>
      </c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>
      <c r="A869" s="96"/>
      <c r="B869" s="160"/>
      <c r="C869" s="96"/>
      <c r="D869" s="96" t="s">
        <v>654</v>
      </c>
      <c r="E869" s="93" t="str">
        <f t="shared" si="1"/>
        <v>-</v>
      </c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>
      <c r="A870" s="96"/>
      <c r="B870" s="160"/>
      <c r="C870" s="96"/>
      <c r="D870" s="96" t="s">
        <v>654</v>
      </c>
      <c r="E870" s="93" t="str">
        <f t="shared" si="1"/>
        <v>-</v>
      </c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>
      <c r="A871" s="96"/>
      <c r="B871" s="160"/>
      <c r="C871" s="96"/>
      <c r="D871" s="96" t="s">
        <v>654</v>
      </c>
      <c r="E871" s="93" t="str">
        <f t="shared" si="1"/>
        <v>-</v>
      </c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>
      <c r="A872" s="96"/>
      <c r="B872" s="160"/>
      <c r="C872" s="96"/>
      <c r="D872" s="96" t="s">
        <v>654</v>
      </c>
      <c r="E872" s="93" t="str">
        <f t="shared" si="1"/>
        <v>-</v>
      </c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>
      <c r="A873" s="96"/>
      <c r="B873" s="160"/>
      <c r="C873" s="96"/>
      <c r="D873" s="96" t="s">
        <v>654</v>
      </c>
      <c r="E873" s="93" t="str">
        <f t="shared" si="1"/>
        <v>-</v>
      </c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>
      <c r="A874" s="96"/>
      <c r="B874" s="160"/>
      <c r="C874" s="96"/>
      <c r="D874" s="96" t="s">
        <v>654</v>
      </c>
      <c r="E874" s="93" t="str">
        <f t="shared" si="1"/>
        <v>-</v>
      </c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>
      <c r="A875" s="96"/>
      <c r="B875" s="160"/>
      <c r="C875" s="96"/>
      <c r="D875" s="96" t="s">
        <v>654</v>
      </c>
      <c r="E875" s="93" t="str">
        <f t="shared" si="1"/>
        <v>-</v>
      </c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>
      <c r="A876" s="96"/>
      <c r="B876" s="160"/>
      <c r="C876" s="96"/>
      <c r="D876" s="96" t="s">
        <v>654</v>
      </c>
      <c r="E876" s="93" t="str">
        <f t="shared" si="1"/>
        <v>-</v>
      </c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>
      <c r="A877" s="96"/>
      <c r="B877" s="160"/>
      <c r="C877" s="96"/>
      <c r="D877" s="96" t="s">
        <v>654</v>
      </c>
      <c r="E877" s="93" t="str">
        <f t="shared" si="1"/>
        <v>-</v>
      </c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>
      <c r="A878" s="96"/>
      <c r="B878" s="160"/>
      <c r="C878" s="96"/>
      <c r="D878" s="96" t="s">
        <v>654</v>
      </c>
      <c r="E878" s="93" t="str">
        <f t="shared" si="1"/>
        <v>-</v>
      </c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>
      <c r="A879" s="96"/>
      <c r="B879" s="160"/>
      <c r="C879" s="96"/>
      <c r="D879" s="96" t="s">
        <v>654</v>
      </c>
      <c r="E879" s="93" t="str">
        <f t="shared" si="1"/>
        <v>-</v>
      </c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>
      <c r="A880" s="96"/>
      <c r="B880" s="160"/>
      <c r="C880" s="96"/>
      <c r="D880" s="96" t="s">
        <v>654</v>
      </c>
      <c r="E880" s="93" t="str">
        <f t="shared" si="1"/>
        <v>-</v>
      </c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>
      <c r="A881" s="96"/>
      <c r="B881" s="160"/>
      <c r="C881" s="96"/>
      <c r="D881" s="96" t="s">
        <v>654</v>
      </c>
      <c r="E881" s="93" t="str">
        <f t="shared" si="1"/>
        <v>-</v>
      </c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>
      <c r="A882" s="96"/>
      <c r="B882" s="160"/>
      <c r="C882" s="96"/>
      <c r="D882" s="96" t="s">
        <v>654</v>
      </c>
      <c r="E882" s="93" t="str">
        <f t="shared" si="1"/>
        <v>-</v>
      </c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>
      <c r="A883" s="96"/>
      <c r="B883" s="160"/>
      <c r="C883" s="96"/>
      <c r="D883" s="96" t="s">
        <v>654</v>
      </c>
      <c r="E883" s="93" t="str">
        <f t="shared" si="1"/>
        <v>-</v>
      </c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>
      <c r="A884" s="96"/>
      <c r="B884" s="160"/>
      <c r="C884" s="96"/>
      <c r="D884" s="96" t="s">
        <v>654</v>
      </c>
      <c r="E884" s="93" t="str">
        <f t="shared" si="1"/>
        <v>-</v>
      </c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>
      <c r="A885" s="96"/>
      <c r="B885" s="160"/>
      <c r="C885" s="96"/>
      <c r="D885" s="96" t="s">
        <v>654</v>
      </c>
      <c r="E885" s="93" t="str">
        <f t="shared" si="1"/>
        <v>-</v>
      </c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>
      <c r="A886" s="96"/>
      <c r="B886" s="160"/>
      <c r="C886" s="96"/>
      <c r="D886" s="96" t="s">
        <v>654</v>
      </c>
      <c r="E886" s="93" t="str">
        <f t="shared" si="1"/>
        <v>-</v>
      </c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>
      <c r="A887" s="96"/>
      <c r="B887" s="160"/>
      <c r="C887" s="96"/>
      <c r="D887" s="96" t="s">
        <v>654</v>
      </c>
      <c r="E887" s="93" t="str">
        <f t="shared" si="1"/>
        <v>-</v>
      </c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>
      <c r="A888" s="96"/>
      <c r="B888" s="160"/>
      <c r="C888" s="96"/>
      <c r="D888" s="96" t="s">
        <v>654</v>
      </c>
      <c r="E888" s="93" t="str">
        <f t="shared" si="1"/>
        <v>-</v>
      </c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>
      <c r="A889" s="96"/>
      <c r="B889" s="160"/>
      <c r="C889" s="96"/>
      <c r="D889" s="96" t="s">
        <v>654</v>
      </c>
      <c r="E889" s="93" t="str">
        <f t="shared" si="1"/>
        <v>-</v>
      </c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>
      <c r="A890" s="96"/>
      <c r="B890" s="160"/>
      <c r="C890" s="96"/>
      <c r="D890" s="96" t="s">
        <v>654</v>
      </c>
      <c r="E890" s="93" t="str">
        <f t="shared" si="1"/>
        <v>-</v>
      </c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>
      <c r="A891" s="96"/>
      <c r="B891" s="160"/>
      <c r="C891" s="96"/>
      <c r="D891" s="96" t="s">
        <v>654</v>
      </c>
      <c r="E891" s="93" t="str">
        <f t="shared" si="1"/>
        <v>-</v>
      </c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>
      <c r="A892" s="96"/>
      <c r="B892" s="160"/>
      <c r="C892" s="96"/>
      <c r="D892" s="96" t="s">
        <v>654</v>
      </c>
      <c r="E892" s="93" t="str">
        <f t="shared" si="1"/>
        <v>-</v>
      </c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>
      <c r="A893" s="96"/>
      <c r="B893" s="160"/>
      <c r="C893" s="96"/>
      <c r="D893" s="96" t="s">
        <v>654</v>
      </c>
      <c r="E893" s="93" t="str">
        <f t="shared" si="1"/>
        <v>-</v>
      </c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>
      <c r="A894" s="96"/>
      <c r="B894" s="160"/>
      <c r="C894" s="96"/>
      <c r="D894" s="96" t="s">
        <v>654</v>
      </c>
      <c r="E894" s="93" t="str">
        <f t="shared" si="1"/>
        <v>-</v>
      </c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>
      <c r="A895" s="96"/>
      <c r="B895" s="160"/>
      <c r="C895" s="96"/>
      <c r="D895" s="96" t="s">
        <v>654</v>
      </c>
      <c r="E895" s="93" t="str">
        <f t="shared" si="1"/>
        <v>-</v>
      </c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>
      <c r="A896" s="96"/>
      <c r="B896" s="160"/>
      <c r="C896" s="96"/>
      <c r="D896" s="96" t="s">
        <v>654</v>
      </c>
      <c r="E896" s="93" t="str">
        <f t="shared" si="1"/>
        <v>-</v>
      </c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>
      <c r="A897" s="96"/>
      <c r="B897" s="160"/>
      <c r="C897" s="96"/>
      <c r="D897" s="96" t="s">
        <v>654</v>
      </c>
      <c r="E897" s="93" t="str">
        <f t="shared" si="1"/>
        <v>-</v>
      </c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>
      <c r="A898" s="96"/>
      <c r="B898" s="160"/>
      <c r="C898" s="96"/>
      <c r="D898" s="96" t="s">
        <v>654</v>
      </c>
      <c r="E898" s="93" t="str">
        <f t="shared" si="1"/>
        <v>-</v>
      </c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>
      <c r="A899" s="96"/>
      <c r="B899" s="160"/>
      <c r="C899" s="96"/>
      <c r="D899" s="96" t="s">
        <v>654</v>
      </c>
      <c r="E899" s="93" t="str">
        <f t="shared" si="1"/>
        <v>-</v>
      </c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>
      <c r="A900" s="96"/>
      <c r="B900" s="160"/>
      <c r="C900" s="96"/>
      <c r="D900" s="96" t="s">
        <v>654</v>
      </c>
      <c r="E900" s="93" t="str">
        <f t="shared" si="1"/>
        <v>-</v>
      </c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>
      <c r="A901" s="96"/>
      <c r="B901" s="160"/>
      <c r="C901" s="96"/>
      <c r="D901" s="96" t="s">
        <v>654</v>
      </c>
      <c r="E901" s="93" t="str">
        <f t="shared" si="1"/>
        <v>-</v>
      </c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>
      <c r="A902" s="96"/>
      <c r="B902" s="160"/>
      <c r="C902" s="96"/>
      <c r="D902" s="96" t="s">
        <v>654</v>
      </c>
      <c r="E902" s="93" t="str">
        <f t="shared" si="1"/>
        <v>-</v>
      </c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>
      <c r="A903" s="96"/>
      <c r="B903" s="160"/>
      <c r="C903" s="96"/>
      <c r="D903" s="96" t="s">
        <v>654</v>
      </c>
      <c r="E903" s="93" t="str">
        <f t="shared" si="1"/>
        <v>-</v>
      </c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>
      <c r="A904" s="96"/>
      <c r="B904" s="160"/>
      <c r="C904" s="96"/>
      <c r="D904" s="96" t="s">
        <v>654</v>
      </c>
      <c r="E904" s="93" t="str">
        <f t="shared" si="1"/>
        <v>-</v>
      </c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>
      <c r="A905" s="96"/>
      <c r="B905" s="160"/>
      <c r="C905" s="96"/>
      <c r="D905" s="96" t="s">
        <v>654</v>
      </c>
      <c r="E905" s="93" t="str">
        <f t="shared" si="1"/>
        <v>-</v>
      </c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>
      <c r="A906" s="96"/>
      <c r="B906" s="160"/>
      <c r="C906" s="96"/>
      <c r="D906" s="96" t="s">
        <v>654</v>
      </c>
      <c r="E906" s="93" t="str">
        <f t="shared" si="1"/>
        <v>-</v>
      </c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>
      <c r="A907" s="96"/>
      <c r="B907" s="160"/>
      <c r="C907" s="96"/>
      <c r="D907" s="96" t="s">
        <v>654</v>
      </c>
      <c r="E907" s="93" t="str">
        <f t="shared" si="1"/>
        <v>-</v>
      </c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>
      <c r="A908" s="96"/>
      <c r="B908" s="160"/>
      <c r="C908" s="96"/>
      <c r="D908" s="96" t="s">
        <v>654</v>
      </c>
      <c r="E908" s="93" t="str">
        <f t="shared" si="1"/>
        <v>-</v>
      </c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>
      <c r="A909" s="96"/>
      <c r="B909" s="160"/>
      <c r="C909" s="96"/>
      <c r="D909" s="96" t="s">
        <v>654</v>
      </c>
      <c r="E909" s="93" t="str">
        <f t="shared" si="1"/>
        <v>-</v>
      </c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>
      <c r="A910" s="96"/>
      <c r="B910" s="160"/>
      <c r="C910" s="96"/>
      <c r="D910" s="96" t="s">
        <v>654</v>
      </c>
      <c r="E910" s="93" t="str">
        <f t="shared" si="1"/>
        <v>-</v>
      </c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>
      <c r="A911" s="96"/>
      <c r="B911" s="160"/>
      <c r="C911" s="96"/>
      <c r="D911" s="96" t="s">
        <v>654</v>
      </c>
      <c r="E911" s="93" t="str">
        <f t="shared" si="1"/>
        <v>-</v>
      </c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>
      <c r="A912" s="96"/>
      <c r="B912" s="160"/>
      <c r="C912" s="96"/>
      <c r="D912" s="96" t="s">
        <v>654</v>
      </c>
      <c r="E912" s="93" t="str">
        <f t="shared" si="1"/>
        <v>-</v>
      </c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>
      <c r="A913" s="96"/>
      <c r="B913" s="160"/>
      <c r="C913" s="96"/>
      <c r="D913" s="96" t="s">
        <v>654</v>
      </c>
      <c r="E913" s="93" t="str">
        <f t="shared" si="1"/>
        <v>-</v>
      </c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>
      <c r="A914" s="96"/>
      <c r="B914" s="160"/>
      <c r="C914" s="96"/>
      <c r="D914" s="96" t="s">
        <v>654</v>
      </c>
      <c r="E914" s="93" t="str">
        <f t="shared" si="1"/>
        <v>-</v>
      </c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>
      <c r="A915" s="96"/>
      <c r="B915" s="160"/>
      <c r="C915" s="96"/>
      <c r="D915" s="96" t="s">
        <v>654</v>
      </c>
      <c r="E915" s="93" t="str">
        <f t="shared" si="1"/>
        <v>-</v>
      </c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>
      <c r="A916" s="96"/>
      <c r="B916" s="160"/>
      <c r="C916" s="96"/>
      <c r="D916" s="96" t="s">
        <v>654</v>
      </c>
      <c r="E916" s="93" t="str">
        <f t="shared" si="1"/>
        <v>-</v>
      </c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>
      <c r="A917" s="96"/>
      <c r="B917" s="160"/>
      <c r="C917" s="96"/>
      <c r="D917" s="96" t="s">
        <v>654</v>
      </c>
      <c r="E917" s="93" t="str">
        <f t="shared" si="1"/>
        <v>-</v>
      </c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>
      <c r="A918" s="96"/>
      <c r="B918" s="160"/>
      <c r="C918" s="96"/>
      <c r="D918" s="96" t="s">
        <v>654</v>
      </c>
      <c r="E918" s="93" t="str">
        <f t="shared" si="1"/>
        <v>-</v>
      </c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>
      <c r="A919" s="96"/>
      <c r="B919" s="160"/>
      <c r="C919" s="96"/>
      <c r="D919" s="96" t="s">
        <v>654</v>
      </c>
      <c r="E919" s="93" t="str">
        <f t="shared" si="1"/>
        <v>-</v>
      </c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>
      <c r="A920" s="96"/>
      <c r="B920" s="160"/>
      <c r="C920" s="96"/>
      <c r="D920" s="96" t="s">
        <v>654</v>
      </c>
      <c r="E920" s="93" t="str">
        <f t="shared" si="1"/>
        <v>-</v>
      </c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>
      <c r="A921" s="96"/>
      <c r="B921" s="160"/>
      <c r="C921" s="96"/>
      <c r="D921" s="96" t="s">
        <v>654</v>
      </c>
      <c r="E921" s="93" t="str">
        <f t="shared" si="1"/>
        <v>-</v>
      </c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>
      <c r="A922" s="96"/>
      <c r="B922" s="160"/>
      <c r="C922" s="96"/>
      <c r="D922" s="96" t="s">
        <v>654</v>
      </c>
      <c r="E922" s="93" t="str">
        <f t="shared" si="1"/>
        <v>-</v>
      </c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>
      <c r="A923" s="96"/>
      <c r="B923" s="160"/>
      <c r="C923" s="96"/>
      <c r="D923" s="96" t="s">
        <v>654</v>
      </c>
      <c r="E923" s="93" t="str">
        <f t="shared" si="1"/>
        <v>-</v>
      </c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>
      <c r="A924" s="96"/>
      <c r="B924" s="160"/>
      <c r="C924" s="96"/>
      <c r="D924" s="96" t="s">
        <v>654</v>
      </c>
      <c r="E924" s="93" t="str">
        <f t="shared" si="1"/>
        <v>-</v>
      </c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>
      <c r="A925" s="96"/>
      <c r="B925" s="160"/>
      <c r="C925" s="96"/>
      <c r="D925" s="96" t="s">
        <v>654</v>
      </c>
      <c r="E925" s="93" t="str">
        <f t="shared" si="1"/>
        <v>-</v>
      </c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>
      <c r="A926" s="96"/>
      <c r="B926" s="160"/>
      <c r="C926" s="96"/>
      <c r="D926" s="96" t="s">
        <v>654</v>
      </c>
      <c r="E926" s="93" t="str">
        <f t="shared" si="1"/>
        <v>-</v>
      </c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>
      <c r="A927" s="96"/>
      <c r="B927" s="160"/>
      <c r="C927" s="96"/>
      <c r="D927" s="96" t="s">
        <v>654</v>
      </c>
      <c r="E927" s="93" t="str">
        <f t="shared" si="1"/>
        <v>-</v>
      </c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>
      <c r="A928" s="96"/>
      <c r="B928" s="160"/>
      <c r="C928" s="96"/>
      <c r="D928" s="96" t="s">
        <v>654</v>
      </c>
      <c r="E928" s="93" t="str">
        <f t="shared" si="1"/>
        <v>-</v>
      </c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>
      <c r="A929" s="96"/>
      <c r="B929" s="160"/>
      <c r="C929" s="96"/>
      <c r="D929" s="96" t="s">
        <v>654</v>
      </c>
      <c r="E929" s="93" t="str">
        <f t="shared" si="1"/>
        <v>-</v>
      </c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>
      <c r="A930" s="96"/>
      <c r="B930" s="160"/>
      <c r="C930" s="96"/>
      <c r="D930" s="96" t="s">
        <v>654</v>
      </c>
      <c r="E930" s="93" t="str">
        <f t="shared" si="1"/>
        <v>-</v>
      </c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>
      <c r="A931" s="96"/>
      <c r="B931" s="160"/>
      <c r="C931" s="96"/>
      <c r="D931" s="96" t="s">
        <v>654</v>
      </c>
      <c r="E931" s="93" t="str">
        <f t="shared" si="1"/>
        <v>-</v>
      </c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>
      <c r="A932" s="96"/>
      <c r="B932" s="160"/>
      <c r="C932" s="96"/>
      <c r="D932" s="96" t="s">
        <v>654</v>
      </c>
      <c r="E932" s="93" t="str">
        <f t="shared" si="1"/>
        <v>-</v>
      </c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>
      <c r="A933" s="96"/>
      <c r="B933" s="160"/>
      <c r="C933" s="96"/>
      <c r="D933" s="96" t="s">
        <v>654</v>
      </c>
      <c r="E933" s="93" t="str">
        <f t="shared" si="1"/>
        <v>-</v>
      </c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>
      <c r="A934" s="96"/>
      <c r="B934" s="160"/>
      <c r="C934" s="96"/>
      <c r="D934" s="96" t="s">
        <v>654</v>
      </c>
      <c r="E934" s="93" t="str">
        <f t="shared" si="1"/>
        <v>-</v>
      </c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>
      <c r="A935" s="96"/>
      <c r="B935" s="160"/>
      <c r="C935" s="96"/>
      <c r="D935" s="96" t="s">
        <v>654</v>
      </c>
      <c r="E935" s="93" t="str">
        <f t="shared" si="1"/>
        <v>-</v>
      </c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>
      <c r="A936" s="96"/>
      <c r="B936" s="160"/>
      <c r="C936" s="96"/>
      <c r="D936" s="96" t="s">
        <v>654</v>
      </c>
      <c r="E936" s="93" t="str">
        <f t="shared" si="1"/>
        <v>-</v>
      </c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>
      <c r="A937" s="96"/>
      <c r="B937" s="160"/>
      <c r="C937" s="96"/>
      <c r="D937" s="96" t="s">
        <v>654</v>
      </c>
      <c r="E937" s="93" t="str">
        <f t="shared" si="1"/>
        <v>-</v>
      </c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>
      <c r="A938" s="96"/>
      <c r="B938" s="160"/>
      <c r="C938" s="96"/>
      <c r="D938" s="96" t="s">
        <v>654</v>
      </c>
      <c r="E938" s="93" t="str">
        <f t="shared" si="1"/>
        <v>-</v>
      </c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>
      <c r="A939" s="96"/>
      <c r="B939" s="160"/>
      <c r="C939" s="96"/>
      <c r="D939" s="96" t="s">
        <v>654</v>
      </c>
      <c r="E939" s="93" t="str">
        <f t="shared" si="1"/>
        <v>-</v>
      </c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>
      <c r="A940" s="96"/>
      <c r="B940" s="160"/>
      <c r="C940" s="96"/>
      <c r="D940" s="96" t="s">
        <v>654</v>
      </c>
      <c r="E940" s="93" t="str">
        <f t="shared" si="1"/>
        <v>-</v>
      </c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>
      <c r="A941" s="96"/>
      <c r="B941" s="160"/>
      <c r="C941" s="96"/>
      <c r="D941" s="96" t="s">
        <v>654</v>
      </c>
      <c r="E941" s="93" t="str">
        <f t="shared" si="1"/>
        <v>-</v>
      </c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>
      <c r="A942" s="96"/>
      <c r="B942" s="160"/>
      <c r="C942" s="96"/>
      <c r="D942" s="96" t="s">
        <v>654</v>
      </c>
      <c r="E942" s="93" t="str">
        <f t="shared" si="1"/>
        <v>-</v>
      </c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>
      <c r="A943" s="96"/>
      <c r="B943" s="160"/>
      <c r="C943" s="96"/>
      <c r="D943" s="96" t="s">
        <v>654</v>
      </c>
      <c r="E943" s="93" t="str">
        <f t="shared" si="1"/>
        <v>-</v>
      </c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>
      <c r="A944" s="96"/>
      <c r="B944" s="160"/>
      <c r="C944" s="96"/>
      <c r="D944" s="96" t="s">
        <v>654</v>
      </c>
      <c r="E944" s="93" t="str">
        <f t="shared" si="1"/>
        <v>-</v>
      </c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>
      <c r="A945" s="96"/>
      <c r="B945" s="160"/>
      <c r="C945" s="96"/>
      <c r="D945" s="96" t="s">
        <v>654</v>
      </c>
      <c r="E945" s="93" t="str">
        <f t="shared" si="1"/>
        <v>-</v>
      </c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>
      <c r="A946" s="96"/>
      <c r="B946" s="160"/>
      <c r="C946" s="96"/>
      <c r="D946" s="96" t="s">
        <v>654</v>
      </c>
      <c r="E946" s="93" t="str">
        <f t="shared" si="1"/>
        <v>-</v>
      </c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>
      <c r="A947" s="96"/>
      <c r="B947" s="160"/>
      <c r="C947" s="96"/>
      <c r="D947" s="96" t="s">
        <v>654</v>
      </c>
      <c r="E947" s="93" t="str">
        <f t="shared" si="1"/>
        <v>-</v>
      </c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>
      <c r="A948" s="96"/>
      <c r="B948" s="160"/>
      <c r="C948" s="96"/>
      <c r="D948" s="96" t="s">
        <v>654</v>
      </c>
      <c r="E948" s="93" t="str">
        <f t="shared" si="1"/>
        <v>-</v>
      </c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>
      <c r="A949" s="96"/>
      <c r="B949" s="160"/>
      <c r="C949" s="96"/>
      <c r="D949" s="96" t="s">
        <v>654</v>
      </c>
      <c r="E949" s="93" t="str">
        <f t="shared" si="1"/>
        <v>-</v>
      </c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>
      <c r="A950" s="96"/>
      <c r="B950" s="160"/>
      <c r="C950" s="96"/>
      <c r="D950" s="96" t="s">
        <v>654</v>
      </c>
      <c r="E950" s="93" t="str">
        <f t="shared" si="1"/>
        <v>-</v>
      </c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>
      <c r="A951" s="96"/>
      <c r="B951" s="160"/>
      <c r="C951" s="96"/>
      <c r="D951" s="96" t="s">
        <v>654</v>
      </c>
      <c r="E951" s="93" t="str">
        <f t="shared" si="1"/>
        <v>-</v>
      </c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>
      <c r="A952" s="96"/>
      <c r="B952" s="160"/>
      <c r="C952" s="96"/>
      <c r="D952" s="96" t="s">
        <v>654</v>
      </c>
      <c r="E952" s="93" t="str">
        <f t="shared" si="1"/>
        <v>-</v>
      </c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>
      <c r="A953" s="96"/>
      <c r="B953" s="160"/>
      <c r="C953" s="96"/>
      <c r="D953" s="96" t="s">
        <v>654</v>
      </c>
      <c r="E953" s="93" t="str">
        <f t="shared" si="1"/>
        <v>-</v>
      </c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>
      <c r="A954" s="96"/>
      <c r="B954" s="160"/>
      <c r="C954" s="96"/>
      <c r="D954" s="96" t="s">
        <v>654</v>
      </c>
      <c r="E954" s="93" t="str">
        <f t="shared" si="1"/>
        <v>-</v>
      </c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>
      <c r="A955" s="96"/>
      <c r="B955" s="160"/>
      <c r="C955" s="96"/>
      <c r="D955" s="96" t="s">
        <v>654</v>
      </c>
      <c r="E955" s="93" t="str">
        <f t="shared" si="1"/>
        <v>-</v>
      </c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>
      <c r="A956" s="96"/>
      <c r="B956" s="160"/>
      <c r="C956" s="96"/>
      <c r="D956" s="96" t="s">
        <v>654</v>
      </c>
      <c r="E956" s="93" t="str">
        <f t="shared" si="1"/>
        <v>-</v>
      </c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>
      <c r="A957" s="96"/>
      <c r="B957" s="160"/>
      <c r="C957" s="96"/>
      <c r="D957" s="96" t="s">
        <v>654</v>
      </c>
      <c r="E957" s="93" t="str">
        <f t="shared" si="1"/>
        <v>-</v>
      </c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>
      <c r="A958" s="96"/>
      <c r="B958" s="160"/>
      <c r="C958" s="96"/>
      <c r="D958" s="96" t="s">
        <v>654</v>
      </c>
      <c r="E958" s="93" t="str">
        <f t="shared" si="1"/>
        <v>-</v>
      </c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>
      <c r="A959" s="96"/>
      <c r="B959" s="160"/>
      <c r="C959" s="96"/>
      <c r="D959" s="96" t="s">
        <v>654</v>
      </c>
      <c r="E959" s="93" t="str">
        <f t="shared" si="1"/>
        <v>-</v>
      </c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>
      <c r="A960" s="96"/>
      <c r="B960" s="160"/>
      <c r="C960" s="96"/>
      <c r="D960" s="96" t="s">
        <v>654</v>
      </c>
      <c r="E960" s="93" t="str">
        <f t="shared" si="1"/>
        <v>-</v>
      </c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>
      <c r="A961" s="96"/>
      <c r="B961" s="160"/>
      <c r="C961" s="96"/>
      <c r="D961" s="96" t="s">
        <v>654</v>
      </c>
      <c r="E961" s="93" t="str">
        <f t="shared" si="1"/>
        <v>-</v>
      </c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>
      <c r="A962" s="96"/>
      <c r="B962" s="160"/>
      <c r="C962" s="96"/>
      <c r="D962" s="96" t="s">
        <v>654</v>
      </c>
      <c r="E962" s="93" t="str">
        <f t="shared" si="1"/>
        <v>-</v>
      </c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>
      <c r="A963" s="96"/>
      <c r="B963" s="160"/>
      <c r="C963" s="96"/>
      <c r="D963" s="96" t="s">
        <v>654</v>
      </c>
      <c r="E963" s="93" t="str">
        <f t="shared" si="1"/>
        <v>-</v>
      </c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>
      <c r="A964" s="96"/>
      <c r="B964" s="160"/>
      <c r="C964" s="96"/>
      <c r="D964" s="96" t="s">
        <v>654</v>
      </c>
      <c r="E964" s="93" t="str">
        <f t="shared" si="1"/>
        <v>-</v>
      </c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>
      <c r="A965" s="96"/>
      <c r="B965" s="160"/>
      <c r="C965" s="96"/>
      <c r="D965" s="96" t="s">
        <v>654</v>
      </c>
      <c r="E965" s="93" t="str">
        <f t="shared" si="1"/>
        <v>-</v>
      </c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>
      <c r="A966" s="96"/>
      <c r="B966" s="160"/>
      <c r="C966" s="96"/>
      <c r="D966" s="96" t="s">
        <v>654</v>
      </c>
      <c r="E966" s="93" t="str">
        <f t="shared" si="1"/>
        <v>-</v>
      </c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>
      <c r="A967" s="96"/>
      <c r="B967" s="160"/>
      <c r="C967" s="96"/>
      <c r="D967" s="96" t="s">
        <v>654</v>
      </c>
      <c r="E967" s="93" t="str">
        <f t="shared" si="1"/>
        <v>-</v>
      </c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>
      <c r="A968" s="96"/>
      <c r="B968" s="160"/>
      <c r="C968" s="96"/>
      <c r="D968" s="96" t="s">
        <v>654</v>
      </c>
      <c r="E968" s="93" t="str">
        <f t="shared" si="1"/>
        <v>-</v>
      </c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>
      <c r="A969" s="96"/>
      <c r="B969" s="160"/>
      <c r="C969" s="96"/>
      <c r="D969" s="96" t="s">
        <v>654</v>
      </c>
      <c r="E969" s="93" t="str">
        <f t="shared" si="1"/>
        <v>-</v>
      </c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>
      <c r="A970" s="96"/>
      <c r="B970" s="160"/>
      <c r="C970" s="96"/>
      <c r="D970" s="96" t="s">
        <v>654</v>
      </c>
      <c r="E970" s="93" t="str">
        <f t="shared" si="1"/>
        <v>-</v>
      </c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>
      <c r="A971" s="96"/>
      <c r="B971" s="160"/>
      <c r="C971" s="96"/>
      <c r="D971" s="96" t="s">
        <v>654</v>
      </c>
      <c r="E971" s="93" t="str">
        <f t="shared" si="1"/>
        <v>-</v>
      </c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>
      <c r="A972" s="96"/>
      <c r="B972" s="160"/>
      <c r="C972" s="96"/>
      <c r="D972" s="96" t="s">
        <v>654</v>
      </c>
      <c r="E972" s="93" t="str">
        <f t="shared" si="1"/>
        <v>-</v>
      </c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>
      <c r="A973" s="96"/>
      <c r="B973" s="160"/>
      <c r="C973" s="96"/>
      <c r="D973" s="96" t="s">
        <v>654</v>
      </c>
      <c r="E973" s="93" t="str">
        <f t="shared" si="1"/>
        <v>-</v>
      </c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>
      <c r="A974" s="96"/>
      <c r="B974" s="160"/>
      <c r="C974" s="96"/>
      <c r="D974" s="96" t="s">
        <v>654</v>
      </c>
      <c r="E974" s="93" t="str">
        <f t="shared" si="1"/>
        <v>-</v>
      </c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>
      <c r="A975" s="96"/>
      <c r="B975" s="160"/>
      <c r="C975" s="96"/>
      <c r="D975" s="96" t="s">
        <v>654</v>
      </c>
      <c r="E975" s="93" t="str">
        <f t="shared" si="1"/>
        <v>-</v>
      </c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>
      <c r="A976" s="96"/>
      <c r="B976" s="160"/>
      <c r="C976" s="96"/>
      <c r="D976" s="96" t="s">
        <v>654</v>
      </c>
      <c r="E976" s="93" t="str">
        <f t="shared" si="1"/>
        <v>-</v>
      </c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>
      <c r="A977" s="96"/>
      <c r="B977" s="160"/>
      <c r="C977" s="96"/>
      <c r="D977" s="96" t="s">
        <v>654</v>
      </c>
      <c r="E977" s="93" t="str">
        <f t="shared" si="1"/>
        <v>-</v>
      </c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>
      <c r="A978" s="96"/>
      <c r="B978" s="160"/>
      <c r="C978" s="96"/>
      <c r="D978" s="96" t="s">
        <v>654</v>
      </c>
      <c r="E978" s="93" t="str">
        <f t="shared" si="1"/>
        <v>-</v>
      </c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>
      <c r="A979" s="96"/>
      <c r="B979" s="160"/>
      <c r="C979" s="96"/>
      <c r="D979" s="96" t="s">
        <v>654</v>
      </c>
      <c r="E979" s="93" t="str">
        <f t="shared" si="1"/>
        <v>-</v>
      </c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>
      <c r="A980" s="96"/>
      <c r="B980" s="160"/>
      <c r="C980" s="96"/>
      <c r="D980" s="96" t="s">
        <v>654</v>
      </c>
      <c r="E980" s="93" t="str">
        <f t="shared" si="1"/>
        <v>-</v>
      </c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>
      <c r="A981" s="96"/>
      <c r="B981" s="160"/>
      <c r="C981" s="96"/>
      <c r="D981" s="96" t="s">
        <v>654</v>
      </c>
      <c r="E981" s="93" t="str">
        <f t="shared" si="1"/>
        <v>-</v>
      </c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>
      <c r="A982" s="96"/>
      <c r="B982" s="160"/>
      <c r="C982" s="96"/>
      <c r="D982" s="96" t="s">
        <v>654</v>
      </c>
      <c r="E982" s="93" t="str">
        <f t="shared" si="1"/>
        <v>-</v>
      </c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>
      <c r="A983" s="96"/>
      <c r="B983" s="160"/>
      <c r="C983" s="96"/>
      <c r="D983" s="96" t="s">
        <v>654</v>
      </c>
      <c r="E983" s="93" t="str">
        <f t="shared" si="1"/>
        <v>-</v>
      </c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>
      <c r="A984" s="96"/>
      <c r="B984" s="160"/>
      <c r="C984" s="96"/>
      <c r="D984" s="96" t="s">
        <v>654</v>
      </c>
      <c r="E984" s="93" t="str">
        <f t="shared" si="1"/>
        <v>-</v>
      </c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>
      <c r="A985" s="96"/>
      <c r="B985" s="160"/>
      <c r="C985" s="96"/>
      <c r="D985" s="96" t="s">
        <v>654</v>
      </c>
      <c r="E985" s="93" t="str">
        <f t="shared" si="1"/>
        <v>-</v>
      </c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>
      <c r="A986" s="96"/>
      <c r="B986" s="160"/>
      <c r="C986" s="96"/>
      <c r="D986" s="96" t="s">
        <v>654</v>
      </c>
      <c r="E986" s="93" t="str">
        <f t="shared" si="1"/>
        <v>-</v>
      </c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>
      <c r="A987" s="96"/>
      <c r="B987" s="160"/>
      <c r="C987" s="96"/>
      <c r="D987" s="96" t="s">
        <v>654</v>
      </c>
      <c r="E987" s="93" t="str">
        <f t="shared" si="1"/>
        <v>-</v>
      </c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>
      <c r="A988" s="96"/>
      <c r="B988" s="160"/>
      <c r="C988" s="96"/>
      <c r="D988" s="96" t="s">
        <v>654</v>
      </c>
      <c r="E988" s="93" t="str">
        <f t="shared" si="1"/>
        <v>-</v>
      </c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>
      <c r="A989" s="96"/>
      <c r="B989" s="160"/>
      <c r="C989" s="96"/>
      <c r="D989" s="96" t="s">
        <v>654</v>
      </c>
      <c r="E989" s="93" t="str">
        <f t="shared" si="1"/>
        <v>-</v>
      </c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>
      <c r="A990" s="96"/>
      <c r="B990" s="160"/>
      <c r="C990" s="96"/>
      <c r="D990" s="96" t="s">
        <v>654</v>
      </c>
      <c r="E990" s="93" t="str">
        <f t="shared" si="1"/>
        <v>-</v>
      </c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>
      <c r="A991" s="96"/>
      <c r="B991" s="160"/>
      <c r="C991" s="96"/>
      <c r="D991" s="96" t="s">
        <v>654</v>
      </c>
      <c r="E991" s="93" t="str">
        <f t="shared" si="1"/>
        <v>-</v>
      </c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>
      <c r="A992" s="96"/>
      <c r="B992" s="160"/>
      <c r="C992" s="96"/>
      <c r="D992" s="96" t="s">
        <v>654</v>
      </c>
      <c r="E992" s="93" t="str">
        <f t="shared" si="1"/>
        <v>-</v>
      </c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>
      <c r="A993" s="96"/>
      <c r="B993" s="160"/>
      <c r="C993" s="96"/>
      <c r="D993" s="96" t="s">
        <v>654</v>
      </c>
      <c r="E993" s="93" t="str">
        <f t="shared" si="1"/>
        <v>-</v>
      </c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>
      <c r="A994" s="96"/>
      <c r="B994" s="160"/>
      <c r="C994" s="96"/>
      <c r="D994" s="96" t="s">
        <v>654</v>
      </c>
      <c r="E994" s="93" t="str">
        <f t="shared" si="1"/>
        <v>-</v>
      </c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>
      <c r="A995" s="96"/>
      <c r="B995" s="160"/>
      <c r="C995" s="96"/>
      <c r="D995" s="96" t="s">
        <v>654</v>
      </c>
      <c r="E995" s="93" t="str">
        <f t="shared" si="1"/>
        <v>-</v>
      </c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>
      <c r="A996" s="96"/>
      <c r="B996" s="160"/>
      <c r="C996" s="96"/>
      <c r="D996" s="96" t="s">
        <v>654</v>
      </c>
      <c r="E996" s="93" t="str">
        <f t="shared" si="1"/>
        <v>-</v>
      </c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>
      <c r="A997" s="96"/>
      <c r="B997" s="160"/>
      <c r="C997" s="96"/>
      <c r="D997" s="96" t="s">
        <v>654</v>
      </c>
      <c r="E997" s="93" t="str">
        <f t="shared" si="1"/>
        <v>-</v>
      </c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>
      <c r="A998" s="96"/>
      <c r="B998" s="160"/>
      <c r="C998" s="96"/>
      <c r="D998" s="96" t="s">
        <v>654</v>
      </c>
      <c r="E998" s="93" t="str">
        <f t="shared" si="1"/>
        <v>-</v>
      </c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>
      <c r="A999" s="96"/>
      <c r="B999" s="160"/>
      <c r="C999" s="96"/>
      <c r="D999" s="96" t="s">
        <v>654</v>
      </c>
      <c r="E999" s="93" t="str">
        <f t="shared" si="1"/>
        <v>-</v>
      </c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>
      <c r="A1000" s="96"/>
      <c r="B1000" s="160"/>
      <c r="C1000" s="96"/>
      <c r="D1000" s="96" t="s">
        <v>654</v>
      </c>
      <c r="E1000" s="93" t="str">
        <f t="shared" si="1"/>
        <v>-</v>
      </c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  <row r="1001">
      <c r="A1001" s="96"/>
      <c r="B1001" s="160"/>
      <c r="C1001" s="96"/>
      <c r="D1001" s="96" t="s">
        <v>654</v>
      </c>
      <c r="E1001" s="93" t="str">
        <f t="shared" si="1"/>
        <v>-</v>
      </c>
      <c r="F1001" s="96"/>
      <c r="G1001" s="96"/>
      <c r="H1001" s="96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</row>
    <row r="1002">
      <c r="A1002" s="96"/>
      <c r="B1002" s="160"/>
      <c r="C1002" s="96"/>
      <c r="D1002" s="96" t="s">
        <v>654</v>
      </c>
      <c r="E1002" s="93" t="str">
        <f t="shared" si="1"/>
        <v>-</v>
      </c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</row>
    <row r="1003">
      <c r="A1003" s="96"/>
      <c r="B1003" s="160"/>
      <c r="C1003" s="96"/>
      <c r="D1003" s="96" t="s">
        <v>654</v>
      </c>
      <c r="E1003" s="93" t="str">
        <f t="shared" si="1"/>
        <v>-</v>
      </c>
      <c r="F1003" s="96"/>
      <c r="G1003" s="96"/>
      <c r="H1003" s="96"/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</row>
    <row r="1004">
      <c r="A1004" s="96"/>
      <c r="B1004" s="160"/>
      <c r="C1004" s="96"/>
      <c r="D1004" s="96" t="s">
        <v>654</v>
      </c>
      <c r="E1004" s="93" t="str">
        <f t="shared" si="1"/>
        <v>-</v>
      </c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</row>
    <row r="1005">
      <c r="A1005" s="96"/>
      <c r="B1005" s="160"/>
      <c r="C1005" s="96"/>
      <c r="D1005" s="96" t="s">
        <v>654</v>
      </c>
      <c r="E1005" s="93" t="str">
        <f t="shared" si="1"/>
        <v>-</v>
      </c>
      <c r="F1005" s="96"/>
      <c r="G1005" s="96"/>
      <c r="H1005" s="96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96"/>
      <c r="Z1005" s="96"/>
    </row>
    <row r="1006">
      <c r="A1006" s="96"/>
      <c r="B1006" s="160"/>
      <c r="C1006" s="96"/>
      <c r="D1006" s="96" t="s">
        <v>654</v>
      </c>
      <c r="E1006" s="93" t="str">
        <f t="shared" si="1"/>
        <v>-</v>
      </c>
      <c r="F1006" s="96"/>
      <c r="G1006" s="96"/>
      <c r="H1006" s="96"/>
      <c r="I1006" s="96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</row>
    <row r="1007">
      <c r="A1007" s="96"/>
      <c r="B1007" s="160"/>
      <c r="C1007" s="96"/>
      <c r="D1007" s="96" t="s">
        <v>654</v>
      </c>
      <c r="E1007" s="93" t="str">
        <f t="shared" si="1"/>
        <v>-</v>
      </c>
      <c r="F1007" s="96"/>
      <c r="G1007" s="96"/>
      <c r="H1007" s="96"/>
      <c r="I1007" s="96"/>
      <c r="J1007" s="96"/>
      <c r="K1007" s="96"/>
      <c r="L1007" s="96"/>
      <c r="M1007" s="96"/>
      <c r="N1007" s="96"/>
      <c r="O1007" s="96"/>
      <c r="P1007" s="96"/>
      <c r="Q1007" s="96"/>
      <c r="R1007" s="96"/>
      <c r="S1007" s="96"/>
      <c r="T1007" s="96"/>
      <c r="U1007" s="96"/>
      <c r="V1007" s="96"/>
      <c r="W1007" s="96"/>
      <c r="X1007" s="96"/>
      <c r="Y1007" s="96"/>
      <c r="Z1007" s="96"/>
    </row>
    <row r="1008">
      <c r="A1008" s="96"/>
      <c r="B1008" s="160"/>
      <c r="C1008" s="96"/>
      <c r="D1008" s="96" t="s">
        <v>654</v>
      </c>
      <c r="E1008" s="93" t="str">
        <f t="shared" si="1"/>
        <v>-</v>
      </c>
      <c r="F1008" s="96"/>
      <c r="G1008" s="96"/>
      <c r="H1008" s="96"/>
      <c r="I1008" s="96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96"/>
    </row>
    <row r="1009">
      <c r="A1009" s="96"/>
      <c r="B1009" s="160"/>
      <c r="C1009" s="96"/>
      <c r="D1009" s="96" t="s">
        <v>654</v>
      </c>
      <c r="E1009" s="93" t="str">
        <f t="shared" si="1"/>
        <v>-</v>
      </c>
      <c r="F1009" s="96"/>
      <c r="G1009" s="96"/>
      <c r="H1009" s="96"/>
      <c r="I1009" s="96"/>
      <c r="J1009" s="96"/>
      <c r="K1009" s="96"/>
      <c r="L1009" s="96"/>
      <c r="M1009" s="96"/>
      <c r="N1009" s="96"/>
      <c r="O1009" s="96"/>
      <c r="P1009" s="96"/>
      <c r="Q1009" s="96"/>
      <c r="R1009" s="96"/>
      <c r="S1009" s="96"/>
      <c r="T1009" s="96"/>
      <c r="U1009" s="96"/>
      <c r="V1009" s="96"/>
      <c r="W1009" s="96"/>
      <c r="X1009" s="96"/>
      <c r="Y1009" s="96"/>
      <c r="Z1009" s="96"/>
    </row>
    <row r="1010">
      <c r="A1010" s="96"/>
      <c r="B1010" s="160"/>
      <c r="C1010" s="96"/>
      <c r="D1010" s="96" t="s">
        <v>654</v>
      </c>
      <c r="E1010" s="93" t="str">
        <f t="shared" si="1"/>
        <v>-</v>
      </c>
      <c r="F1010" s="96"/>
      <c r="G1010" s="96"/>
      <c r="H1010" s="96"/>
      <c r="I1010" s="96"/>
      <c r="J1010" s="96"/>
      <c r="K1010" s="96"/>
      <c r="L1010" s="96"/>
      <c r="M1010" s="96"/>
      <c r="N1010" s="96"/>
      <c r="O1010" s="96"/>
      <c r="P1010" s="96"/>
      <c r="Q1010" s="96"/>
      <c r="R1010" s="96"/>
      <c r="S1010" s="96"/>
      <c r="T1010" s="96"/>
      <c r="U1010" s="96"/>
      <c r="V1010" s="96"/>
      <c r="W1010" s="96"/>
      <c r="X1010" s="96"/>
      <c r="Y1010" s="96"/>
      <c r="Z1010" s="96"/>
    </row>
    <row r="1011">
      <c r="A1011" s="96"/>
      <c r="B1011" s="160"/>
      <c r="C1011" s="96"/>
      <c r="D1011" s="96" t="s">
        <v>654</v>
      </c>
      <c r="E1011" s="93" t="str">
        <f t="shared" si="1"/>
        <v>-</v>
      </c>
      <c r="F1011" s="96"/>
      <c r="G1011" s="96"/>
      <c r="H1011" s="96"/>
      <c r="I1011" s="96"/>
      <c r="J1011" s="96"/>
      <c r="K1011" s="96"/>
      <c r="L1011" s="96"/>
      <c r="M1011" s="96"/>
      <c r="N1011" s="96"/>
      <c r="O1011" s="96"/>
      <c r="P1011" s="96"/>
      <c r="Q1011" s="96"/>
      <c r="R1011" s="96"/>
      <c r="S1011" s="96"/>
      <c r="T1011" s="96"/>
      <c r="U1011" s="96"/>
      <c r="V1011" s="96"/>
      <c r="W1011" s="96"/>
      <c r="X1011" s="96"/>
      <c r="Y1011" s="96"/>
      <c r="Z1011" s="96"/>
    </row>
    <row r="1012">
      <c r="A1012" s="96"/>
      <c r="B1012" s="160"/>
      <c r="C1012" s="96"/>
      <c r="D1012" s="96" t="s">
        <v>654</v>
      </c>
      <c r="E1012" s="93" t="str">
        <f t="shared" si="1"/>
        <v>-</v>
      </c>
      <c r="F1012" s="96"/>
      <c r="G1012" s="96"/>
      <c r="H1012" s="96"/>
      <c r="I1012" s="96"/>
      <c r="J1012" s="96"/>
      <c r="K1012" s="96"/>
      <c r="L1012" s="96"/>
      <c r="M1012" s="96"/>
      <c r="N1012" s="96"/>
      <c r="O1012" s="96"/>
      <c r="P1012" s="96"/>
      <c r="Q1012" s="96"/>
      <c r="R1012" s="96"/>
      <c r="S1012" s="96"/>
      <c r="T1012" s="96"/>
      <c r="U1012" s="96"/>
      <c r="V1012" s="96"/>
      <c r="W1012" s="96"/>
      <c r="X1012" s="96"/>
      <c r="Y1012" s="96"/>
      <c r="Z1012" s="96"/>
    </row>
    <row r="1013">
      <c r="A1013" s="96"/>
      <c r="B1013" s="160"/>
      <c r="C1013" s="96"/>
      <c r="D1013" s="96" t="s">
        <v>654</v>
      </c>
      <c r="E1013" s="93" t="str">
        <f t="shared" si="1"/>
        <v>-</v>
      </c>
      <c r="F1013" s="96"/>
      <c r="G1013" s="96"/>
      <c r="H1013" s="96"/>
      <c r="I1013" s="96"/>
      <c r="J1013" s="96"/>
      <c r="K1013" s="96"/>
      <c r="L1013" s="96"/>
      <c r="M1013" s="96"/>
      <c r="N1013" s="96"/>
      <c r="O1013" s="96"/>
      <c r="P1013" s="96"/>
      <c r="Q1013" s="96"/>
      <c r="R1013" s="96"/>
      <c r="S1013" s="96"/>
      <c r="T1013" s="96"/>
      <c r="U1013" s="96"/>
      <c r="V1013" s="96"/>
      <c r="W1013" s="96"/>
      <c r="X1013" s="96"/>
      <c r="Y1013" s="96"/>
      <c r="Z1013" s="96"/>
    </row>
    <row r="1014">
      <c r="A1014" s="96"/>
      <c r="B1014" s="160"/>
      <c r="C1014" s="96"/>
      <c r="D1014" s="96" t="s">
        <v>654</v>
      </c>
      <c r="E1014" s="93" t="str">
        <f t="shared" si="1"/>
        <v>-</v>
      </c>
      <c r="F1014" s="96"/>
      <c r="G1014" s="96"/>
      <c r="H1014" s="96"/>
      <c r="I1014" s="96"/>
      <c r="J1014" s="96"/>
      <c r="K1014" s="96"/>
      <c r="L1014" s="96"/>
      <c r="M1014" s="96"/>
      <c r="N1014" s="96"/>
      <c r="O1014" s="96"/>
      <c r="P1014" s="96"/>
      <c r="Q1014" s="96"/>
      <c r="R1014" s="96"/>
      <c r="S1014" s="96"/>
      <c r="T1014" s="96"/>
      <c r="U1014" s="96"/>
      <c r="V1014" s="96"/>
      <c r="W1014" s="96"/>
      <c r="X1014" s="96"/>
      <c r="Y1014" s="96"/>
      <c r="Z1014" s="96"/>
    </row>
    <row r="1015">
      <c r="A1015" s="96"/>
      <c r="B1015" s="160"/>
      <c r="D1015" s="96" t="s">
        <v>654</v>
      </c>
      <c r="E1015" s="93" t="str">
        <f t="shared" si="1"/>
        <v>-</v>
      </c>
      <c r="F1015" s="96"/>
      <c r="G1015" s="96"/>
      <c r="H1015" s="96"/>
      <c r="I1015" s="96"/>
      <c r="J1015" s="96"/>
      <c r="K1015" s="96"/>
      <c r="L1015" s="96"/>
      <c r="M1015" s="96"/>
      <c r="N1015" s="96"/>
      <c r="O1015" s="96"/>
      <c r="P1015" s="96"/>
      <c r="Q1015" s="96"/>
      <c r="R1015" s="96"/>
      <c r="S1015" s="96"/>
      <c r="T1015" s="96"/>
      <c r="U1015" s="96"/>
      <c r="V1015" s="96"/>
      <c r="W1015" s="96"/>
      <c r="X1015" s="96"/>
      <c r="Y1015" s="96"/>
      <c r="Z1015" s="96"/>
    </row>
    <row r="1016">
      <c r="A1016" s="96"/>
      <c r="B1016" s="8"/>
      <c r="D1016" s="146" t="s">
        <v>654</v>
      </c>
      <c r="E1016" s="93" t="str">
        <f t="shared" si="1"/>
        <v>-</v>
      </c>
      <c r="F1016" s="96"/>
      <c r="G1016" s="96"/>
      <c r="H1016" s="96"/>
      <c r="I1016" s="96"/>
      <c r="J1016" s="96"/>
      <c r="K1016" s="96"/>
      <c r="L1016" s="96"/>
      <c r="M1016" s="96"/>
      <c r="N1016" s="96"/>
      <c r="O1016" s="96"/>
      <c r="P1016" s="96"/>
      <c r="Q1016" s="96"/>
      <c r="R1016" s="96"/>
      <c r="S1016" s="96"/>
      <c r="T1016" s="96"/>
      <c r="U1016" s="96"/>
      <c r="V1016" s="96"/>
      <c r="W1016" s="96"/>
      <c r="X1016" s="96"/>
      <c r="Y1016" s="96"/>
      <c r="Z1016" s="96"/>
    </row>
    <row r="1017">
      <c r="A1017" s="96"/>
      <c r="B1017" s="8"/>
      <c r="D1017" s="146" t="s">
        <v>654</v>
      </c>
      <c r="E1017" s="93" t="str">
        <f t="shared" si="1"/>
        <v>-</v>
      </c>
      <c r="F1017" s="96"/>
      <c r="G1017" s="96"/>
      <c r="H1017" s="96"/>
      <c r="I1017" s="96"/>
      <c r="J1017" s="96"/>
      <c r="K1017" s="96"/>
      <c r="L1017" s="96"/>
      <c r="M1017" s="96"/>
      <c r="N1017" s="96"/>
      <c r="O1017" s="96"/>
      <c r="P1017" s="96"/>
      <c r="Q1017" s="96"/>
      <c r="R1017" s="96"/>
      <c r="S1017" s="96"/>
      <c r="T1017" s="96"/>
      <c r="U1017" s="96"/>
      <c r="V1017" s="96"/>
      <c r="W1017" s="96"/>
      <c r="X1017" s="96"/>
      <c r="Y1017" s="96"/>
      <c r="Z1017" s="96"/>
    </row>
    <row r="1018">
      <c r="A1018" s="96"/>
      <c r="B1018" s="8"/>
      <c r="D1018" s="146" t="s">
        <v>654</v>
      </c>
      <c r="E1018" s="93" t="str">
        <f t="shared" si="1"/>
        <v>-</v>
      </c>
      <c r="F1018" s="96"/>
      <c r="G1018" s="96"/>
      <c r="H1018" s="96"/>
      <c r="I1018" s="96"/>
      <c r="J1018" s="96"/>
      <c r="K1018" s="96"/>
      <c r="L1018" s="96"/>
      <c r="M1018" s="96"/>
      <c r="N1018" s="96"/>
      <c r="O1018" s="96"/>
      <c r="P1018" s="96"/>
      <c r="Q1018" s="96"/>
      <c r="R1018" s="96"/>
      <c r="S1018" s="96"/>
      <c r="T1018" s="96"/>
      <c r="U1018" s="96"/>
      <c r="V1018" s="96"/>
      <c r="W1018" s="96"/>
      <c r="X1018" s="96"/>
      <c r="Y1018" s="96"/>
      <c r="Z1018" s="96"/>
    </row>
    <row r="1019">
      <c r="A1019" s="96"/>
      <c r="B1019" s="8"/>
      <c r="D1019" s="146" t="s">
        <v>654</v>
      </c>
      <c r="E1019" s="93" t="str">
        <f t="shared" si="1"/>
        <v>-</v>
      </c>
      <c r="F1019" s="96"/>
      <c r="G1019" s="96"/>
      <c r="H1019" s="96"/>
      <c r="I1019" s="96"/>
      <c r="J1019" s="96"/>
      <c r="K1019" s="96"/>
      <c r="L1019" s="96"/>
      <c r="M1019" s="96"/>
      <c r="N1019" s="96"/>
      <c r="O1019" s="96"/>
      <c r="P1019" s="96"/>
      <c r="Q1019" s="96"/>
      <c r="R1019" s="96"/>
      <c r="S1019" s="96"/>
      <c r="T1019" s="96"/>
      <c r="U1019" s="96"/>
      <c r="V1019" s="96"/>
      <c r="W1019" s="96"/>
      <c r="X1019" s="96"/>
      <c r="Y1019" s="96"/>
      <c r="Z1019" s="96"/>
    </row>
    <row r="1020">
      <c r="A1020" s="96"/>
      <c r="B1020" s="8"/>
      <c r="D1020" s="146" t="s">
        <v>654</v>
      </c>
      <c r="E1020" s="93" t="str">
        <f t="shared" si="1"/>
        <v>-</v>
      </c>
      <c r="F1020" s="96"/>
      <c r="G1020" s="96"/>
      <c r="H1020" s="96"/>
      <c r="I1020" s="96"/>
      <c r="J1020" s="96"/>
      <c r="K1020" s="96"/>
      <c r="L1020" s="96"/>
      <c r="M1020" s="96"/>
      <c r="N1020" s="96"/>
      <c r="O1020" s="96"/>
      <c r="P1020" s="96"/>
      <c r="Q1020" s="96"/>
      <c r="R1020" s="96"/>
      <c r="S1020" s="96"/>
      <c r="T1020" s="96"/>
      <c r="U1020" s="96"/>
      <c r="V1020" s="96"/>
      <c r="W1020" s="96"/>
      <c r="X1020" s="96"/>
      <c r="Y1020" s="96"/>
      <c r="Z1020" s="96"/>
    </row>
    <row r="1021">
      <c r="B1021" s="8"/>
      <c r="D1021" s="146" t="s">
        <v>654</v>
      </c>
      <c r="E1021" s="93" t="str">
        <f t="shared" si="1"/>
        <v>-</v>
      </c>
      <c r="F1021" s="96"/>
      <c r="G1021" s="96"/>
      <c r="H1021" s="96"/>
      <c r="I1021" s="96"/>
      <c r="J1021" s="96"/>
      <c r="K1021" s="96"/>
      <c r="L1021" s="96"/>
      <c r="M1021" s="96"/>
      <c r="N1021" s="96"/>
      <c r="O1021" s="96"/>
      <c r="P1021" s="96"/>
      <c r="Q1021" s="96"/>
      <c r="R1021" s="96"/>
      <c r="S1021" s="96"/>
      <c r="T1021" s="96"/>
      <c r="U1021" s="96"/>
      <c r="V1021" s="96"/>
      <c r="W1021" s="96"/>
      <c r="X1021" s="96"/>
      <c r="Y1021" s="96"/>
      <c r="Z1021" s="96"/>
    </row>
    <row r="1022">
      <c r="B1022" s="8"/>
      <c r="D1022" s="146" t="s">
        <v>654</v>
      </c>
      <c r="E1022" s="93" t="str">
        <f t="shared" si="1"/>
        <v>-</v>
      </c>
      <c r="F1022" s="96"/>
      <c r="G1022" s="96"/>
      <c r="H1022" s="96"/>
      <c r="I1022" s="96"/>
      <c r="J1022" s="96"/>
      <c r="K1022" s="96"/>
      <c r="L1022" s="96"/>
      <c r="M1022" s="96"/>
      <c r="N1022" s="96"/>
      <c r="O1022" s="96"/>
      <c r="P1022" s="96"/>
      <c r="Q1022" s="96"/>
      <c r="R1022" s="96"/>
      <c r="S1022" s="96"/>
      <c r="T1022" s="96"/>
      <c r="U1022" s="96"/>
      <c r="V1022" s="96"/>
      <c r="W1022" s="96"/>
      <c r="X1022" s="96"/>
      <c r="Y1022" s="96"/>
      <c r="Z1022" s="9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16.13"/>
    <col customWidth="1" min="3" max="3" width="18.88"/>
  </cols>
  <sheetData>
    <row r="1">
      <c r="A1" s="161" t="str">
        <f>IFERROR(__xludf.DUMMYFUNCTION("IMPORTRANGE(""https://docs.google.com/spreadsheets/d/1d--u1LatVk_H9eEWkfWP6j5XjSR7GpvXoN1KOCRJJQk/edit?gid=2011405679#gid=2011405679"",""Client Details!A1:M100"")"),"Client Name")</f>
        <v>Client Name</v>
      </c>
      <c r="B1" s="162" t="str">
        <f>IFERROR(__xludf.DUMMYFUNCTION("""COMPUTED_VALUE"""),"Place")</f>
        <v>Place</v>
      </c>
      <c r="C1" s="163" t="str">
        <f>IFERROR(__xludf.DUMMYFUNCTION("""COMPUTED_VALUE"""),"Address")</f>
        <v>Address</v>
      </c>
      <c r="D1" s="164" t="str">
        <f>IFERROR(__xludf.DUMMYFUNCTION("""COMPUTED_VALUE"""),"SKU")</f>
        <v>SKU</v>
      </c>
      <c r="E1" s="164" t="str">
        <f>IFERROR(__xludf.DUMMYFUNCTION("""COMPUTED_VALUE"""),"Unit")</f>
        <v>Unit</v>
      </c>
      <c r="F1" s="163" t="str">
        <f>IFERROR(__xludf.DUMMYFUNCTION("""COMPUTED_VALUE"""),"Pcs Per Box")</f>
        <v>Pcs Per Box</v>
      </c>
      <c r="G1" s="163" t="str">
        <f>IFERROR(__xludf.DUMMYFUNCTION("""COMPUTED_VALUE"""),"Weight Per Box")</f>
        <v>Weight Per Box</v>
      </c>
      <c r="H1" s="163" t="str">
        <f>IFERROR(__xludf.DUMMYFUNCTION("""COMPUTED_VALUE"""),"Approx Days")</f>
        <v>Approx Days</v>
      </c>
      <c r="I1" s="163" t="str">
        <f>IFERROR(__xludf.DUMMYFUNCTION("""COMPUTED_VALUE"""),"Credit Period")</f>
        <v>Credit Period</v>
      </c>
      <c r="J1" s="163" t="str">
        <f>IFERROR(__xludf.DUMMYFUNCTION("""COMPUTED_VALUE"""),"To Email Address")</f>
        <v>To Email Address</v>
      </c>
      <c r="K1" s="163" t="str">
        <f>IFERROR(__xludf.DUMMYFUNCTION("""COMPUTED_VALUE"""),"BCC Email Address")</f>
        <v>BCC Email Address</v>
      </c>
      <c r="L1" s="163" t="str">
        <f>IFERROR(__xludf.DUMMYFUNCTION("""COMPUTED_VALUE"""),"CC Email Address")</f>
        <v>CC Email Address</v>
      </c>
      <c r="M1" s="163" t="str">
        <f>IFERROR(__xludf.DUMMYFUNCTION("""COMPUTED_VALUE"""),"SKU Code")</f>
        <v>SKU Code</v>
      </c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ht="38.25" customHeight="1">
      <c r="A2" s="166" t="str">
        <f>IFERROR(__xludf.DUMMYFUNCTION("""COMPUTED_VALUE"""),"Mittal Electronics")</f>
        <v>Mittal Electronics</v>
      </c>
      <c r="B2" s="167" t="str">
        <f>IFERROR(__xludf.DUMMYFUNCTION("""COMPUTED_VALUE"""),"Delhi")</f>
        <v>Delhi</v>
      </c>
      <c r="C2" s="168" t="str">
        <f>IFERROR(__xludf.DUMMYFUNCTION("""COMPUTED_VALUE"""),"38 SSI Industrial Area,
G T Karnal Road,
Jahagir Puri Metro Station,
Near Piller No 144,  Delhi-110033")</f>
        <v>38 SSI Industrial Area,
G T Karnal Road,
Jahagir Puri Metro Station,
Near Piller No 144,  Delhi-110033</v>
      </c>
      <c r="D2" s="169" t="str">
        <f>IFERROR(__xludf.DUMMYFUNCTION("""COMPUTED_VALUE"""),"Grinder Jar")</f>
        <v>Grinder Jar</v>
      </c>
      <c r="E2" s="169" t="str">
        <f>IFERROR(__xludf.DUMMYFUNCTION("""COMPUTED_VALUE"""),"Pcs")</f>
        <v>Pcs</v>
      </c>
      <c r="F2" s="170">
        <f>IFERROR(__xludf.DUMMYFUNCTION("""COMPUTED_VALUE"""),126.0)</f>
        <v>126</v>
      </c>
      <c r="G2" s="171">
        <f>IFERROR(__xludf.DUMMYFUNCTION("""COMPUTED_VALUE"""),30.8)</f>
        <v>30.8</v>
      </c>
      <c r="H2" s="172">
        <f>IFERROR(__xludf.DUMMYFUNCTION("""COMPUTED_VALUE"""),5.0)</f>
        <v>5</v>
      </c>
      <c r="I2" s="172">
        <f>IFERROR(__xludf.DUMMYFUNCTION("""COMPUTED_VALUE"""),30.0)</f>
        <v>30</v>
      </c>
      <c r="J2" s="173" t="str">
        <f>IFERROR(__xludf.DUMMYFUNCTION("""COMPUTED_VALUE"""),"purchase@sujatamail.com,purchase1@sujatamail.com,ea3@sujatamail.com")</f>
        <v>purchase@sujatamail.com,purchase1@sujatamail.com,ea3@sujatamail.com</v>
      </c>
      <c r="K2" s="173" t="str">
        <f>IFERROR(__xludf.DUMMYFUNCTION("""COMPUTED_VALUE"""),"agl.mailout@gmail.com")</f>
        <v>agl.mailout@gmail.com</v>
      </c>
      <c r="L2" s="173" t="str">
        <f>IFERROR(__xludf.DUMMYFUNCTION("""COMPUTED_VALUE"""),"gaurav@msambikaglobal.in")</f>
        <v>gaurav@msambikaglobal.in</v>
      </c>
      <c r="M2" s="173" t="str">
        <f>IFERROR(__xludf.DUMMYFUNCTION("""COMPUTED_VALUE"""),"GJ1000-204")</f>
        <v>GJ1000-204</v>
      </c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ht="38.25" customHeight="1">
      <c r="A3" s="166" t="str">
        <f>IFERROR(__xludf.DUMMYFUNCTION("""COMPUTED_VALUE"""),"Mittal Electronics")</f>
        <v>Mittal Electronics</v>
      </c>
      <c r="B3" s="167" t="str">
        <f>IFERROR(__xludf.DUMMYFUNCTION("""COMPUTED_VALUE"""),"Delhi")</f>
        <v>Delhi</v>
      </c>
      <c r="C3" s="168" t="str">
        <f>IFERROR(__xludf.DUMMYFUNCTION("""COMPUTED_VALUE"""),"38 SSI Industrial Area,
G T Karnal Road,
Jahagir Puri Metro Station,
Near Piller No 144,  Delhi-110033")</f>
        <v>38 SSI Industrial Area,
G T Karnal Road,
Jahagir Puri Metro Station,
Near Piller No 144,  Delhi-110033</v>
      </c>
      <c r="D3" s="169" t="str">
        <f>IFERROR(__xludf.DUMMYFUNCTION("""COMPUTED_VALUE"""),"Chutney Katori")</f>
        <v>Chutney Katori</v>
      </c>
      <c r="E3" s="169" t="str">
        <f>IFERROR(__xludf.DUMMYFUNCTION("""COMPUTED_VALUE"""),"Pcs")</f>
        <v>Pcs</v>
      </c>
      <c r="F3" s="170">
        <f>IFERROR(__xludf.DUMMYFUNCTION("""COMPUTED_VALUE"""),144.0)</f>
        <v>144</v>
      </c>
      <c r="G3" s="171">
        <f>IFERROR(__xludf.DUMMYFUNCTION("""COMPUTED_VALUE"""),21.8)</f>
        <v>21.8</v>
      </c>
      <c r="H3" s="172">
        <f>IFERROR(__xludf.DUMMYFUNCTION("""COMPUTED_VALUE"""),5.0)</f>
        <v>5</v>
      </c>
      <c r="I3" s="172">
        <f>IFERROR(__xludf.DUMMYFUNCTION("""COMPUTED_VALUE"""),30.0)</f>
        <v>30</v>
      </c>
      <c r="J3" s="173" t="str">
        <f>IFERROR(__xludf.DUMMYFUNCTION("""COMPUTED_VALUE"""),"purchase@sujatamail.com,purchase1@sujatamail.com,ea3@sujatamail.com")</f>
        <v>purchase@sujatamail.com,purchase1@sujatamail.com,ea3@sujatamail.com</v>
      </c>
      <c r="K3" s="173" t="str">
        <f>IFERROR(__xludf.DUMMYFUNCTION("""COMPUTED_VALUE"""),"agl.mailout@gmail.com")</f>
        <v>agl.mailout@gmail.com</v>
      </c>
      <c r="L3" s="173" t="str">
        <f>IFERROR(__xludf.DUMMYFUNCTION("""COMPUTED_VALUE"""),"gaurav@msambikaglobal.in")</f>
        <v>gaurav@msambikaglobal.in</v>
      </c>
      <c r="M3" s="173" t="str">
        <f>IFERROR(__xludf.DUMMYFUNCTION("""COMPUTED_VALUE"""),"CK0600-204")</f>
        <v>CK0600-204</v>
      </c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ht="38.25" customHeight="1">
      <c r="A4" s="166" t="str">
        <f>IFERROR(__xludf.DUMMYFUNCTION("""COMPUTED_VALUE"""),"Mittal Electronics")</f>
        <v>Mittal Electronics</v>
      </c>
      <c r="B4" s="167" t="str">
        <f>IFERROR(__xludf.DUMMYFUNCTION("""COMPUTED_VALUE"""),"Delhi")</f>
        <v>Delhi</v>
      </c>
      <c r="C4" s="168" t="str">
        <f>IFERROR(__xludf.DUMMYFUNCTION("""COMPUTED_VALUE"""),"38 SSI Industrial Area,
G T Karnal Road,
Jahagir Puri Metro Station,
Near Piller No 144,  Delhi-110033")</f>
        <v>38 SSI Industrial Area,
G T Karnal Road,
Jahagir Puri Metro Station,
Near Piller No 144,  Delhi-110033</v>
      </c>
      <c r="D4" s="169" t="str">
        <f>IFERROR(__xludf.DUMMYFUNCTION("""COMPUTED_VALUE"""),"Dome Jar")</f>
        <v>Dome Jar</v>
      </c>
      <c r="E4" s="169" t="str">
        <f>IFERROR(__xludf.DUMMYFUNCTION("""COMPUTED_VALUE"""),"Pcs")</f>
        <v>Pcs</v>
      </c>
      <c r="F4" s="170">
        <f>IFERROR(__xludf.DUMMYFUNCTION("""COMPUTED_VALUE"""),105.0)</f>
        <v>105</v>
      </c>
      <c r="G4" s="171">
        <f>IFERROR(__xludf.DUMMYFUNCTION("""COMPUTED_VALUE"""),34.8)</f>
        <v>34.8</v>
      </c>
      <c r="H4" s="172">
        <f>IFERROR(__xludf.DUMMYFUNCTION("""COMPUTED_VALUE"""),5.0)</f>
        <v>5</v>
      </c>
      <c r="I4" s="172">
        <f>IFERROR(__xludf.DUMMYFUNCTION("""COMPUTED_VALUE"""),30.0)</f>
        <v>30</v>
      </c>
      <c r="J4" s="173" t="str">
        <f>IFERROR(__xludf.DUMMYFUNCTION("""COMPUTED_VALUE"""),"purchase@sujatamail.com,purchase1@sujatamail.com,ea3@sujatamail.com")</f>
        <v>purchase@sujatamail.com,purchase1@sujatamail.com,ea3@sujatamail.com</v>
      </c>
      <c r="K4" s="173" t="str">
        <f>IFERROR(__xludf.DUMMYFUNCTION("""COMPUTED_VALUE"""),"agl.mailout@gmail.com")</f>
        <v>agl.mailout@gmail.com</v>
      </c>
      <c r="L4" s="173" t="str">
        <f>IFERROR(__xludf.DUMMYFUNCTION("""COMPUTED_VALUE"""),"gaurav@msambikaglobal.in")</f>
        <v>gaurav@msambikaglobal.in</v>
      </c>
      <c r="M4" s="173" t="str">
        <f>IFERROR(__xludf.DUMMYFUNCTION("""COMPUTED_VALUE"""),"DJ1500-204")</f>
        <v>DJ1500-204</v>
      </c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ht="38.25" customHeight="1">
      <c r="A5" s="166" t="str">
        <f>IFERROR(__xludf.DUMMYFUNCTION("""COMPUTED_VALUE"""),"Mittal Electronics")</f>
        <v>Mittal Electronics</v>
      </c>
      <c r="B5" s="167" t="str">
        <f>IFERROR(__xludf.DUMMYFUNCTION("""COMPUTED_VALUE"""),"Delhi")</f>
        <v>Delhi</v>
      </c>
      <c r="C5" s="168" t="str">
        <f>IFERROR(__xludf.DUMMYFUNCTION("""COMPUTED_VALUE"""),"38 SSI Industrial Area,
G T Karnal Road,
Jahagir Puri Metro Station,
Near Piller No 144,  Delhi-110033")</f>
        <v>38 SSI Industrial Area,
G T Karnal Road,
Jahagir Puri Metro Station,
Near Piller No 144,  Delhi-110033</v>
      </c>
      <c r="D5" s="169" t="str">
        <f>IFERROR(__xludf.DUMMYFUNCTION("""COMPUTED_VALUE"""),"Flat Jar")</f>
        <v>Flat Jar</v>
      </c>
      <c r="E5" s="169" t="str">
        <f>IFERROR(__xludf.DUMMYFUNCTION("""COMPUTED_VALUE"""),"Pcs")</f>
        <v>Pcs</v>
      </c>
      <c r="F5" s="170">
        <f>IFERROR(__xludf.DUMMYFUNCTION("""COMPUTED_VALUE"""),120.0)</f>
        <v>120</v>
      </c>
      <c r="G5" s="171">
        <f>IFERROR(__xludf.DUMMYFUNCTION("""COMPUTED_VALUE"""),33.0)</f>
        <v>33</v>
      </c>
      <c r="H5" s="172">
        <f>IFERROR(__xludf.DUMMYFUNCTION("""COMPUTED_VALUE"""),5.0)</f>
        <v>5</v>
      </c>
      <c r="I5" s="172">
        <f>IFERROR(__xludf.DUMMYFUNCTION("""COMPUTED_VALUE"""),30.0)</f>
        <v>30</v>
      </c>
      <c r="J5" s="173" t="str">
        <f>IFERROR(__xludf.DUMMYFUNCTION("""COMPUTED_VALUE"""),"purchase@sujatamail.com,purchase1@sujatamail.com,ea3@sujatamail.com")</f>
        <v>purchase@sujatamail.com,purchase1@sujatamail.com,ea3@sujatamail.com</v>
      </c>
      <c r="K5" s="173" t="str">
        <f>IFERROR(__xludf.DUMMYFUNCTION("""COMPUTED_VALUE"""),"agl.mailout@gmail.com")</f>
        <v>agl.mailout@gmail.com</v>
      </c>
      <c r="L5" s="173" t="str">
        <f>IFERROR(__xludf.DUMMYFUNCTION("""COMPUTED_VALUE"""),"gaurav@msambikaglobal.in")</f>
        <v>gaurav@msambikaglobal.in</v>
      </c>
      <c r="M5" s="173" t="str">
        <f>IFERROR(__xludf.DUMMYFUNCTION("""COMPUTED_VALUE"""),"FJ1000-204")</f>
        <v>FJ1000-204</v>
      </c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ht="38.25" customHeight="1">
      <c r="A6" s="166" t="str">
        <f>IFERROR(__xludf.DUMMYFUNCTION("""COMPUTED_VALUE"""),"Mittal Electronics")</f>
        <v>Mittal Electronics</v>
      </c>
      <c r="B6" s="167" t="str">
        <f>IFERROR(__xludf.DUMMYFUNCTION("""COMPUTED_VALUE"""),"Delhi")</f>
        <v>Delhi</v>
      </c>
      <c r="C6" s="168" t="str">
        <f>IFERROR(__xludf.DUMMYFUNCTION("""COMPUTED_VALUE"""),"38 SSI Industrial Area,
G T Karnal Road,
Jahagir Puri Metro Station,
Near Piller No 144,  Delhi-110033")</f>
        <v>38 SSI Industrial Area,
G T Karnal Road,
Jahagir Puri Metro Station,
Near Piller No 144,  Delhi-110033</v>
      </c>
      <c r="D6" s="169" t="str">
        <f>IFERROR(__xludf.DUMMYFUNCTION("""COMPUTED_VALUE"""),"Nano Dome Jar")</f>
        <v>Nano Dome Jar</v>
      </c>
      <c r="E6" s="169" t="str">
        <f>IFERROR(__xludf.DUMMYFUNCTION("""COMPUTED_VALUE"""),"Pcs")</f>
        <v>Pcs</v>
      </c>
      <c r="F6" s="170">
        <f>IFERROR(__xludf.DUMMYFUNCTION("""COMPUTED_VALUE"""),120.0)</f>
        <v>120</v>
      </c>
      <c r="G6" s="171">
        <f>IFERROR(__xludf.DUMMYFUNCTION("""COMPUTED_VALUE"""),26.3)</f>
        <v>26.3</v>
      </c>
      <c r="H6" s="172">
        <f>IFERROR(__xludf.DUMMYFUNCTION("""COMPUTED_VALUE"""),5.0)</f>
        <v>5</v>
      </c>
      <c r="I6" s="172">
        <f>IFERROR(__xludf.DUMMYFUNCTION("""COMPUTED_VALUE"""),30.0)</f>
        <v>30</v>
      </c>
      <c r="J6" s="173" t="str">
        <f>IFERROR(__xludf.DUMMYFUNCTION("""COMPUTED_VALUE"""),"purchase@sujatamail.com,purchase1@sujatamail.com,ea3@sujatamail.com")</f>
        <v>purchase@sujatamail.com,purchase1@sujatamail.com,ea3@sujatamail.com</v>
      </c>
      <c r="K6" s="173" t="str">
        <f>IFERROR(__xludf.DUMMYFUNCTION("""COMPUTED_VALUE"""),"agl.mailout@gmail.com")</f>
        <v>agl.mailout@gmail.com</v>
      </c>
      <c r="L6" s="173" t="str">
        <f>IFERROR(__xludf.DUMMYFUNCTION("""COMPUTED_VALUE"""),"gaurav@msambikaglobal.in")</f>
        <v>gaurav@msambikaglobal.in</v>
      </c>
      <c r="M6" s="173" t="str">
        <f>IFERROR(__xludf.DUMMYFUNCTION("""COMPUTED_VALUE"""),"ND1500-204")</f>
        <v>ND1500-204</v>
      </c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 ht="38.25" customHeight="1">
      <c r="A7" s="166" t="str">
        <f>IFERROR(__xludf.DUMMYFUNCTION("""COMPUTED_VALUE"""),"Mittal Electronics")</f>
        <v>Mittal Electronics</v>
      </c>
      <c r="B7" s="167" t="str">
        <f>IFERROR(__xludf.DUMMYFUNCTION("""COMPUTED_VALUE"""),"Delhi")</f>
        <v>Delhi</v>
      </c>
      <c r="C7" s="168" t="str">
        <f>IFERROR(__xludf.DUMMYFUNCTION("""COMPUTED_VALUE"""),"38 SSI Industrial Area,
G T Karnal Road,
Jahagir Puri Metro Station,
Near Piller No 144,  Delhi-110033")</f>
        <v>38 SSI Industrial Area,
G T Karnal Road,
Jahagir Puri Metro Station,
Near Piller No 144,  Delhi-110033</v>
      </c>
      <c r="D7" s="169" t="str">
        <f>IFERROR(__xludf.DUMMYFUNCTION("""COMPUTED_VALUE"""),"Nano Flat Jar")</f>
        <v>Nano Flat Jar</v>
      </c>
      <c r="E7" s="169" t="str">
        <f>IFERROR(__xludf.DUMMYFUNCTION("""COMPUTED_VALUE"""),"Pcs")</f>
        <v>Pcs</v>
      </c>
      <c r="F7" s="170">
        <f>IFERROR(__xludf.DUMMYFUNCTION("""COMPUTED_VALUE"""),105.0)</f>
        <v>105</v>
      </c>
      <c r="G7" s="171">
        <f>IFERROR(__xludf.DUMMYFUNCTION("""COMPUTED_VALUE"""),26.0)</f>
        <v>26</v>
      </c>
      <c r="H7" s="172">
        <f>IFERROR(__xludf.DUMMYFUNCTION("""COMPUTED_VALUE"""),5.0)</f>
        <v>5</v>
      </c>
      <c r="I7" s="172">
        <f>IFERROR(__xludf.DUMMYFUNCTION("""COMPUTED_VALUE"""),30.0)</f>
        <v>30</v>
      </c>
      <c r="J7" s="173" t="str">
        <f>IFERROR(__xludf.DUMMYFUNCTION("""COMPUTED_VALUE"""),"purchase@sujatamail.com,purchase1@sujatamail.com,ea3@sujatamail.com")</f>
        <v>purchase@sujatamail.com,purchase1@sujatamail.com,ea3@sujatamail.com</v>
      </c>
      <c r="K7" s="173" t="str">
        <f>IFERROR(__xludf.DUMMYFUNCTION("""COMPUTED_VALUE"""),"agl.mailout@gmail.com")</f>
        <v>agl.mailout@gmail.com</v>
      </c>
      <c r="L7" s="173" t="str">
        <f>IFERROR(__xludf.DUMMYFUNCTION("""COMPUTED_VALUE"""),"gaurav@msambikaglobal.in")</f>
        <v>gaurav@msambikaglobal.in</v>
      </c>
      <c r="M7" s="173" t="str">
        <f>IFERROR(__xludf.DUMMYFUNCTION("""COMPUTED_VALUE"""),"NF1000-204")</f>
        <v>NF1000-204</v>
      </c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ht="38.25" customHeight="1">
      <c r="A8" s="166" t="str">
        <f>IFERROR(__xludf.DUMMYFUNCTION("""COMPUTED_VALUE"""),"Mittal Electronics")</f>
        <v>Mittal Electronics</v>
      </c>
      <c r="B8" s="167" t="str">
        <f>IFERROR(__xludf.DUMMYFUNCTION("""COMPUTED_VALUE"""),"Delhi")</f>
        <v>Delhi</v>
      </c>
      <c r="C8" s="168" t="str">
        <f>IFERROR(__xludf.DUMMYFUNCTION("""COMPUTED_VALUE"""),"38 SSI Industrial Area,
G T Karnal Road,
Jahagir Puri Metro Station,
Near Piller No 144,  Delhi-110033")</f>
        <v>38 SSI Industrial Area,
G T Karnal Road,
Jahagir Puri Metro Station,
Near Piller No 144,  Delhi-110033</v>
      </c>
      <c r="D8" s="169" t="str">
        <f>IFERROR(__xludf.DUMMYFUNCTION("""COMPUTED_VALUE"""),"Nano Chutney Jar")</f>
        <v>Nano Chutney Jar</v>
      </c>
      <c r="E8" s="169" t="str">
        <f>IFERROR(__xludf.DUMMYFUNCTION("""COMPUTED_VALUE"""),"Pcs")</f>
        <v>Pcs</v>
      </c>
      <c r="F8" s="170">
        <f>IFERROR(__xludf.DUMMYFUNCTION("""COMPUTED_VALUE"""),210.0)</f>
        <v>210</v>
      </c>
      <c r="G8" s="171">
        <f>IFERROR(__xludf.DUMMYFUNCTION("""COMPUTED_VALUE"""),21.0)</f>
        <v>21</v>
      </c>
      <c r="H8" s="172">
        <f>IFERROR(__xludf.DUMMYFUNCTION("""COMPUTED_VALUE"""),5.0)</f>
        <v>5</v>
      </c>
      <c r="I8" s="172">
        <f>IFERROR(__xludf.DUMMYFUNCTION("""COMPUTED_VALUE"""),30.0)</f>
        <v>30</v>
      </c>
      <c r="J8" s="173" t="str">
        <f>IFERROR(__xludf.DUMMYFUNCTION("""COMPUTED_VALUE"""),"purchase@sujatamail.com,purchase1@sujatamail.com,ea3@sujatamail.com")</f>
        <v>purchase@sujatamail.com,purchase1@sujatamail.com,ea3@sujatamail.com</v>
      </c>
      <c r="K8" s="173" t="str">
        <f>IFERROR(__xludf.DUMMYFUNCTION("""COMPUTED_VALUE"""),"agl.mailout@gmail.com")</f>
        <v>agl.mailout@gmail.com</v>
      </c>
      <c r="L8" s="173" t="str">
        <f>IFERROR(__xludf.DUMMYFUNCTION("""COMPUTED_VALUE"""),"gaurav@msambikaglobal.in")</f>
        <v>gaurav@msambikaglobal.in</v>
      </c>
      <c r="M8" s="173" t="str">
        <f>IFERROR(__xludf.DUMMYFUNCTION("""COMPUTED_VALUE"""),"NC0400-204")</f>
        <v>NC0400-204</v>
      </c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ht="38.25" customHeight="1">
      <c r="A9" s="166" t="str">
        <f>IFERROR(__xludf.DUMMYFUNCTION("""COMPUTED_VALUE"""),"Epack Durable Ltd")</f>
        <v>Epack Durable Ltd</v>
      </c>
      <c r="B9" s="167" t="str">
        <f>IFERROR(__xludf.DUMMYFUNCTION("""COMPUTED_VALUE"""),"Bhiwadi")</f>
        <v>Bhiwadi</v>
      </c>
      <c r="C9" s="168" t="str">
        <f>IFERROR(__xludf.DUMMYFUNCTION("""COMPUTED_VALUE"""),"Plot No. A1-A2, D6-D7-D8, Elcina Electronics,
Manufacturing Cluster, Industrial Area,
Salarpur, Bhiwadi, Alwar, Rajasthan - 301019")</f>
        <v>Plot No. A1-A2, D6-D7-D8, Elcina Electronics,
Manufacturing Cluster, Industrial Area,
Salarpur, Bhiwadi, Alwar, Rajasthan - 301019</v>
      </c>
      <c r="D9" s="169" t="str">
        <f>IFERROR(__xludf.DUMMYFUNCTION("""COMPUTED_VALUE"""),"PP Wet")</f>
        <v>PP Wet</v>
      </c>
      <c r="E9" s="169" t="str">
        <f>IFERROR(__xludf.DUMMYFUNCTION("""COMPUTED_VALUE"""),"Pcs")</f>
        <v>Pcs</v>
      </c>
      <c r="F9" s="170">
        <f>IFERROR(__xludf.DUMMYFUNCTION("""COMPUTED_VALUE"""),120.0)</f>
        <v>120</v>
      </c>
      <c r="G9" s="171">
        <f>IFERROR(__xludf.DUMMYFUNCTION("""COMPUTED_VALUE"""),33.02)</f>
        <v>33.02</v>
      </c>
      <c r="H9" s="172">
        <f>IFERROR(__xludf.DUMMYFUNCTION("""COMPUTED_VALUE"""),6.0)</f>
        <v>6</v>
      </c>
      <c r="I9" s="172">
        <f>IFERROR(__xludf.DUMMYFUNCTION("""COMPUTED_VALUE"""),30.0)</f>
        <v>30</v>
      </c>
      <c r="J9" s="173" t="str">
        <f>IFERROR(__xludf.DUMMYFUNCTION("""COMPUTED_VALUE"""),"abhishek.karwa_ed@epack.in,devendar.singh_ed@epack.in,ankit.upadhyay_ed@epack.in,riya.tyagi_ed@epack.in,amiyaman.singh_ed@epack.in")</f>
        <v>abhishek.karwa_ed@epack.in,devendar.singh_ed@epack.in,ankit.upadhyay_ed@epack.in,riya.tyagi_ed@epack.in,amiyaman.singh_ed@epack.in</v>
      </c>
      <c r="K9" s="173" t="str">
        <f>IFERROR(__xludf.DUMMYFUNCTION("""COMPUTED_VALUE"""),"agl.mailout@gmail.com")</f>
        <v>agl.mailout@gmail.com</v>
      </c>
      <c r="L9" s="173" t="str">
        <f>IFERROR(__xludf.DUMMYFUNCTION("""COMPUTED_VALUE"""),"gaurav@msambikaglobal.in")</f>
        <v>gaurav@msambikaglobal.in</v>
      </c>
      <c r="M9" s="173" t="str">
        <f>IFERROR(__xludf.DUMMYFUNCTION("""COMPUTED_VALUE"""),"PP1500-202")</f>
        <v>PP1500-202</v>
      </c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 ht="38.25" customHeight="1">
      <c r="A10" s="166" t="str">
        <f>IFERROR(__xludf.DUMMYFUNCTION("""COMPUTED_VALUE"""),"Epack Durable Ltd")</f>
        <v>Epack Durable Ltd</v>
      </c>
      <c r="B10" s="167" t="str">
        <f>IFERROR(__xludf.DUMMYFUNCTION("""COMPUTED_VALUE"""),"Bhiwadi")</f>
        <v>Bhiwadi</v>
      </c>
      <c r="C10" s="168" t="str">
        <f>IFERROR(__xludf.DUMMYFUNCTION("""COMPUTED_VALUE"""),"Plot No. A1-A2, D6-D7-D8, Elcina Electronics,
Manufacturing Cluster, Industrial Area,
Salarpur, Bhiwadi, Alwar, Rajasthan - 301019")</f>
        <v>Plot No. A1-A2, D6-D7-D8, Elcina Electronics,
Manufacturing Cluster, Industrial Area,
Salarpur, Bhiwadi, Alwar, Rajasthan - 301019</v>
      </c>
      <c r="D10" s="169" t="str">
        <f>IFERROR(__xludf.DUMMYFUNCTION("""COMPUTED_VALUE"""),"PP Dry")</f>
        <v>PP Dry</v>
      </c>
      <c r="E10" s="169" t="str">
        <f>IFERROR(__xludf.DUMMYFUNCTION("""COMPUTED_VALUE"""),"Pcs")</f>
        <v>Pcs</v>
      </c>
      <c r="F10" s="170">
        <f>IFERROR(__xludf.DUMMYFUNCTION("""COMPUTED_VALUE"""),120.0)</f>
        <v>120</v>
      </c>
      <c r="G10" s="171">
        <f>IFERROR(__xludf.DUMMYFUNCTION("""COMPUTED_VALUE"""),28.8)</f>
        <v>28.8</v>
      </c>
      <c r="H10" s="172">
        <f>IFERROR(__xludf.DUMMYFUNCTION("""COMPUTED_VALUE"""),6.0)</f>
        <v>6</v>
      </c>
      <c r="I10" s="172">
        <f>IFERROR(__xludf.DUMMYFUNCTION("""COMPUTED_VALUE"""),30.0)</f>
        <v>30</v>
      </c>
      <c r="J10" s="173" t="str">
        <f>IFERROR(__xludf.DUMMYFUNCTION("""COMPUTED_VALUE"""),"abhishek.karwa_ed@epack.in,devendar.singh_ed@epack.in,ankit.upadhyay_ed@epack.in,riya.tyagi_ed@epack.in,amiyaman.singh_ed@epack.in")</f>
        <v>abhishek.karwa_ed@epack.in,devendar.singh_ed@epack.in,ankit.upadhyay_ed@epack.in,riya.tyagi_ed@epack.in,amiyaman.singh_ed@epack.in</v>
      </c>
      <c r="K10" s="173" t="str">
        <f>IFERROR(__xludf.DUMMYFUNCTION("""COMPUTED_VALUE"""),"agl.mailout@gmail.com")</f>
        <v>agl.mailout@gmail.com</v>
      </c>
      <c r="L10" s="173" t="str">
        <f>IFERROR(__xludf.DUMMYFUNCTION("""COMPUTED_VALUE"""),"gaurav@msambikaglobal.in")</f>
        <v>gaurav@msambikaglobal.in</v>
      </c>
      <c r="M10" s="173" t="str">
        <f>IFERROR(__xludf.DUMMYFUNCTION("""COMPUTED_VALUE"""),"PP1000-202")</f>
        <v>PP1000-202</v>
      </c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 ht="38.25" customHeight="1">
      <c r="A11" s="166" t="str">
        <f>IFERROR(__xludf.DUMMYFUNCTION("""COMPUTED_VALUE"""),"Epack Durable Ltd")</f>
        <v>Epack Durable Ltd</v>
      </c>
      <c r="B11" s="167" t="str">
        <f>IFERROR(__xludf.DUMMYFUNCTION("""COMPUTED_VALUE"""),"Dehradun")</f>
        <v>Dehradun</v>
      </c>
      <c r="C11" s="168" t="str">
        <f>IFERROR(__xludf.DUMMYFUNCTION("""COMPUTED_VALUE"""),"C- 6 &amp; C-7, UPSIDC Industrial Area, Selaqul,
Dehradun, Uttrakhand - 248011")</f>
        <v>C- 6 &amp; C-7, UPSIDC Industrial Area, Selaqul,
Dehradun, Uttrakhand - 248011</v>
      </c>
      <c r="D11" s="169" t="str">
        <f>IFERROR(__xludf.DUMMYFUNCTION("""COMPUTED_VALUE"""),"PP Chutney")</f>
        <v>PP Chutney</v>
      </c>
      <c r="E11" s="169" t="str">
        <f>IFERROR(__xludf.DUMMYFUNCTION("""COMPUTED_VALUE"""),"Pcs")</f>
        <v>Pcs</v>
      </c>
      <c r="F11" s="170">
        <f>IFERROR(__xludf.DUMMYFUNCTION("""COMPUTED_VALUE"""),180.0)</f>
        <v>180</v>
      </c>
      <c r="G11" s="171">
        <f>IFERROR(__xludf.DUMMYFUNCTION("""COMPUTED_VALUE"""),23.29)</f>
        <v>23.29</v>
      </c>
      <c r="H11" s="172">
        <f>IFERROR(__xludf.DUMMYFUNCTION("""COMPUTED_VALUE"""),6.0)</f>
        <v>6</v>
      </c>
      <c r="I11" s="172">
        <f>IFERROR(__xludf.DUMMYFUNCTION("""COMPUTED_VALUE"""),30.0)</f>
        <v>30</v>
      </c>
      <c r="J11" s="173" t="str">
        <f>IFERROR(__xludf.DUMMYFUNCTION("""COMPUTED_VALUE"""),"abhishek.karwa_ed@epack.in,devendar.singh_ed@epack.in,ankit.upadhyay_ed@epack.in,riya.tyagi_ed@epack.in,amiyaman.singh_ed@epack.in")</f>
        <v>abhishek.karwa_ed@epack.in,devendar.singh_ed@epack.in,ankit.upadhyay_ed@epack.in,riya.tyagi_ed@epack.in,amiyaman.singh_ed@epack.in</v>
      </c>
      <c r="K11" s="173" t="str">
        <f>IFERROR(__xludf.DUMMYFUNCTION("""COMPUTED_VALUE"""),"agl.mailout@gmail.com")</f>
        <v>agl.mailout@gmail.com</v>
      </c>
      <c r="L11" s="173" t="str">
        <f>IFERROR(__xludf.DUMMYFUNCTION("""COMPUTED_VALUE"""),"gaurav@msambikaglobal.in")</f>
        <v>gaurav@msambikaglobal.in</v>
      </c>
      <c r="M11" s="173" t="str">
        <f>IFERROR(__xludf.DUMMYFUNCTION("""COMPUTED_VALUE"""),"PP0400-202")</f>
        <v>PP0400-202</v>
      </c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 ht="38.25" customHeight="1">
      <c r="A12" s="166" t="str">
        <f>IFERROR(__xludf.DUMMYFUNCTION("""COMPUTED_VALUE"""),"Epack Durable Ltd")</f>
        <v>Epack Durable Ltd</v>
      </c>
      <c r="B12" s="167" t="str">
        <f>IFERROR(__xludf.DUMMYFUNCTION("""COMPUTED_VALUE"""),"Bhiwadi")</f>
        <v>Bhiwadi</v>
      </c>
      <c r="C12" s="168" t="str">
        <f>IFERROR(__xludf.DUMMYFUNCTION("""COMPUTED_VALUE"""),"Plot No. A1-A2, D6-D7-D8, Elcina Electronics,
Manufacturing Cluster, Industrial Area,
Salarpur, Bhiwadi, Alwar, Rajasthan - 301019")</f>
        <v>Plot No. A1-A2, D6-D7-D8, Elcina Electronics,
Manufacturing Cluster, Industrial Area,
Salarpur, Bhiwadi, Alwar, Rajasthan - 301019</v>
      </c>
      <c r="D12" s="169" t="str">
        <f>IFERROR(__xludf.DUMMYFUNCTION("""COMPUTED_VALUE"""),"PP Flat Wet")</f>
        <v>PP Flat Wet</v>
      </c>
      <c r="E12" s="169" t="str">
        <f>IFERROR(__xludf.DUMMYFUNCTION("""COMPUTED_VALUE"""),"Pcs")</f>
        <v>Pcs</v>
      </c>
      <c r="F12" s="170">
        <f>IFERROR(__xludf.DUMMYFUNCTION("""COMPUTED_VALUE"""),120.0)</f>
        <v>120</v>
      </c>
      <c r="G12" s="171">
        <f>IFERROR(__xludf.DUMMYFUNCTION("""COMPUTED_VALUE"""),31.95)</f>
        <v>31.95</v>
      </c>
      <c r="H12" s="172">
        <f>IFERROR(__xludf.DUMMYFUNCTION("""COMPUTED_VALUE"""),6.0)</f>
        <v>6</v>
      </c>
      <c r="I12" s="172">
        <f>IFERROR(__xludf.DUMMYFUNCTION("""COMPUTED_VALUE"""),30.0)</f>
        <v>30</v>
      </c>
      <c r="J12" s="173" t="str">
        <f>IFERROR(__xludf.DUMMYFUNCTION("""COMPUTED_VALUE"""),"abhishek.karwa_ed@epack.in,devendar.singh_ed@epack.in,ankit.upadhyay_ed@epack.in,riya.tyagi_ed@epack.in,amiyaman.singh_ed@epack.in")</f>
        <v>abhishek.karwa_ed@epack.in,devendar.singh_ed@epack.in,ankit.upadhyay_ed@epack.in,riya.tyagi_ed@epack.in,amiyaman.singh_ed@epack.in</v>
      </c>
      <c r="K12" s="173" t="str">
        <f>IFERROR(__xludf.DUMMYFUNCTION("""COMPUTED_VALUE"""),"agl.mailout@gmail.com")</f>
        <v>agl.mailout@gmail.com</v>
      </c>
      <c r="L12" s="173" t="str">
        <f>IFERROR(__xludf.DUMMYFUNCTION("""COMPUTED_VALUE"""),"gaurav@msambikaglobal.in")</f>
        <v>gaurav@msambikaglobal.in</v>
      </c>
      <c r="M12" s="173" t="str">
        <f>IFERROR(__xludf.DUMMYFUNCTION("""COMPUTED_VALUE"""),"PF1500-202")</f>
        <v>PF1500-202</v>
      </c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 ht="38.25" customHeight="1">
      <c r="A13" s="166" t="str">
        <f>IFERROR(__xludf.DUMMYFUNCTION("""COMPUTED_VALUE"""),"Epack Durable Ltd")</f>
        <v>Epack Durable Ltd</v>
      </c>
      <c r="B13" s="167" t="str">
        <f>IFERROR(__xludf.DUMMYFUNCTION("""COMPUTED_VALUE"""),"Bhiwadi")</f>
        <v>Bhiwadi</v>
      </c>
      <c r="C13" s="168" t="str">
        <f>IFERROR(__xludf.DUMMYFUNCTION("""COMPUTED_VALUE"""),"Plot No. A1-A2, D6-D7-D8, Elcina Electronics,
Manufacturing Cluster, Industrial Area,
Salarpur, Bhiwadi, Alwar, Rajasthan - 301019")</f>
        <v>Plot No. A1-A2, D6-D7-D8, Elcina Electronics,
Manufacturing Cluster, Industrial Area,
Salarpur, Bhiwadi, Alwar, Rajasthan - 301019</v>
      </c>
      <c r="D13" s="169" t="str">
        <f>IFERROR(__xludf.DUMMYFUNCTION("""COMPUTED_VALUE"""),"PP Flat Dry")</f>
        <v>PP Flat Dry</v>
      </c>
      <c r="E13" s="169" t="str">
        <f>IFERROR(__xludf.DUMMYFUNCTION("""COMPUTED_VALUE"""),"Pcs")</f>
        <v>Pcs</v>
      </c>
      <c r="F13" s="170">
        <f>IFERROR(__xludf.DUMMYFUNCTION("""COMPUTED_VALUE"""),120.0)</f>
        <v>120</v>
      </c>
      <c r="G13" s="171">
        <f>IFERROR(__xludf.DUMMYFUNCTION("""COMPUTED_VALUE"""),27.96)</f>
        <v>27.96</v>
      </c>
      <c r="H13" s="172">
        <f>IFERROR(__xludf.DUMMYFUNCTION("""COMPUTED_VALUE"""),6.0)</f>
        <v>6</v>
      </c>
      <c r="I13" s="172">
        <f>IFERROR(__xludf.DUMMYFUNCTION("""COMPUTED_VALUE"""),30.0)</f>
        <v>30</v>
      </c>
      <c r="J13" s="173" t="str">
        <f>IFERROR(__xludf.DUMMYFUNCTION("""COMPUTED_VALUE"""),"abhishek.karwa_ed@epack.in,devendar.singh_ed@epack.in,ankit.upadhyay_ed@epack.in,riya.tyagi_ed@epack.in,amiyaman.singh_ed@epack.in")</f>
        <v>abhishek.karwa_ed@epack.in,devendar.singh_ed@epack.in,ankit.upadhyay_ed@epack.in,riya.tyagi_ed@epack.in,amiyaman.singh_ed@epack.in</v>
      </c>
      <c r="K13" s="173" t="str">
        <f>IFERROR(__xludf.DUMMYFUNCTION("""COMPUTED_VALUE"""),"agl.mailout@gmail.com")</f>
        <v>agl.mailout@gmail.com</v>
      </c>
      <c r="L13" s="173" t="str">
        <f>IFERROR(__xludf.DUMMYFUNCTION("""COMPUTED_VALUE"""),"gaurav@msambikaglobal.in")</f>
        <v>gaurav@msambikaglobal.in</v>
      </c>
      <c r="M13" s="173" t="str">
        <f>IFERROR(__xludf.DUMMYFUNCTION("""COMPUTED_VALUE"""),"PF1000-202")</f>
        <v>PF1000-202</v>
      </c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ht="38.25" customHeight="1">
      <c r="A14" s="166" t="str">
        <f>IFERROR(__xludf.DUMMYFUNCTION("""COMPUTED_VALUE"""),"Epack Durable Ltd")</f>
        <v>Epack Durable Ltd</v>
      </c>
      <c r="B14" s="167" t="str">
        <f>IFERROR(__xludf.DUMMYFUNCTION("""COMPUTED_VALUE"""),"Bhiwadi")</f>
        <v>Bhiwadi</v>
      </c>
      <c r="C14" s="168" t="str">
        <f>IFERROR(__xludf.DUMMYFUNCTION("""COMPUTED_VALUE"""),"Plot No. A1-A2, D6-D7-D8, Elcina Electronics,
Manufacturing Cluster, Industrial Area,
Salarpur, Bhiwadi, Alwar, Rajasthan - 301019")</f>
        <v>Plot No. A1-A2, D6-D7-D8, Elcina Electronics,
Manufacturing Cluster, Industrial Area,
Salarpur, Bhiwadi, Alwar, Rajasthan - 301019</v>
      </c>
      <c r="D14" s="169" t="str">
        <f>IFERROR(__xludf.DUMMYFUNCTION("""COMPUTED_VALUE"""),"PP Flat Chutney")</f>
        <v>PP Flat Chutney</v>
      </c>
      <c r="E14" s="169" t="str">
        <f>IFERROR(__xludf.DUMMYFUNCTION("""COMPUTED_VALUE"""),"Pcs")</f>
        <v>Pcs</v>
      </c>
      <c r="F14" s="170">
        <f>IFERROR(__xludf.DUMMYFUNCTION("""COMPUTED_VALUE"""),180.0)</f>
        <v>180</v>
      </c>
      <c r="G14" s="171">
        <f>IFERROR(__xludf.DUMMYFUNCTION("""COMPUTED_VALUE"""),23.7)</f>
        <v>23.7</v>
      </c>
      <c r="H14" s="172">
        <f>IFERROR(__xludf.DUMMYFUNCTION("""COMPUTED_VALUE"""),6.0)</f>
        <v>6</v>
      </c>
      <c r="I14" s="172">
        <f>IFERROR(__xludf.DUMMYFUNCTION("""COMPUTED_VALUE"""),30.0)</f>
        <v>30</v>
      </c>
      <c r="J14" s="173" t="str">
        <f>IFERROR(__xludf.DUMMYFUNCTION("""COMPUTED_VALUE"""),"abhishek.karwa_ed@epack.in,devendar.singh_ed@epack.in,ankit.upadhyay_ed@epack.in,riya.tyagi_ed@epack.in,amiyaman.singh_ed@epack.in")</f>
        <v>abhishek.karwa_ed@epack.in,devendar.singh_ed@epack.in,ankit.upadhyay_ed@epack.in,riya.tyagi_ed@epack.in,amiyaman.singh_ed@epack.in</v>
      </c>
      <c r="K14" s="173" t="str">
        <f>IFERROR(__xludf.DUMMYFUNCTION("""COMPUTED_VALUE"""),"agl.mailout@gmail.com")</f>
        <v>agl.mailout@gmail.com</v>
      </c>
      <c r="L14" s="173" t="str">
        <f>IFERROR(__xludf.DUMMYFUNCTION("""COMPUTED_VALUE"""),"gaurav@msambikaglobal.in")</f>
        <v>gaurav@msambikaglobal.in</v>
      </c>
      <c r="M14" s="173" t="str">
        <f>IFERROR(__xludf.DUMMYFUNCTION("""COMPUTED_VALUE"""),"PF0600-202")</f>
        <v>PF0600-202</v>
      </c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ht="38.25" customHeight="1">
      <c r="A15" s="166" t="str">
        <f>IFERROR(__xludf.DUMMYFUNCTION("""COMPUTED_VALUE"""),"Elin Electronics Limited.")</f>
        <v>Elin Electronics Limited.</v>
      </c>
      <c r="B15" s="167" t="str">
        <f>IFERROR(__xludf.DUMMYFUNCTION("""COMPUTED_VALUE"""),"Himachal Pradesh")</f>
        <v>Himachal Pradesh</v>
      </c>
      <c r="C15" s="168" t="str">
        <f>IFERROR(__xludf.DUMMYFUNCTION("""COMPUTED_VALUE"""),"Village Belikhol, PO- Manpura
Tehsil- Nalagarh, Distt - Salon - 174101
Himachal Pradesh")</f>
        <v>Village Belikhol, PO- Manpura
Tehsil- Nalagarh, Distt - Salon - 174101
Himachal Pradesh</v>
      </c>
      <c r="D15" s="169" t="str">
        <f>IFERROR(__xludf.DUMMYFUNCTION("""COMPUTED_VALUE"""),"VA Wet")</f>
        <v>VA Wet</v>
      </c>
      <c r="E15" s="169" t="str">
        <f>IFERROR(__xludf.DUMMYFUNCTION("""COMPUTED_VALUE"""),"Pcs")</f>
        <v>Pcs</v>
      </c>
      <c r="F15" s="170">
        <f>IFERROR(__xludf.DUMMYFUNCTION("""COMPUTED_VALUE"""),120.0)</f>
        <v>120</v>
      </c>
      <c r="G15" s="171">
        <f>IFERROR(__xludf.DUMMYFUNCTION("""COMPUTED_VALUE"""),31.95)</f>
        <v>31.95</v>
      </c>
      <c r="H15" s="172">
        <f>IFERROR(__xludf.DUMMYFUNCTION("""COMPUTED_VALUE"""),6.0)</f>
        <v>6</v>
      </c>
      <c r="I15" s="172">
        <f>IFERROR(__xludf.DUMMYFUNCTION("""COMPUTED_VALUE"""),45.0)</f>
        <v>45</v>
      </c>
      <c r="J15" s="173" t="str">
        <f>IFERROR(__xludf.DUMMYFUNCTION("""COMPUTED_VALUE"""),"a.ranaut@elinindia.com,kartik.chandel@elinindia.com,pawan.kumar@elinindia.com")</f>
        <v>a.ranaut@elinindia.com,kartik.chandel@elinindia.com,pawan.kumar@elinindia.com</v>
      </c>
      <c r="K15" s="173" t="str">
        <f>IFERROR(__xludf.DUMMYFUNCTION("""COMPUTED_VALUE"""),"agl.mailout@gmail.com")</f>
        <v>agl.mailout@gmail.com</v>
      </c>
      <c r="L15" s="173" t="str">
        <f>IFERROR(__xludf.DUMMYFUNCTION("""COMPUTED_VALUE"""),"gaurav@msambikaglobal.in")</f>
        <v>gaurav@msambikaglobal.in</v>
      </c>
      <c r="M15" s="173" t="str">
        <f>IFERROR(__xludf.DUMMYFUNCTION("""COMPUTED_VALUE"""),"VA1500-202")</f>
        <v>VA1500-202</v>
      </c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 ht="38.25" customHeight="1">
      <c r="A16" s="166" t="str">
        <f>IFERROR(__xludf.DUMMYFUNCTION("""COMPUTED_VALUE"""),"Elin Electronics Limited.")</f>
        <v>Elin Electronics Limited.</v>
      </c>
      <c r="B16" s="167" t="str">
        <f>IFERROR(__xludf.DUMMYFUNCTION("""COMPUTED_VALUE"""),"Himachal Pradesh")</f>
        <v>Himachal Pradesh</v>
      </c>
      <c r="C16" s="168" t="str">
        <f>IFERROR(__xludf.DUMMYFUNCTION("""COMPUTED_VALUE"""),"Village Belikhol, PO- Manpura
Tehsil- Nalagarh, Distt - Salon - 174101
Himachal Pradesh")</f>
        <v>Village Belikhol, PO- Manpura
Tehsil- Nalagarh, Distt - Salon - 174101
Himachal Pradesh</v>
      </c>
      <c r="D16" s="169" t="str">
        <f>IFERROR(__xludf.DUMMYFUNCTION("""COMPUTED_VALUE"""),"VA Dry")</f>
        <v>VA Dry</v>
      </c>
      <c r="E16" s="169" t="str">
        <f>IFERROR(__xludf.DUMMYFUNCTION("""COMPUTED_VALUE"""),"Pcs")</f>
        <v>Pcs</v>
      </c>
      <c r="F16" s="170">
        <f>IFERROR(__xludf.DUMMYFUNCTION("""COMPUTED_VALUE"""),120.0)</f>
        <v>120</v>
      </c>
      <c r="G16" s="171">
        <f>IFERROR(__xludf.DUMMYFUNCTION("""COMPUTED_VALUE"""),27.96)</f>
        <v>27.96</v>
      </c>
      <c r="H16" s="172">
        <f>IFERROR(__xludf.DUMMYFUNCTION("""COMPUTED_VALUE"""),6.0)</f>
        <v>6</v>
      </c>
      <c r="I16" s="172">
        <f>IFERROR(__xludf.DUMMYFUNCTION("""COMPUTED_VALUE"""),45.0)</f>
        <v>45</v>
      </c>
      <c r="J16" s="173" t="str">
        <f>IFERROR(__xludf.DUMMYFUNCTION("""COMPUTED_VALUE"""),"a.ranaut@elinindia.com,kartik.chandel@elinindia.com,pawan.kumar@elinindia.com")</f>
        <v>a.ranaut@elinindia.com,kartik.chandel@elinindia.com,pawan.kumar@elinindia.com</v>
      </c>
      <c r="K16" s="173" t="str">
        <f>IFERROR(__xludf.DUMMYFUNCTION("""COMPUTED_VALUE"""),"agl.mailout@gmail.com")</f>
        <v>agl.mailout@gmail.com</v>
      </c>
      <c r="L16" s="173" t="str">
        <f>IFERROR(__xludf.DUMMYFUNCTION("""COMPUTED_VALUE"""),"gaurav@msambikaglobal.in")</f>
        <v>gaurav@msambikaglobal.in</v>
      </c>
      <c r="M16" s="173" t="str">
        <f>IFERROR(__xludf.DUMMYFUNCTION("""COMPUTED_VALUE"""),"VA1000-202")</f>
        <v>VA1000-202</v>
      </c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</row>
    <row r="17" ht="38.25" customHeight="1">
      <c r="A17" s="166" t="str">
        <f>IFERROR(__xludf.DUMMYFUNCTION("""COMPUTED_VALUE"""),"Elin Electronics Limited.")</f>
        <v>Elin Electronics Limited.</v>
      </c>
      <c r="B17" s="167" t="str">
        <f>IFERROR(__xludf.DUMMYFUNCTION("""COMPUTED_VALUE"""),"Himachal Pradesh")</f>
        <v>Himachal Pradesh</v>
      </c>
      <c r="C17" s="168" t="str">
        <f>IFERROR(__xludf.DUMMYFUNCTION("""COMPUTED_VALUE"""),"Village Belikhol, PO- Manpura
Tehsil- Nalagarh, Distt - Salon - 174101
Himachal Pradesh")</f>
        <v>Village Belikhol, PO- Manpura
Tehsil- Nalagarh, Distt - Salon - 174101
Himachal Pradesh</v>
      </c>
      <c r="D17" s="169" t="str">
        <f>IFERROR(__xludf.DUMMYFUNCTION("""COMPUTED_VALUE"""),"VA Chutney")</f>
        <v>VA Chutney</v>
      </c>
      <c r="E17" s="169" t="str">
        <f>IFERROR(__xludf.DUMMYFUNCTION("""COMPUTED_VALUE"""),"Pcs")</f>
        <v>Pcs</v>
      </c>
      <c r="F17" s="170">
        <f>IFERROR(__xludf.DUMMYFUNCTION("""COMPUTED_VALUE"""),180.0)</f>
        <v>180</v>
      </c>
      <c r="G17" s="171">
        <f>IFERROR(__xludf.DUMMYFUNCTION("""COMPUTED_VALUE"""),23.7)</f>
        <v>23.7</v>
      </c>
      <c r="H17" s="172">
        <f>IFERROR(__xludf.DUMMYFUNCTION("""COMPUTED_VALUE"""),6.0)</f>
        <v>6</v>
      </c>
      <c r="I17" s="172">
        <f>IFERROR(__xludf.DUMMYFUNCTION("""COMPUTED_VALUE"""),45.0)</f>
        <v>45</v>
      </c>
      <c r="J17" s="173" t="str">
        <f>IFERROR(__xludf.DUMMYFUNCTION("""COMPUTED_VALUE"""),"a.ranaut@elinindia.com,kartik.chandel@elinindia.com,pawan.kumar@elinindia.com")</f>
        <v>a.ranaut@elinindia.com,kartik.chandel@elinindia.com,pawan.kumar@elinindia.com</v>
      </c>
      <c r="K17" s="173" t="str">
        <f>IFERROR(__xludf.DUMMYFUNCTION("""COMPUTED_VALUE"""),"agl.mailout@gmail.com")</f>
        <v>agl.mailout@gmail.com</v>
      </c>
      <c r="L17" s="173" t="str">
        <f>IFERROR(__xludf.DUMMYFUNCTION("""COMPUTED_VALUE"""),"gaurav@msambikaglobal.in")</f>
        <v>gaurav@msambikaglobal.in</v>
      </c>
      <c r="M17" s="173" t="str">
        <f>IFERROR(__xludf.DUMMYFUNCTION("""COMPUTED_VALUE"""),"VA0400-202")</f>
        <v>VA0400-202</v>
      </c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 ht="38.25" customHeight="1">
      <c r="A18" s="166" t="str">
        <f>IFERROR(__xludf.DUMMYFUNCTION("""COMPUTED_VALUE"""),"Elin Electronics Limited.")</f>
        <v>Elin Electronics Limited.</v>
      </c>
      <c r="B18" s="167" t="str">
        <f>IFERROR(__xludf.DUMMYFUNCTION("""COMPUTED_VALUE"""),"Himachal Pradesh")</f>
        <v>Himachal Pradesh</v>
      </c>
      <c r="C18" s="168" t="str">
        <f>IFERROR(__xludf.DUMMYFUNCTION("""COMPUTED_VALUE"""),"Village Belikhol, PO- Manpura
Tehsil- Nalagarh, Distt - Salon - 174101
Himachal Pradesh")</f>
        <v>Village Belikhol, PO- Manpura
Tehsil- Nalagarh, Distt - Salon - 174101
Himachal Pradesh</v>
      </c>
      <c r="D18" s="169" t="str">
        <f>IFERROR(__xludf.DUMMYFUNCTION("""COMPUTED_VALUE"""),"Value Flat Wet")</f>
        <v>Value Flat Wet</v>
      </c>
      <c r="E18" s="169" t="str">
        <f>IFERROR(__xludf.DUMMYFUNCTION("""COMPUTED_VALUE"""),"Pcs")</f>
        <v>Pcs</v>
      </c>
      <c r="F18" s="170">
        <f>IFERROR(__xludf.DUMMYFUNCTION("""COMPUTED_VALUE"""),120.0)</f>
        <v>120</v>
      </c>
      <c r="G18" s="171">
        <f>IFERROR(__xludf.DUMMYFUNCTION("""COMPUTED_VALUE"""),30.0)</f>
        <v>30</v>
      </c>
      <c r="H18" s="172">
        <f>IFERROR(__xludf.DUMMYFUNCTION("""COMPUTED_VALUE"""),6.0)</f>
        <v>6</v>
      </c>
      <c r="I18" s="172">
        <f>IFERROR(__xludf.DUMMYFUNCTION("""COMPUTED_VALUE"""),45.0)</f>
        <v>45</v>
      </c>
      <c r="J18" s="173" t="str">
        <f>IFERROR(__xludf.DUMMYFUNCTION("""COMPUTED_VALUE"""),"a.ranaut@elinindia.com,kartik.chandel@elinindia.com,pawan.kumar@elinindia.com")</f>
        <v>a.ranaut@elinindia.com,kartik.chandel@elinindia.com,pawan.kumar@elinindia.com</v>
      </c>
      <c r="K18" s="173" t="str">
        <f>IFERROR(__xludf.DUMMYFUNCTION("""COMPUTED_VALUE"""),"agl.mailout@gmail.com")</f>
        <v>agl.mailout@gmail.com</v>
      </c>
      <c r="L18" s="173" t="str">
        <f>IFERROR(__xludf.DUMMYFUNCTION("""COMPUTED_VALUE"""),"gaurav@msambikaglobal.in")</f>
        <v>gaurav@msambikaglobal.in</v>
      </c>
      <c r="M18" s="173" t="str">
        <f>IFERROR(__xludf.DUMMYFUNCTION("""COMPUTED_VALUE"""),"VF1500-202")</f>
        <v>VF1500-202</v>
      </c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 ht="38.25" customHeight="1">
      <c r="A19" s="166" t="str">
        <f>IFERROR(__xludf.DUMMYFUNCTION("""COMPUTED_VALUE"""),"Elin Electronics Limited.")</f>
        <v>Elin Electronics Limited.</v>
      </c>
      <c r="B19" s="167" t="str">
        <f>IFERROR(__xludf.DUMMYFUNCTION("""COMPUTED_VALUE"""),"Himachal Pradesh")</f>
        <v>Himachal Pradesh</v>
      </c>
      <c r="C19" s="168" t="str">
        <f>IFERROR(__xludf.DUMMYFUNCTION("""COMPUTED_VALUE"""),"Village Belikhol, PO- Manpura
Tehsil- Nalagarh, Distt - Salon - 174101
Himachal Pradesh")</f>
        <v>Village Belikhol, PO- Manpura
Tehsil- Nalagarh, Distt - Salon - 174101
Himachal Pradesh</v>
      </c>
      <c r="D19" s="169" t="str">
        <f>IFERROR(__xludf.DUMMYFUNCTION("""COMPUTED_VALUE"""),"Value Flat Dry")</f>
        <v>Value Flat Dry</v>
      </c>
      <c r="E19" s="169" t="str">
        <f>IFERROR(__xludf.DUMMYFUNCTION("""COMPUTED_VALUE"""),"Pcs")</f>
        <v>Pcs</v>
      </c>
      <c r="F19" s="170">
        <f>IFERROR(__xludf.DUMMYFUNCTION("""COMPUTED_VALUE"""),120.0)</f>
        <v>120</v>
      </c>
      <c r="G19" s="171">
        <f>IFERROR(__xludf.DUMMYFUNCTION("""COMPUTED_VALUE"""),24.6)</f>
        <v>24.6</v>
      </c>
      <c r="H19" s="172">
        <f>IFERROR(__xludf.DUMMYFUNCTION("""COMPUTED_VALUE"""),6.0)</f>
        <v>6</v>
      </c>
      <c r="I19" s="172">
        <f>IFERROR(__xludf.DUMMYFUNCTION("""COMPUTED_VALUE"""),45.0)</f>
        <v>45</v>
      </c>
      <c r="J19" s="173" t="str">
        <f>IFERROR(__xludf.DUMMYFUNCTION("""COMPUTED_VALUE"""),"a.ranaut@elinindia.com,kartik.chandel@elinindia.com,pawan.kumar@elinindia.com")</f>
        <v>a.ranaut@elinindia.com,kartik.chandel@elinindia.com,pawan.kumar@elinindia.com</v>
      </c>
      <c r="K19" s="173" t="str">
        <f>IFERROR(__xludf.DUMMYFUNCTION("""COMPUTED_VALUE"""),"agl.mailout@gmail.com")</f>
        <v>agl.mailout@gmail.com</v>
      </c>
      <c r="L19" s="173" t="str">
        <f>IFERROR(__xludf.DUMMYFUNCTION("""COMPUTED_VALUE"""),"gaurav@msambikaglobal.in")</f>
        <v>gaurav@msambikaglobal.in</v>
      </c>
      <c r="M19" s="173" t="str">
        <f>IFERROR(__xludf.DUMMYFUNCTION("""COMPUTED_VALUE"""),"VF1000-202")</f>
        <v>VF1000-202</v>
      </c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 ht="38.25" customHeight="1">
      <c r="A20" s="166" t="str">
        <f>IFERROR(__xludf.DUMMYFUNCTION("""COMPUTED_VALUE"""),"Elin Electronics Limited.")</f>
        <v>Elin Electronics Limited.</v>
      </c>
      <c r="B20" s="167" t="str">
        <f>IFERROR(__xludf.DUMMYFUNCTION("""COMPUTED_VALUE"""),"Himachal Pradesh")</f>
        <v>Himachal Pradesh</v>
      </c>
      <c r="C20" s="168" t="str">
        <f>IFERROR(__xludf.DUMMYFUNCTION("""COMPUTED_VALUE"""),"Village Belikhol, PO- Manpura
Tehsil- Nalagarh, Distt - Salon - 174101
Himachal Pradesh")</f>
        <v>Village Belikhol, PO- Manpura
Tehsil- Nalagarh, Distt - Salon - 174101
Himachal Pradesh</v>
      </c>
      <c r="D20" s="169" t="str">
        <f>IFERROR(__xludf.DUMMYFUNCTION("""COMPUTED_VALUE"""),"Value Flat Chutney")</f>
        <v>Value Flat Chutney</v>
      </c>
      <c r="E20" s="169" t="str">
        <f>IFERROR(__xludf.DUMMYFUNCTION("""COMPUTED_VALUE"""),"Pcs")</f>
        <v>Pcs</v>
      </c>
      <c r="F20" s="170">
        <f>IFERROR(__xludf.DUMMYFUNCTION("""COMPUTED_VALUE"""),180.0)</f>
        <v>180</v>
      </c>
      <c r="G20" s="171">
        <f>IFERROR(__xludf.DUMMYFUNCTION("""COMPUTED_VALUE"""),22.5)</f>
        <v>22.5</v>
      </c>
      <c r="H20" s="172">
        <f>IFERROR(__xludf.DUMMYFUNCTION("""COMPUTED_VALUE"""),6.0)</f>
        <v>6</v>
      </c>
      <c r="I20" s="172">
        <f>IFERROR(__xludf.DUMMYFUNCTION("""COMPUTED_VALUE"""),45.0)</f>
        <v>45</v>
      </c>
      <c r="J20" s="173" t="str">
        <f>IFERROR(__xludf.DUMMYFUNCTION("""COMPUTED_VALUE"""),"a.ranaut@elinindia.com,kartik.chandel@elinindia.com,pawan.kumar@elinindia.com")</f>
        <v>a.ranaut@elinindia.com,kartik.chandel@elinindia.com,pawan.kumar@elinindia.com</v>
      </c>
      <c r="K20" s="173" t="str">
        <f>IFERROR(__xludf.DUMMYFUNCTION("""COMPUTED_VALUE"""),"agl.mailout@gmail.com")</f>
        <v>agl.mailout@gmail.com</v>
      </c>
      <c r="L20" s="173" t="str">
        <f>IFERROR(__xludf.DUMMYFUNCTION("""COMPUTED_VALUE"""),"gaurav@msambikaglobal.in")</f>
        <v>gaurav@msambikaglobal.in</v>
      </c>
      <c r="M20" s="173" t="str">
        <f>IFERROR(__xludf.DUMMYFUNCTION("""COMPUTED_VALUE"""),"VF0400-202")</f>
        <v>VF0400-202</v>
      </c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ht="38.25" customHeight="1">
      <c r="A21" s="166" t="str">
        <f>IFERROR(__xludf.DUMMYFUNCTION("""COMPUTED_VALUE"""),"Versuni India Home Solutions Limited")</f>
        <v>Versuni India Home Solutions Limited</v>
      </c>
      <c r="B21" s="167" t="str">
        <f>IFERROR(__xludf.DUMMYFUNCTION("""COMPUTED_VALUE"""),"Tamilnadu")</f>
        <v>Tamilnadu</v>
      </c>
      <c r="C21" s="168" t="str">
        <f>IFERROR(__xludf.DUMMYFUNCTION("""COMPUTED_VALUE"""),"Old R. S. No. 1526 Present R. S. No. 1526/1,2,3
Thaiyur B Village, Chengalpattu Taluk,
Kancheepuram Dist - 603103
TAMILNADU, INDIA")</f>
        <v>Old R. S. No. 1526 Present R. S. No. 1526/1,2,3
Thaiyur B Village, Chengalpattu Taluk,
Kancheepuram Dist - 603103
TAMILNADU, INDIA</v>
      </c>
      <c r="D21" s="169" t="str">
        <f>IFERROR(__xludf.DUMMYFUNCTION("""COMPUTED_VALUE"""),"Steele 1.5 Ltr")</f>
        <v>Steele 1.5 Ltr</v>
      </c>
      <c r="E21" s="169" t="str">
        <f>IFERROR(__xludf.DUMMYFUNCTION("""COMPUTED_VALUE"""),"Pcs")</f>
        <v>Pcs</v>
      </c>
      <c r="F21" s="170">
        <f>IFERROR(__xludf.DUMMYFUNCTION("""COMPUTED_VALUE"""),100.0)</f>
        <v>100</v>
      </c>
      <c r="G21" s="171">
        <f>IFERROR(__xludf.DUMMYFUNCTION("""COMPUTED_VALUE"""),27.0)</f>
        <v>27</v>
      </c>
      <c r="H21" s="172">
        <f>IFERROR(__xludf.DUMMYFUNCTION("""COMPUTED_VALUE"""),6.0)</f>
        <v>6</v>
      </c>
      <c r="I21" s="172">
        <f>IFERROR(__xludf.DUMMYFUNCTION("""COMPUTED_VALUE"""),45.0)</f>
        <v>45</v>
      </c>
      <c r="J21" s="173" t="str">
        <f>IFERROR(__xludf.DUMMYFUNCTION("""COMPUTED_VALUE"""),"abrahamkurian223@gmail.com,abrahamkurian88@gmail.com,purchasetbr@preethi.in,suresh.k@preethi.in")</f>
        <v>abrahamkurian223@gmail.com,abrahamkurian88@gmail.com,purchasetbr@preethi.in,suresh.k@preethi.in</v>
      </c>
      <c r="K21" s="173" t="str">
        <f>IFERROR(__xludf.DUMMYFUNCTION("""COMPUTED_VALUE"""),"agl.mailout@gmail.com")</f>
        <v>agl.mailout@gmail.com</v>
      </c>
      <c r="L21" s="173" t="str">
        <f>IFERROR(__xludf.DUMMYFUNCTION("""COMPUTED_VALUE"""),"gaurav@msambikaglobal.in")</f>
        <v>gaurav@msambikaglobal.in</v>
      </c>
      <c r="M21" s="173" t="str">
        <f>IFERROR(__xludf.DUMMYFUNCTION("""COMPUTED_VALUE"""),"ST1500-202")</f>
        <v>ST1500-202</v>
      </c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 ht="38.25" customHeight="1">
      <c r="A22" s="166" t="str">
        <f>IFERROR(__xludf.DUMMYFUNCTION("""COMPUTED_VALUE"""),"Versuni India Home Solutions Limited")</f>
        <v>Versuni India Home Solutions Limited</v>
      </c>
      <c r="B22" s="167" t="str">
        <f>IFERROR(__xludf.DUMMYFUNCTION("""COMPUTED_VALUE"""),"Tamilnadu")</f>
        <v>Tamilnadu</v>
      </c>
      <c r="C22" s="168" t="str">
        <f>IFERROR(__xludf.DUMMYFUNCTION("""COMPUTED_VALUE"""),"Old R. S. No. 1526 Present R. S. No. 1526/1,2,3
Thaiyur B Village, Chengalpattu Taluk,
Kancheepuram Dist - 603103
TAMILNADU, INDIA")</f>
        <v>Old R. S. No. 1526 Present R. S. No. 1526/1,2,3
Thaiyur B Village, Chengalpattu Taluk,
Kancheepuram Dist - 603103
TAMILNADU, INDIA</v>
      </c>
      <c r="D22" s="169" t="str">
        <f>IFERROR(__xludf.DUMMYFUNCTION("""COMPUTED_VALUE"""),"Steele 1.0 Ltr")</f>
        <v>Steele 1.0 Ltr</v>
      </c>
      <c r="E22" s="169" t="str">
        <f>IFERROR(__xludf.DUMMYFUNCTION("""COMPUTED_VALUE"""),"Pcs")</f>
        <v>Pcs</v>
      </c>
      <c r="F22" s="170">
        <f>IFERROR(__xludf.DUMMYFUNCTION("""COMPUTED_VALUE"""),100.0)</f>
        <v>100</v>
      </c>
      <c r="G22" s="171">
        <f>IFERROR(__xludf.DUMMYFUNCTION("""COMPUTED_VALUE"""),18.7)</f>
        <v>18.7</v>
      </c>
      <c r="H22" s="172">
        <f>IFERROR(__xludf.DUMMYFUNCTION("""COMPUTED_VALUE"""),6.0)</f>
        <v>6</v>
      </c>
      <c r="I22" s="172">
        <f>IFERROR(__xludf.DUMMYFUNCTION("""COMPUTED_VALUE"""),45.0)</f>
        <v>45</v>
      </c>
      <c r="J22" s="173" t="str">
        <f>IFERROR(__xludf.DUMMYFUNCTION("""COMPUTED_VALUE"""),"abrahamkurian223@gmail.com,abrahamkurian88@gmail.com,purchasetbr@preethi.in,suresh.k@preethi.in")</f>
        <v>abrahamkurian223@gmail.com,abrahamkurian88@gmail.com,purchasetbr@preethi.in,suresh.k@preethi.in</v>
      </c>
      <c r="K22" s="173" t="str">
        <f>IFERROR(__xludf.DUMMYFUNCTION("""COMPUTED_VALUE"""),"agl.mailout@gmail.com")</f>
        <v>agl.mailout@gmail.com</v>
      </c>
      <c r="L22" s="173" t="str">
        <f>IFERROR(__xludf.DUMMYFUNCTION("""COMPUTED_VALUE"""),"gaurav@msambikaglobal.in")</f>
        <v>gaurav@msambikaglobal.in</v>
      </c>
      <c r="M22" s="173" t="str">
        <f>IFERROR(__xludf.DUMMYFUNCTION("""COMPUTED_VALUE"""),"ST1000-202")</f>
        <v>ST1000-202</v>
      </c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 ht="38.25" customHeight="1">
      <c r="A23" s="166" t="str">
        <f>IFERROR(__xludf.DUMMYFUNCTION("""COMPUTED_VALUE"""),"Versuni India Home Solutions Limited")</f>
        <v>Versuni India Home Solutions Limited</v>
      </c>
      <c r="B23" s="167" t="str">
        <f>IFERROR(__xludf.DUMMYFUNCTION("""COMPUTED_VALUE"""),"Tamilnadu")</f>
        <v>Tamilnadu</v>
      </c>
      <c r="C23" s="168" t="str">
        <f>IFERROR(__xludf.DUMMYFUNCTION("""COMPUTED_VALUE"""),"Old R. S. No. 1526 Present R. S. No. 1526/1,2,3
Thaiyur B Village, Chengalpattu Taluk,
Kancheepuram Dist - 603103
TAMILNADU, INDIA")</f>
        <v>Old R. S. No. 1526 Present R. S. No. 1526/1,2,3
Thaiyur B Village, Chengalpattu Taluk,
Kancheepuram Dist - 603103
TAMILNADU, INDIA</v>
      </c>
      <c r="D23" s="169" t="str">
        <f>IFERROR(__xludf.DUMMYFUNCTION("""COMPUTED_VALUE"""),"Galaxy 1.5 Ltr")</f>
        <v>Galaxy 1.5 Ltr</v>
      </c>
      <c r="E23" s="169" t="str">
        <f>IFERROR(__xludf.DUMMYFUNCTION("""COMPUTED_VALUE"""),"Pcs")</f>
        <v>Pcs</v>
      </c>
      <c r="F23" s="170">
        <f>IFERROR(__xludf.DUMMYFUNCTION("""COMPUTED_VALUE"""),100.0)</f>
        <v>100</v>
      </c>
      <c r="G23" s="171">
        <f>IFERROR(__xludf.DUMMYFUNCTION("""COMPUTED_VALUE"""),27.0)</f>
        <v>27</v>
      </c>
      <c r="H23" s="172">
        <f>IFERROR(__xludf.DUMMYFUNCTION("""COMPUTED_VALUE"""),6.0)</f>
        <v>6</v>
      </c>
      <c r="I23" s="172">
        <f>IFERROR(__xludf.DUMMYFUNCTION("""COMPUTED_VALUE"""),45.0)</f>
        <v>45</v>
      </c>
      <c r="J23" s="173" t="str">
        <f>IFERROR(__xludf.DUMMYFUNCTION("""COMPUTED_VALUE"""),"abrahamkurian223@gmail.com,abrahamkurian88@gmail.com,purchasetbr@preethi.in,suresh.k@preethi.in")</f>
        <v>abrahamkurian223@gmail.com,abrahamkurian88@gmail.com,purchasetbr@preethi.in,suresh.k@preethi.in</v>
      </c>
      <c r="K23" s="173" t="str">
        <f>IFERROR(__xludf.DUMMYFUNCTION("""COMPUTED_VALUE"""),"agl.mailout@gmail.com")</f>
        <v>agl.mailout@gmail.com</v>
      </c>
      <c r="L23" s="173" t="str">
        <f>IFERROR(__xludf.DUMMYFUNCTION("""COMPUTED_VALUE"""),"gaurav@msambikaglobal.in")</f>
        <v>gaurav@msambikaglobal.in</v>
      </c>
      <c r="M23" s="173" t="str">
        <f>IFERROR(__xludf.DUMMYFUNCTION("""COMPUTED_VALUE"""),"GX1500-202")</f>
        <v>GX1500-202</v>
      </c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 ht="38.25" customHeight="1">
      <c r="A24" s="166" t="str">
        <f>IFERROR(__xludf.DUMMYFUNCTION("""COMPUTED_VALUE"""),"Versuni India Home Solutions Limited")</f>
        <v>Versuni India Home Solutions Limited</v>
      </c>
      <c r="B24" s="167" t="str">
        <f>IFERROR(__xludf.DUMMYFUNCTION("""COMPUTED_VALUE"""),"Tamilnadu")</f>
        <v>Tamilnadu</v>
      </c>
      <c r="C24" s="168" t="str">
        <f>IFERROR(__xludf.DUMMYFUNCTION("""COMPUTED_VALUE"""),"Old R. S. No. 1526 Present R. S. No. 1526/1,2,3
Thaiyur B Village, Chengalpattu Taluk,
Kancheepuram Dist - 603103
TAMILNADU, INDIA")</f>
        <v>Old R. S. No. 1526 Present R. S. No. 1526/1,2,3
Thaiyur B Village, Chengalpattu Taluk,
Kancheepuram Dist - 603103
TAMILNADU, INDIA</v>
      </c>
      <c r="D24" s="169" t="str">
        <f>IFERROR(__xludf.DUMMYFUNCTION("""COMPUTED_VALUE"""),"Galaxy 1.0 Ltr")</f>
        <v>Galaxy 1.0 Ltr</v>
      </c>
      <c r="E24" s="169" t="str">
        <f>IFERROR(__xludf.DUMMYFUNCTION("""COMPUTED_VALUE"""),"Pcs")</f>
        <v>Pcs</v>
      </c>
      <c r="F24" s="170">
        <f>IFERROR(__xludf.DUMMYFUNCTION("""COMPUTED_VALUE"""),100.0)</f>
        <v>100</v>
      </c>
      <c r="G24" s="171">
        <f>IFERROR(__xludf.DUMMYFUNCTION("""COMPUTED_VALUE"""),18.7)</f>
        <v>18.7</v>
      </c>
      <c r="H24" s="172">
        <f>IFERROR(__xludf.DUMMYFUNCTION("""COMPUTED_VALUE"""),6.0)</f>
        <v>6</v>
      </c>
      <c r="I24" s="172">
        <f>IFERROR(__xludf.DUMMYFUNCTION("""COMPUTED_VALUE"""),45.0)</f>
        <v>45</v>
      </c>
      <c r="J24" s="173" t="str">
        <f>IFERROR(__xludf.DUMMYFUNCTION("""COMPUTED_VALUE"""),"abrahamkurian223@gmail.com,abrahamkurian88@gmail.com,purchasetbr@preethi.in,suresh.k@preethi.in")</f>
        <v>abrahamkurian223@gmail.com,abrahamkurian88@gmail.com,purchasetbr@preethi.in,suresh.k@preethi.in</v>
      </c>
      <c r="K24" s="173" t="str">
        <f>IFERROR(__xludf.DUMMYFUNCTION("""COMPUTED_VALUE"""),"agl.mailout@gmail.com")</f>
        <v>agl.mailout@gmail.com</v>
      </c>
      <c r="L24" s="173" t="str">
        <f>IFERROR(__xludf.DUMMYFUNCTION("""COMPUTED_VALUE"""),"gaurav@msambikaglobal.in")</f>
        <v>gaurav@msambikaglobal.in</v>
      </c>
      <c r="M24" s="173" t="str">
        <f>IFERROR(__xludf.DUMMYFUNCTION("""COMPUTED_VALUE"""),"GX1000-202")</f>
        <v>GX1000-202</v>
      </c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 ht="38.25" customHeight="1">
      <c r="A25" s="166" t="str">
        <f>IFERROR(__xludf.DUMMYFUNCTION("""COMPUTED_VALUE"""),"Maya Appliances Pvt. Ltd.")</f>
        <v>Maya Appliances Pvt. Ltd.</v>
      </c>
      <c r="B25" s="167" t="str">
        <f>IFERROR(__xludf.DUMMYFUNCTION("""COMPUTED_VALUE"""),"Tamilnadu")</f>
        <v>Tamilnadu</v>
      </c>
      <c r="C25" s="168" t="str">
        <f>IFERROR(__xludf.DUMMYFUNCTION("""COMPUTED_VALUE"""),"Survey No. 391/4A, 4B, 4C, 4D, Vengoor Sirungundram Road, Sirungundram Village, Thiruporur Taluk, Chengalpattu District, Sirungundram, Tamilnadu - 603108")</f>
        <v>Survey No. 391/4A, 4B, 4C, 4D, Vengoor Sirungundram Road, Sirungundram Village, Thiruporur Taluk, Chengalpattu District, Sirungundram, Tamilnadu - 603108</v>
      </c>
      <c r="D25" s="169" t="str">
        <f>IFERROR(__xludf.DUMMYFUNCTION("""COMPUTED_VALUE"""),"Bowl 2.0 Ltr")</f>
        <v>Bowl 2.0 Ltr</v>
      </c>
      <c r="E25" s="169" t="str">
        <f>IFERROR(__xludf.DUMMYFUNCTION("""COMPUTED_VALUE"""),"Pcs")</f>
        <v>Pcs</v>
      </c>
      <c r="F25" s="170">
        <f>IFERROR(__xludf.DUMMYFUNCTION("""COMPUTED_VALUE"""),72.0)</f>
        <v>72</v>
      </c>
      <c r="G25" s="171">
        <f>IFERROR(__xludf.DUMMYFUNCTION("""COMPUTED_VALUE"""),26.0)</f>
        <v>26</v>
      </c>
      <c r="H25" s="172">
        <f>IFERROR(__xludf.DUMMYFUNCTION("""COMPUTED_VALUE"""),5.0)</f>
        <v>5</v>
      </c>
      <c r="I25" s="172">
        <f>IFERROR(__xludf.DUMMYFUNCTION("""COMPUTED_VALUE"""),30.0)</f>
        <v>30</v>
      </c>
      <c r="J25" s="173" t="str">
        <f>IFERROR(__xludf.DUMMYFUNCTION("""COMPUTED_VALUE"""),"purchase@mayaappliances.com,karthikeyan.k@mayaappliances.com,Krishnamurthy.k@mayaappliances.com")</f>
        <v>purchase@mayaappliances.com,karthikeyan.k@mayaappliances.com,Krishnamurthy.k@mayaappliances.com</v>
      </c>
      <c r="K25" s="173" t="str">
        <f>IFERROR(__xludf.DUMMYFUNCTION("""COMPUTED_VALUE"""),"agl.mailout@gmail.com")</f>
        <v>agl.mailout@gmail.com</v>
      </c>
      <c r="L25" s="173" t="str">
        <f>IFERROR(__xludf.DUMMYFUNCTION("""COMPUTED_VALUE"""),"gaurav@msambikaglobal.in")</f>
        <v>gaurav@msambikaglobal.in</v>
      </c>
      <c r="M25" s="173" t="str">
        <f>IFERROR(__xludf.DUMMYFUNCTION("""COMPUTED_VALUE"""),"BO2000-202")</f>
        <v>BO2000-202</v>
      </c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ht="38.25" customHeight="1">
      <c r="A26" s="166" t="str">
        <f>IFERROR(__xludf.DUMMYFUNCTION("""COMPUTED_VALUE"""),"Maya Appliances Pvt. Ltd.")</f>
        <v>Maya Appliances Pvt. Ltd.</v>
      </c>
      <c r="B26" s="167" t="str">
        <f>IFERROR(__xludf.DUMMYFUNCTION("""COMPUTED_VALUE"""),"Tamilnadu")</f>
        <v>Tamilnadu</v>
      </c>
      <c r="C26" s="168" t="str">
        <f>IFERROR(__xludf.DUMMYFUNCTION("""COMPUTED_VALUE"""),"Survey No. 391/4A, 4B, 4C, 4D, Vengoor Sirungundram Road, Sirungundram Village, Thiruporur Taluk, Chengalpattu District, Sirungundram, Tamilnadu - 603108")</f>
        <v>Survey No. 391/4A, 4B, 4C, 4D, Vengoor Sirungundram Road, Sirungundram Village, Thiruporur Taluk, Chengalpattu District, Sirungundram, Tamilnadu - 603108</v>
      </c>
      <c r="D26" s="169" t="str">
        <f>IFERROR(__xludf.DUMMYFUNCTION("""COMPUTED_VALUE"""),"Taper Jar - Bidding 1.5 Ltr")</f>
        <v>Taper Jar - Bidding 1.5 Ltr</v>
      </c>
      <c r="E26" s="169" t="str">
        <f>IFERROR(__xludf.DUMMYFUNCTION("""COMPUTED_VALUE"""),"Pcs")</f>
        <v>Pcs</v>
      </c>
      <c r="F26" s="170">
        <f>IFERROR(__xludf.DUMMYFUNCTION("""COMPUTED_VALUE"""),100.0)</f>
        <v>100</v>
      </c>
      <c r="G26" s="171">
        <f>IFERROR(__xludf.DUMMYFUNCTION("""COMPUTED_VALUE"""),27.4)</f>
        <v>27.4</v>
      </c>
      <c r="H26" s="172">
        <f>IFERROR(__xludf.DUMMYFUNCTION("""COMPUTED_VALUE"""),5.0)</f>
        <v>5</v>
      </c>
      <c r="I26" s="172">
        <f>IFERROR(__xludf.DUMMYFUNCTION("""COMPUTED_VALUE"""),30.0)</f>
        <v>30</v>
      </c>
      <c r="J26" s="173" t="str">
        <f>IFERROR(__xludf.DUMMYFUNCTION("""COMPUTED_VALUE"""),"purchase@mayaappliances.com,karthikeyan.k@mayaappliances.com,Krishnamurthy.k@mayaappliances.com")</f>
        <v>purchase@mayaappliances.com,karthikeyan.k@mayaappliances.com,Krishnamurthy.k@mayaappliances.com</v>
      </c>
      <c r="K26" s="173" t="str">
        <f>IFERROR(__xludf.DUMMYFUNCTION("""COMPUTED_VALUE"""),"agl.mailout@gmail.com")</f>
        <v>agl.mailout@gmail.com</v>
      </c>
      <c r="L26" s="173" t="str">
        <f>IFERROR(__xludf.DUMMYFUNCTION("""COMPUTED_VALUE"""),"gaurav@msambikaglobal.in")</f>
        <v>gaurav@msambikaglobal.in</v>
      </c>
      <c r="M26" s="173" t="str">
        <f>IFERROR(__xludf.DUMMYFUNCTION("""COMPUTED_VALUE"""),"TB1500-204")</f>
        <v>TB1500-204</v>
      </c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ht="38.25" customHeight="1">
      <c r="A27" s="166" t="str">
        <f>IFERROR(__xludf.DUMMYFUNCTION("""COMPUTED_VALUE"""),"Maya Appliances Pvt. Ltd.")</f>
        <v>Maya Appliances Pvt. Ltd.</v>
      </c>
      <c r="B27" s="167" t="str">
        <f>IFERROR(__xludf.DUMMYFUNCTION("""COMPUTED_VALUE"""),"Tamilnadu")</f>
        <v>Tamilnadu</v>
      </c>
      <c r="C27" s="168" t="str">
        <f>IFERROR(__xludf.DUMMYFUNCTION("""COMPUTED_VALUE"""),"Survey No. 391/4A, 4B, 4C, 4D, Vengoor Sirungundram Road, Sirungundram Village, Thiruporur Taluk, Chengalpattu District, Sirungundram, Tamilnadu - 603108")</f>
        <v>Survey No. 391/4A, 4B, 4C, 4D, Vengoor Sirungundram Road, Sirungundram Village, Thiruporur Taluk, Chengalpattu District, Sirungundram, Tamilnadu - 603108</v>
      </c>
      <c r="D27" s="169" t="str">
        <f>IFERROR(__xludf.DUMMYFUNCTION("""COMPUTED_VALUE"""),"Taper Jar - Bidding 1.0 Ltr")</f>
        <v>Taper Jar - Bidding 1.0 Ltr</v>
      </c>
      <c r="E27" s="169" t="str">
        <f>IFERROR(__xludf.DUMMYFUNCTION("""COMPUTED_VALUE"""),"Pcs")</f>
        <v>Pcs</v>
      </c>
      <c r="F27" s="170">
        <f>IFERROR(__xludf.DUMMYFUNCTION("""COMPUTED_VALUE"""),100.0)</f>
        <v>100</v>
      </c>
      <c r="G27" s="171">
        <f>IFERROR(__xludf.DUMMYFUNCTION("""COMPUTED_VALUE"""),21.2)</f>
        <v>21.2</v>
      </c>
      <c r="H27" s="172">
        <f>IFERROR(__xludf.DUMMYFUNCTION("""COMPUTED_VALUE"""),5.0)</f>
        <v>5</v>
      </c>
      <c r="I27" s="172">
        <f>IFERROR(__xludf.DUMMYFUNCTION("""COMPUTED_VALUE"""),30.0)</f>
        <v>30</v>
      </c>
      <c r="J27" s="173" t="str">
        <f>IFERROR(__xludf.DUMMYFUNCTION("""COMPUTED_VALUE"""),"purchase@mayaappliances.com,karthikeyan.k@mayaappliances.com,Krishnamurthy.k@mayaappliances.com")</f>
        <v>purchase@mayaappliances.com,karthikeyan.k@mayaappliances.com,Krishnamurthy.k@mayaappliances.com</v>
      </c>
      <c r="K27" s="173" t="str">
        <f>IFERROR(__xludf.DUMMYFUNCTION("""COMPUTED_VALUE"""),"agl.mailout@gmail.com")</f>
        <v>agl.mailout@gmail.com</v>
      </c>
      <c r="L27" s="173" t="str">
        <f>IFERROR(__xludf.DUMMYFUNCTION("""COMPUTED_VALUE"""),"gaurav@msambikaglobal.in")</f>
        <v>gaurav@msambikaglobal.in</v>
      </c>
      <c r="M27" s="173" t="str">
        <f>IFERROR(__xludf.DUMMYFUNCTION("""COMPUTED_VALUE"""),"TB1000-204")</f>
        <v>TB1000-204</v>
      </c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 ht="38.25" customHeight="1">
      <c r="A28" s="166" t="str">
        <f>IFERROR(__xludf.DUMMYFUNCTION("""COMPUTED_VALUE"""),"Maya Appliances Pvt. Ltd.")</f>
        <v>Maya Appliances Pvt. Ltd.</v>
      </c>
      <c r="B28" s="167" t="str">
        <f>IFERROR(__xludf.DUMMYFUNCTION("""COMPUTED_VALUE"""),"Tamilnadu")</f>
        <v>Tamilnadu</v>
      </c>
      <c r="C28" s="168" t="str">
        <f>IFERROR(__xludf.DUMMYFUNCTION("""COMPUTED_VALUE"""),"Survey No. 391/4A, 4B, 4C, 4D, Vengoor Sirungundram Road, Sirungundram Village, Thiruporur Taluk, Chengalpattu District, Sirungundram, Tamilnadu - 603108")</f>
        <v>Survey No. 391/4A, 4B, 4C, 4D, Vengoor Sirungundram Road, Sirungundram Village, Thiruporur Taluk, Chengalpattu District, Sirungundram, Tamilnadu - 603108</v>
      </c>
      <c r="D28" s="169" t="str">
        <f>IFERROR(__xludf.DUMMYFUNCTION("""COMPUTED_VALUE"""),"Taper Jar - Patti 1.5 Ltr")</f>
        <v>Taper Jar - Patti 1.5 Ltr</v>
      </c>
      <c r="E28" s="169" t="str">
        <f>IFERROR(__xludf.DUMMYFUNCTION("""COMPUTED_VALUE"""),"Pcs")</f>
        <v>Pcs</v>
      </c>
      <c r="F28" s="170">
        <f>IFERROR(__xludf.DUMMYFUNCTION("""COMPUTED_VALUE"""),100.0)</f>
        <v>100</v>
      </c>
      <c r="G28" s="171">
        <f>IFERROR(__xludf.DUMMYFUNCTION("""COMPUTED_VALUE"""),25.6)</f>
        <v>25.6</v>
      </c>
      <c r="H28" s="172">
        <f>IFERROR(__xludf.DUMMYFUNCTION("""COMPUTED_VALUE"""),5.0)</f>
        <v>5</v>
      </c>
      <c r="I28" s="172">
        <f>IFERROR(__xludf.DUMMYFUNCTION("""COMPUTED_VALUE"""),30.0)</f>
        <v>30</v>
      </c>
      <c r="J28" s="173" t="str">
        <f>IFERROR(__xludf.DUMMYFUNCTION("""COMPUTED_VALUE"""),"purchase@mayaappliances.com,karthikeyan.k@mayaappliances.com,Krishnamurthy.k@mayaappliances.com")</f>
        <v>purchase@mayaappliances.com,karthikeyan.k@mayaappliances.com,Krishnamurthy.k@mayaappliances.com</v>
      </c>
      <c r="K28" s="173" t="str">
        <f>IFERROR(__xludf.DUMMYFUNCTION("""COMPUTED_VALUE"""),"agl.mailout@gmail.com")</f>
        <v>agl.mailout@gmail.com</v>
      </c>
      <c r="L28" s="173" t="str">
        <f>IFERROR(__xludf.DUMMYFUNCTION("""COMPUTED_VALUE"""),"gaurav@msambikaglobal.in")</f>
        <v>gaurav@msambikaglobal.in</v>
      </c>
      <c r="M28" s="173" t="str">
        <f>IFERROR(__xludf.DUMMYFUNCTION("""COMPUTED_VALUE"""),"TP1500-202")</f>
        <v>TP1500-202</v>
      </c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 ht="38.25" customHeight="1">
      <c r="A29" s="166" t="str">
        <f>IFERROR(__xludf.DUMMYFUNCTION("""COMPUTED_VALUE"""),"Maya Appliances Pvt. Ltd.")</f>
        <v>Maya Appliances Pvt. Ltd.</v>
      </c>
      <c r="B29" s="167" t="str">
        <f>IFERROR(__xludf.DUMMYFUNCTION("""COMPUTED_VALUE"""),"Tamilnadu")</f>
        <v>Tamilnadu</v>
      </c>
      <c r="C29" s="168" t="str">
        <f>IFERROR(__xludf.DUMMYFUNCTION("""COMPUTED_VALUE"""),"Survey No. 391/4A, 4B, 4C, 4D, Vengoor Sirungundram Road, Sirungundram Village, Thiruporur Taluk, Chengalpattu District, Sirungundram, Tamilnadu - 603108")</f>
        <v>Survey No. 391/4A, 4B, 4C, 4D, Vengoor Sirungundram Road, Sirungundram Village, Thiruporur Taluk, Chengalpattu District, Sirungundram, Tamilnadu - 603108</v>
      </c>
      <c r="D29" s="169" t="str">
        <f>IFERROR(__xludf.DUMMYFUNCTION("""COMPUTED_VALUE"""),"Taper Jar - Patti 1.0 Ltr")</f>
        <v>Taper Jar - Patti 1.0 Ltr</v>
      </c>
      <c r="E29" s="169" t="str">
        <f>IFERROR(__xludf.DUMMYFUNCTION("""COMPUTED_VALUE"""),"Pcs")</f>
        <v>Pcs</v>
      </c>
      <c r="F29" s="170">
        <f>IFERROR(__xludf.DUMMYFUNCTION("""COMPUTED_VALUE"""),100.0)</f>
        <v>100</v>
      </c>
      <c r="G29" s="171">
        <f>IFERROR(__xludf.DUMMYFUNCTION("""COMPUTED_VALUE"""),18.6)</f>
        <v>18.6</v>
      </c>
      <c r="H29" s="172">
        <f>IFERROR(__xludf.DUMMYFUNCTION("""COMPUTED_VALUE"""),5.0)</f>
        <v>5</v>
      </c>
      <c r="I29" s="172">
        <f>IFERROR(__xludf.DUMMYFUNCTION("""COMPUTED_VALUE"""),30.0)</f>
        <v>30</v>
      </c>
      <c r="J29" s="173" t="str">
        <f>IFERROR(__xludf.DUMMYFUNCTION("""COMPUTED_VALUE"""),"purchase@mayaappliances.com,karthikeyan.k@mayaappliances.com,Krishnamurthy.k@mayaappliances.com")</f>
        <v>purchase@mayaappliances.com,karthikeyan.k@mayaappliances.com,Krishnamurthy.k@mayaappliances.com</v>
      </c>
      <c r="K29" s="173" t="str">
        <f>IFERROR(__xludf.DUMMYFUNCTION("""COMPUTED_VALUE"""),"agl.mailout@gmail.com")</f>
        <v>agl.mailout@gmail.com</v>
      </c>
      <c r="L29" s="173" t="str">
        <f>IFERROR(__xludf.DUMMYFUNCTION("""COMPUTED_VALUE"""),"gaurav@msambikaglobal.in")</f>
        <v>gaurav@msambikaglobal.in</v>
      </c>
      <c r="M29" s="173" t="str">
        <f>IFERROR(__xludf.DUMMYFUNCTION("""COMPUTED_VALUE"""),"TP1000-202")</f>
        <v>TP1000-202</v>
      </c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 ht="38.25" customHeight="1">
      <c r="A30" s="166" t="str">
        <f>IFERROR(__xludf.DUMMYFUNCTION("""COMPUTED_VALUE"""),"Maya Appliances Pvt. Ltd.")</f>
        <v>Maya Appliances Pvt. Ltd.</v>
      </c>
      <c r="B30" s="167" t="str">
        <f>IFERROR(__xludf.DUMMYFUNCTION("""COMPUTED_VALUE"""),"Tamilnadu")</f>
        <v>Tamilnadu</v>
      </c>
      <c r="C30" s="168" t="str">
        <f>IFERROR(__xludf.DUMMYFUNCTION("""COMPUTED_VALUE"""),"Survey No. 391/4A, 4B, 4C, 4D, Vengoor Sirungundram Road, Sirungundram Village, Thiruporur Taluk, Chengalpattu District, Sirungundram, Tamilnadu - 603108")</f>
        <v>Survey No. 391/4A, 4B, 4C, 4D, Vengoor Sirungundram Road, Sirungundram Village, Thiruporur Taluk, Chengalpattu District, Sirungundram, Tamilnadu - 603108</v>
      </c>
      <c r="D30" s="169" t="str">
        <f>IFERROR(__xludf.DUMMYFUNCTION("""COMPUTED_VALUE"""),"Taper Jar - Patti 0.750 Ltr")</f>
        <v>Taper Jar - Patti 0.750 Ltr</v>
      </c>
      <c r="E30" s="169" t="str">
        <f>IFERROR(__xludf.DUMMYFUNCTION("""COMPUTED_VALUE"""),"Pcs")</f>
        <v>Pcs</v>
      </c>
      <c r="F30" s="170">
        <f>IFERROR(__xludf.DUMMYFUNCTION("""COMPUTED_VALUE"""),100.0)</f>
        <v>100</v>
      </c>
      <c r="G30" s="171">
        <f>IFERROR(__xludf.DUMMYFUNCTION("""COMPUTED_VALUE"""),15.9)</f>
        <v>15.9</v>
      </c>
      <c r="H30" s="172">
        <f>IFERROR(__xludf.DUMMYFUNCTION("""COMPUTED_VALUE"""),5.0)</f>
        <v>5</v>
      </c>
      <c r="I30" s="172">
        <f>IFERROR(__xludf.DUMMYFUNCTION("""COMPUTED_VALUE"""),30.0)</f>
        <v>30</v>
      </c>
      <c r="J30" s="173" t="str">
        <f>IFERROR(__xludf.DUMMYFUNCTION("""COMPUTED_VALUE"""),"purchase@mayaappliances.com,karthikeyan.k@mayaappliances.com,Krishnamurthy.k@mayaappliances.com")</f>
        <v>purchase@mayaappliances.com,karthikeyan.k@mayaappliances.com,Krishnamurthy.k@mayaappliances.com</v>
      </c>
      <c r="K30" s="173" t="str">
        <f>IFERROR(__xludf.DUMMYFUNCTION("""COMPUTED_VALUE"""),"agl.mailout@gmail.com")</f>
        <v>agl.mailout@gmail.com</v>
      </c>
      <c r="L30" s="173" t="str">
        <f>IFERROR(__xludf.DUMMYFUNCTION("""COMPUTED_VALUE"""),"gaurav@msambikaglobal.in")</f>
        <v>gaurav@msambikaglobal.in</v>
      </c>
      <c r="M30" s="173" t="str">
        <f>IFERROR(__xludf.DUMMYFUNCTION("""COMPUTED_VALUE"""),"TP0750-202")</f>
        <v>TP0750-202</v>
      </c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>
      <c r="A31" s="166" t="str">
        <f>IFERROR(__xludf.DUMMYFUNCTION("""COMPUTED_VALUE"""),"Atomberg Technologies Pvt. Ltd.")</f>
        <v>Atomberg Technologies Pvt. Ltd.</v>
      </c>
      <c r="B31" s="167" t="str">
        <f>IFERROR(__xludf.DUMMYFUNCTION("""COMPUTED_VALUE"""),"Pune")</f>
        <v>Pune</v>
      </c>
      <c r="C31" s="168" t="str">
        <f>IFERROR(__xludf.DUMMYFUNCTION("""COMPUTED_VALUE"""),"Plot No. 15, S. No.234/1 To 4/6/7/235/6, To 9/245/1 To 3, Village-Hinjewadi, Hpqh'+H53, Phase 1, Hinjewadi Rajiv, Village-Hinjawadi, Pune - 411057")</f>
        <v>Plot No. 15, S. No.234/1 To 4/6/7/235/6, To 9/245/1 To 3, Village-Hinjewadi, Hpqh'+H53, Phase 1, Hinjewadi Rajiv, Village-Hinjawadi, Pune - 411057</v>
      </c>
      <c r="D31" s="169" t="str">
        <f>IFERROR(__xludf.DUMMYFUNCTION("""COMPUTED_VALUE"""),"MA Wet Jar")</f>
        <v>MA Wet Jar</v>
      </c>
      <c r="E31" s="169" t="str">
        <f>IFERROR(__xludf.DUMMYFUNCTION("""COMPUTED_VALUE"""),"Pcs")</f>
        <v>Pcs</v>
      </c>
      <c r="F31" s="170">
        <f>IFERROR(__xludf.DUMMYFUNCTION("""COMPUTED_VALUE"""),64.0)</f>
        <v>64</v>
      </c>
      <c r="G31" s="171">
        <f>IFERROR(__xludf.DUMMYFUNCTION("""COMPUTED_VALUE"""),19.2)</f>
        <v>19.2</v>
      </c>
      <c r="H31" s="172">
        <f>IFERROR(__xludf.DUMMYFUNCTION("""COMPUTED_VALUE"""),4.0)</f>
        <v>4</v>
      </c>
      <c r="I31" s="172">
        <f>IFERROR(__xludf.DUMMYFUNCTION("""COMPUTED_VALUE"""),45.0)</f>
        <v>45</v>
      </c>
      <c r="J31" s="173" t="str">
        <f>IFERROR(__xludf.DUMMYFUNCTION("""COMPUTED_VALUE"""),"kushagra.tiwari@atomberg.com,saraf.swapnil@atomberg.com,singh.anurag@atomberg.com,store@atomberg.com,nikhil.kharade@atomberg.com,himanshu.pathak@atomberg.com,yogesh.patil@atomberg.com")</f>
        <v>kushagra.tiwari@atomberg.com,saraf.swapnil@atomberg.com,singh.anurag@atomberg.com,store@atomberg.com,nikhil.kharade@atomberg.com,himanshu.pathak@atomberg.com,yogesh.patil@atomberg.com</v>
      </c>
      <c r="K31" s="173" t="str">
        <f>IFERROR(__xludf.DUMMYFUNCTION("""COMPUTED_VALUE"""),"agl.mailout@gmail.com")</f>
        <v>agl.mailout@gmail.com</v>
      </c>
      <c r="L31" s="173" t="str">
        <f>IFERROR(__xludf.DUMMYFUNCTION("""COMPUTED_VALUE"""),"gaurav@msambikaglobal.in")</f>
        <v>gaurav@msambikaglobal.in</v>
      </c>
      <c r="M31" s="173" t="str">
        <f>IFERROR(__xludf.DUMMYFUNCTION("""COMPUTED_VALUE"""),"MA1500-204")</f>
        <v>MA1500-204</v>
      </c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>
      <c r="A32" s="166" t="str">
        <f>IFERROR(__xludf.DUMMYFUNCTION("""COMPUTED_VALUE"""),"Atomberg Technologies Pvt. Ltd.")</f>
        <v>Atomberg Technologies Pvt. Ltd.</v>
      </c>
      <c r="B32" s="167" t="str">
        <f>IFERROR(__xludf.DUMMYFUNCTION("""COMPUTED_VALUE"""),"Pune")</f>
        <v>Pune</v>
      </c>
      <c r="C32" s="168" t="str">
        <f>IFERROR(__xludf.DUMMYFUNCTION("""COMPUTED_VALUE"""),"Plot No. 15, S. No.234/1 To 4/6/7/235/6, To 9/245/1 To 3, Village-Hinjewadi, Hpqh'+H53, Phase 1, Hinjewadi Rajiv, Village-Hinjawadi, Pune - 411057")</f>
        <v>Plot No. 15, S. No.234/1 To 4/6/7/235/6, To 9/245/1 To 3, Village-Hinjewadi, Hpqh'+H53, Phase 1, Hinjewadi Rajiv, Village-Hinjawadi, Pune - 411057</v>
      </c>
      <c r="D32" s="169" t="str">
        <f>IFERROR(__xludf.DUMMYFUNCTION("""COMPUTED_VALUE"""),"MA Dry Jar")</f>
        <v>MA Dry Jar</v>
      </c>
      <c r="E32" s="169" t="str">
        <f>IFERROR(__xludf.DUMMYFUNCTION("""COMPUTED_VALUE"""),"Pcs")</f>
        <v>Pcs</v>
      </c>
      <c r="F32" s="170">
        <f>IFERROR(__xludf.DUMMYFUNCTION("""COMPUTED_VALUE"""),48.0)</f>
        <v>48</v>
      </c>
      <c r="G32" s="171">
        <f>IFERROR(__xludf.DUMMYFUNCTION("""COMPUTED_VALUE"""),12.5)</f>
        <v>12.5</v>
      </c>
      <c r="H32" s="172">
        <f>IFERROR(__xludf.DUMMYFUNCTION("""COMPUTED_VALUE"""),4.0)</f>
        <v>4</v>
      </c>
      <c r="I32" s="172">
        <f>IFERROR(__xludf.DUMMYFUNCTION("""COMPUTED_VALUE"""),45.0)</f>
        <v>45</v>
      </c>
      <c r="J32" s="173" t="str">
        <f>IFERROR(__xludf.DUMMYFUNCTION("""COMPUTED_VALUE"""),"kushagra.tiwari@atomberg.com,saraf.swapnil@atomberg.com,singh.anurag@atomberg.com,store@atomberg.com,nikhil.kharade@atomberg.com,himanshu.pathak@atomberg.com,yogesh.patil@atomberg.com")</f>
        <v>kushagra.tiwari@atomberg.com,saraf.swapnil@atomberg.com,singh.anurag@atomberg.com,store@atomberg.com,nikhil.kharade@atomberg.com,himanshu.pathak@atomberg.com,yogesh.patil@atomberg.com</v>
      </c>
      <c r="K32" s="173" t="str">
        <f>IFERROR(__xludf.DUMMYFUNCTION("""COMPUTED_VALUE"""),"agl.mailout@gmail.com")</f>
        <v>agl.mailout@gmail.com</v>
      </c>
      <c r="L32" s="173" t="str">
        <f>IFERROR(__xludf.DUMMYFUNCTION("""COMPUTED_VALUE"""),"gaurav@msambikaglobal.in")</f>
        <v>gaurav@msambikaglobal.in</v>
      </c>
      <c r="M32" s="173" t="str">
        <f>IFERROR(__xludf.DUMMYFUNCTION("""COMPUTED_VALUE"""),"MA1000-204")</f>
        <v>MA1000-204</v>
      </c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>
      <c r="A33" s="166" t="str">
        <f>IFERROR(__xludf.DUMMYFUNCTION("""COMPUTED_VALUE"""),"Atomberg Technologies Pvt. Ltd.")</f>
        <v>Atomberg Technologies Pvt. Ltd.</v>
      </c>
      <c r="B33" s="167" t="str">
        <f>IFERROR(__xludf.DUMMYFUNCTION("""COMPUTED_VALUE"""),"Pune")</f>
        <v>Pune</v>
      </c>
      <c r="C33" s="168" t="str">
        <f>IFERROR(__xludf.DUMMYFUNCTION("""COMPUTED_VALUE"""),"Plot No. 15, S. No.234/1 To 4/6/7/235/6, To 9/245/1 To 3, Village-Hinjewadi, Hpqh'+H53, Phase 1, Hinjewadi Rajiv, Village-Hinjawadi, Pune - 411057")</f>
        <v>Plot No. 15, S. No.234/1 To 4/6/7/235/6, To 9/245/1 To 3, Village-Hinjewadi, Hpqh'+H53, Phase 1, Hinjewadi Rajiv, Village-Hinjawadi, Pune - 411057</v>
      </c>
      <c r="D33" s="169" t="str">
        <f>IFERROR(__xludf.DUMMYFUNCTION("""COMPUTED_VALUE"""),"MG 1.1 Jar Draw Tools")</f>
        <v>MG 1.1 Jar Draw Tools</v>
      </c>
      <c r="E33" s="169" t="str">
        <f>IFERROR(__xludf.DUMMYFUNCTION("""COMPUTED_VALUE"""),"Pcs")</f>
        <v>Pcs</v>
      </c>
      <c r="F33" s="170"/>
      <c r="G33" s="171"/>
      <c r="H33" s="172">
        <f>IFERROR(__xludf.DUMMYFUNCTION("""COMPUTED_VALUE"""),4.0)</f>
        <v>4</v>
      </c>
      <c r="I33" s="172">
        <f>IFERROR(__xludf.DUMMYFUNCTION("""COMPUTED_VALUE"""),45.0)</f>
        <v>45</v>
      </c>
      <c r="J33" s="173" t="str">
        <f>IFERROR(__xludf.DUMMYFUNCTION("""COMPUTED_VALUE"""),"kushagra.tiwari@atomberg.com,saraf.swapnil@atomberg.com,singh.anurag@atomberg.com,store@atomberg.com,nikhil.kharade@atomberg.com,himanshu.pathak@atomberg.com,yogesh.patil@atomberg.com")</f>
        <v>kushagra.tiwari@atomberg.com,saraf.swapnil@atomberg.com,singh.anurag@atomberg.com,store@atomberg.com,nikhil.kharade@atomberg.com,himanshu.pathak@atomberg.com,yogesh.patil@atomberg.com</v>
      </c>
      <c r="K33" s="173" t="str">
        <f>IFERROR(__xludf.DUMMYFUNCTION("""COMPUTED_VALUE"""),"agl.mailout@gmail.com")</f>
        <v>agl.mailout@gmail.com</v>
      </c>
      <c r="L33" s="173" t="str">
        <f>IFERROR(__xludf.DUMMYFUNCTION("""COMPUTED_VALUE"""),"gaurav@msambikaglobal.in")</f>
        <v>gaurav@msambikaglobal.in</v>
      </c>
      <c r="M33" s="173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>
      <c r="A34" s="166" t="str">
        <f>IFERROR(__xludf.DUMMYFUNCTION("""COMPUTED_VALUE"""),"Atomberg Technologies Pvt. Ltd.")</f>
        <v>Atomberg Technologies Pvt. Ltd.</v>
      </c>
      <c r="B34" s="167" t="str">
        <f>IFERROR(__xludf.DUMMYFUNCTION("""COMPUTED_VALUE"""),"Chakan")</f>
        <v>Chakan</v>
      </c>
      <c r="C34" s="168" t="str">
        <f>IFERROR(__xludf.DUMMYFUNCTION("""COMPUTED_VALUE"""),"Plant 1030 Chakan,Mind Space Shelters Llp/Vithai Developer s Llp, Gate No 51-59, Bhamboli, Chakan,Pune - 410507, Maharashtra, India.")</f>
        <v>Plant 1030 Chakan,Mind Space Shelters Llp/Vithai Developer s Llp, Gate No 51-59, Bhamboli, Chakan,Pune - 410507, Maharashtra, India.</v>
      </c>
      <c r="D34" s="169" t="str">
        <f>IFERROR(__xludf.DUMMYFUNCTION("""COMPUTED_VALUE"""),"MA Chutney Jar")</f>
        <v>MA Chutney Jar</v>
      </c>
      <c r="E34" s="169" t="str">
        <f>IFERROR(__xludf.DUMMYFUNCTION("""COMPUTED_VALUE"""),"Pcs")</f>
        <v>Pcs</v>
      </c>
      <c r="F34" s="170">
        <f>IFERROR(__xludf.DUMMYFUNCTION("""COMPUTED_VALUE"""),120.0)</f>
        <v>120</v>
      </c>
      <c r="G34" s="171">
        <f>IFERROR(__xludf.DUMMYFUNCTION("""COMPUTED_VALUE"""),18.4)</f>
        <v>18.4</v>
      </c>
      <c r="H34" s="172">
        <f>IFERROR(__xludf.DUMMYFUNCTION("""COMPUTED_VALUE"""),4.0)</f>
        <v>4</v>
      </c>
      <c r="I34" s="172">
        <f>IFERROR(__xludf.DUMMYFUNCTION("""COMPUTED_VALUE"""),45.0)</f>
        <v>45</v>
      </c>
      <c r="J34" s="173" t="str">
        <f>IFERROR(__xludf.DUMMYFUNCTION("""COMPUTED_VALUE"""),"kushagra.tiwari@atomberg.com,saraf.swapnil@atomberg.com,singh.anurag@atomberg.com,store@atomberg.com,nikhil.kharade@atomberg.com,himanshu.pathak@atomberg.com,yogesh.patil@atomberg.com")</f>
        <v>kushagra.tiwari@atomberg.com,saraf.swapnil@atomberg.com,singh.anurag@atomberg.com,store@atomberg.com,nikhil.kharade@atomberg.com,himanshu.pathak@atomberg.com,yogesh.patil@atomberg.com</v>
      </c>
      <c r="K34" s="173" t="str">
        <f>IFERROR(__xludf.DUMMYFUNCTION("""COMPUTED_VALUE"""),"agl.mailout@gmail.com")</f>
        <v>agl.mailout@gmail.com</v>
      </c>
      <c r="L34" s="173" t="str">
        <f>IFERROR(__xludf.DUMMYFUNCTION("""COMPUTED_VALUE"""),"gaurav@msambikaglobal.in")</f>
        <v>gaurav@msambikaglobal.in</v>
      </c>
      <c r="M34" s="173" t="str">
        <f>IFERROR(__xludf.DUMMYFUNCTION("""COMPUTED_VALUE"""),"MA0400-204")</f>
        <v>MA0400-204</v>
      </c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>
      <c r="A35" s="166" t="str">
        <f>IFERROR(__xludf.DUMMYFUNCTION("""COMPUTED_VALUE"""),"Atomberg Technologies Pvt. Ltd.")</f>
        <v>Atomberg Technologies Pvt. Ltd.</v>
      </c>
      <c r="B35" s="167" t="str">
        <f>IFERROR(__xludf.DUMMYFUNCTION("""COMPUTED_VALUE"""),"Chakan")</f>
        <v>Chakan</v>
      </c>
      <c r="C35" s="168" t="str">
        <f>IFERROR(__xludf.DUMMYFUNCTION("""COMPUTED_VALUE"""),"Plant 1030 Chakan,Mind Space Shelters Llp/Vithai Developer s Llp, Gate No 51-59, Bhamboli, Chakan,Pune - 410507, Maharashtra, India.")</f>
        <v>Plant 1030 Chakan,Mind Space Shelters Llp/Vithai Developer s Llp, Gate No 51-59, Bhamboli, Chakan,Pune - 410507, Maharashtra, India.</v>
      </c>
      <c r="D35" s="169" t="str">
        <f>IFERROR(__xludf.DUMMYFUNCTION("""COMPUTED_VALUE"""),"MG 1.1 Wet Jar")</f>
        <v>MG 1.1 Wet Jar</v>
      </c>
      <c r="E35" s="169" t="str">
        <f>IFERROR(__xludf.DUMMYFUNCTION("""COMPUTED_VALUE"""),"Pcs")</f>
        <v>Pcs</v>
      </c>
      <c r="F35" s="170">
        <f>IFERROR(__xludf.DUMMYFUNCTION("""COMPUTED_VALUE"""),64.0)</f>
        <v>64</v>
      </c>
      <c r="G35" s="171">
        <f>IFERROR(__xludf.DUMMYFUNCTION("""COMPUTED_VALUE"""),22.5)</f>
        <v>22.5</v>
      </c>
      <c r="H35" s="172">
        <f>IFERROR(__xludf.DUMMYFUNCTION("""COMPUTED_VALUE"""),4.0)</f>
        <v>4</v>
      </c>
      <c r="I35" s="172">
        <f>IFERROR(__xludf.DUMMYFUNCTION("""COMPUTED_VALUE"""),45.0)</f>
        <v>45</v>
      </c>
      <c r="J35" s="173" t="str">
        <f>IFERROR(__xludf.DUMMYFUNCTION("""COMPUTED_VALUE"""),"kushagra.tiwari@atomberg.com,saraf.swapnil@atomberg.com,singh.anurag@atomberg.com,store@atomberg.com,nikhil.kharade@atomberg.com,himanshu.pathak@atomberg.com,yogesh.patil@atomberg.com")</f>
        <v>kushagra.tiwari@atomberg.com,saraf.swapnil@atomberg.com,singh.anurag@atomberg.com,store@atomberg.com,nikhil.kharade@atomberg.com,himanshu.pathak@atomberg.com,yogesh.patil@atomberg.com</v>
      </c>
      <c r="K35" s="173" t="str">
        <f>IFERROR(__xludf.DUMMYFUNCTION("""COMPUTED_VALUE"""),"agl.mailout@gmail.com")</f>
        <v>agl.mailout@gmail.com</v>
      </c>
      <c r="L35" s="173" t="str">
        <f>IFERROR(__xludf.DUMMYFUNCTION("""COMPUTED_VALUE"""),"gaurav@msambikaglobal.in")</f>
        <v>gaurav@msambikaglobal.in</v>
      </c>
      <c r="M35" s="173" t="str">
        <f>IFERROR(__xludf.DUMMYFUNCTION("""COMPUTED_VALUE"""),"MG1650-204")</f>
        <v>MG1650-204</v>
      </c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>
      <c r="A36" s="166" t="str">
        <f>IFERROR(__xludf.DUMMYFUNCTION("""COMPUTED_VALUE"""),"Atomberg Technologies Pvt. Ltd.")</f>
        <v>Atomberg Technologies Pvt. Ltd.</v>
      </c>
      <c r="B36" s="167" t="str">
        <f>IFERROR(__xludf.DUMMYFUNCTION("""COMPUTED_VALUE"""),"Chakan")</f>
        <v>Chakan</v>
      </c>
      <c r="C36" s="168" t="str">
        <f>IFERROR(__xludf.DUMMYFUNCTION("""COMPUTED_VALUE"""),"Plant 1030 Chakan,Mind Space Shelters Llp/Vithai Developer s Llp, Gate No 51-59, Bhamboli, Chakan,Pune - 410507, Maharashtra, India.")</f>
        <v>Plant 1030 Chakan,Mind Space Shelters Llp/Vithai Developer s Llp, Gate No 51-59, Bhamboli, Chakan,Pune - 410507, Maharashtra, India.</v>
      </c>
      <c r="D36" s="169" t="str">
        <f>IFERROR(__xludf.DUMMYFUNCTION("""COMPUTED_VALUE"""),"MG 1.1 Dry Jar")</f>
        <v>MG 1.1 Dry Jar</v>
      </c>
      <c r="E36" s="169" t="str">
        <f>IFERROR(__xludf.DUMMYFUNCTION("""COMPUTED_VALUE"""),"Pcs")</f>
        <v>Pcs</v>
      </c>
      <c r="F36" s="170">
        <f>IFERROR(__xludf.DUMMYFUNCTION("""COMPUTED_VALUE"""),48.0)</f>
        <v>48</v>
      </c>
      <c r="G36" s="171">
        <f>IFERROR(__xludf.DUMMYFUNCTION("""COMPUTED_VALUE"""),17.0)</f>
        <v>17</v>
      </c>
      <c r="H36" s="172">
        <f>IFERROR(__xludf.DUMMYFUNCTION("""COMPUTED_VALUE"""),4.0)</f>
        <v>4</v>
      </c>
      <c r="I36" s="172">
        <f>IFERROR(__xludf.DUMMYFUNCTION("""COMPUTED_VALUE"""),45.0)</f>
        <v>45</v>
      </c>
      <c r="J36" s="173" t="str">
        <f>IFERROR(__xludf.DUMMYFUNCTION("""COMPUTED_VALUE"""),"kushagra.tiwari@atomberg.com,saraf.swapnil@atomberg.com,singh.anurag@atomberg.com,store@atomberg.com,nikhil.kharade@atomberg.com,himanshu.pathak@atomberg.com,yogesh.patil@atomberg.com")</f>
        <v>kushagra.tiwari@atomberg.com,saraf.swapnil@atomberg.com,singh.anurag@atomberg.com,store@atomberg.com,nikhil.kharade@atomberg.com,himanshu.pathak@atomberg.com,yogesh.patil@atomberg.com</v>
      </c>
      <c r="K36" s="173" t="str">
        <f>IFERROR(__xludf.DUMMYFUNCTION("""COMPUTED_VALUE"""),"agl.mailout@gmail.com")</f>
        <v>agl.mailout@gmail.com</v>
      </c>
      <c r="L36" s="173" t="str">
        <f>IFERROR(__xludf.DUMMYFUNCTION("""COMPUTED_VALUE"""),"gaurav@msambikaglobal.in")</f>
        <v>gaurav@msambikaglobal.in</v>
      </c>
      <c r="M36" s="173" t="str">
        <f>IFERROR(__xludf.DUMMYFUNCTION("""COMPUTED_VALUE"""),"MG1100-204")</f>
        <v>MG1100-204</v>
      </c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>
      <c r="A37" s="166" t="str">
        <f>IFERROR(__xludf.DUMMYFUNCTION("""COMPUTED_VALUE"""),"Atomberg Technologies Pvt. Ltd.")</f>
        <v>Atomberg Technologies Pvt. Ltd.</v>
      </c>
      <c r="B37" s="167" t="str">
        <f>IFERROR(__xludf.DUMMYFUNCTION("""COMPUTED_VALUE"""),"Chakan")</f>
        <v>Chakan</v>
      </c>
      <c r="C37" s="168" t="str">
        <f>IFERROR(__xludf.DUMMYFUNCTION("""COMPUTED_VALUE"""),"Plant 1030 Chakan,Mind Space Shelters Llp/Vithai Developer s Llp, Gate No 51-59, Bhamboli, Chakan,Pune - 410507, Maharashtra, India.")</f>
        <v>Plant 1030 Chakan,Mind Space Shelters Llp/Vithai Developer s Llp, Gate No 51-59, Bhamboli, Chakan,Pune - 410507, Maharashtra, India.</v>
      </c>
      <c r="D37" s="169" t="str">
        <f>IFERROR(__xludf.DUMMYFUNCTION("""COMPUTED_VALUE"""),"MG 1.1 Chutney Jar")</f>
        <v>MG 1.1 Chutney Jar</v>
      </c>
      <c r="E37" s="169" t="str">
        <f>IFERROR(__xludf.DUMMYFUNCTION("""COMPUTED_VALUE"""),"Pcs")</f>
        <v>Pcs</v>
      </c>
      <c r="F37" s="170">
        <f>IFERROR(__xludf.DUMMYFUNCTION("""COMPUTED_VALUE"""),120.0)</f>
        <v>120</v>
      </c>
      <c r="G37" s="171">
        <f>IFERROR(__xludf.DUMMYFUNCTION("""COMPUTED_VALUE"""),20.5)</f>
        <v>20.5</v>
      </c>
      <c r="H37" s="172">
        <f>IFERROR(__xludf.DUMMYFUNCTION("""COMPUTED_VALUE"""),4.0)</f>
        <v>4</v>
      </c>
      <c r="I37" s="172">
        <f>IFERROR(__xludf.DUMMYFUNCTION("""COMPUTED_VALUE"""),45.0)</f>
        <v>45</v>
      </c>
      <c r="J37" s="173" t="str">
        <f>IFERROR(__xludf.DUMMYFUNCTION("""COMPUTED_VALUE"""),"kushagra.tiwari@atomberg.com,saraf.swapnil@atomberg.com,singh.anurag@atomberg.com,store@atomberg.com,nikhil.kharade@atomberg.com,himanshu.pathak@atomberg.com,yogesh.patil@atomberg.com")</f>
        <v>kushagra.tiwari@atomberg.com,saraf.swapnil@atomberg.com,singh.anurag@atomberg.com,store@atomberg.com,nikhil.kharade@atomberg.com,himanshu.pathak@atomberg.com,yogesh.patil@atomberg.com</v>
      </c>
      <c r="K37" s="173" t="str">
        <f>IFERROR(__xludf.DUMMYFUNCTION("""COMPUTED_VALUE"""),"agl.mailout@gmail.com")</f>
        <v>agl.mailout@gmail.com</v>
      </c>
      <c r="L37" s="173" t="str">
        <f>IFERROR(__xludf.DUMMYFUNCTION("""COMPUTED_VALUE"""),"gaurav@msambikaglobal.in")</f>
        <v>gaurav@msambikaglobal.in</v>
      </c>
      <c r="M37" s="173" t="str">
        <f>IFERROR(__xludf.DUMMYFUNCTION("""COMPUTED_VALUE"""),"MG0500-204")</f>
        <v>MG0500-204</v>
      </c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>
      <c r="A38" s="166" t="str">
        <f>IFERROR(__xludf.DUMMYFUNCTION("""COMPUTED_VALUE"""),"Shree Shetrapal Metal Corporation")</f>
        <v>Shree Shetrapal Metal Corporation</v>
      </c>
      <c r="B38" s="167" t="str">
        <f>IFERROR(__xludf.DUMMYFUNCTION("""COMPUTED_VALUE"""),"Bhayander")</f>
        <v>Bhayander</v>
      </c>
      <c r="C38" s="168" t="str">
        <f>IFERROR(__xludf.DUMMYFUNCTION("""COMPUTED_VALUE"""),"Gala No.2, Para Industrial Estate, Navghar Phatak Road, Bhayander  (E) Thane - 401 105")</f>
        <v>Gala No.2, Para Industrial Estate, Navghar Phatak Road, Bhayander  (E) Thane - 401 105</v>
      </c>
      <c r="D38" s="169" t="str">
        <f>IFERROR(__xludf.DUMMYFUNCTION("""COMPUTED_VALUE"""),"Scrap")</f>
        <v>Scrap</v>
      </c>
      <c r="E38" s="169" t="str">
        <f>IFERROR(__xludf.DUMMYFUNCTION("""COMPUTED_VALUE"""),"Kgs")</f>
        <v>Kgs</v>
      </c>
      <c r="F38" s="170"/>
      <c r="G38" s="171"/>
      <c r="H38" s="172">
        <f>IFERROR(__xludf.DUMMYFUNCTION("""COMPUTED_VALUE"""),1.0)</f>
        <v>1</v>
      </c>
      <c r="I38" s="172">
        <f>IFERROR(__xludf.DUMMYFUNCTION("""COMPUTED_VALUE"""),3.0)</f>
        <v>3</v>
      </c>
      <c r="J38" s="173" t="str">
        <f>IFERROR(__xludf.DUMMYFUNCTION("""COMPUTED_VALUE"""),"puran8274@gmail.com")</f>
        <v>puran8274@gmail.com</v>
      </c>
      <c r="K38" s="173" t="str">
        <f>IFERROR(__xludf.DUMMYFUNCTION("""COMPUTED_VALUE"""),"agl.mailout@gmail.com")</f>
        <v>agl.mailout@gmail.com</v>
      </c>
      <c r="L38" s="173" t="str">
        <f>IFERROR(__xludf.DUMMYFUNCTION("""COMPUTED_VALUE"""),"gaurav@msambikaglobal.in")</f>
        <v>gaurav@msambikaglobal.in</v>
      </c>
      <c r="M38" s="173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>
      <c r="A39" s="166" t="str">
        <f>IFERROR(__xludf.DUMMYFUNCTION("""COMPUTED_VALUE"""),"M. Y. Enginnering Works")</f>
        <v>M. Y. Enginnering Works</v>
      </c>
      <c r="B39" s="167" t="str">
        <f>IFERROR(__xludf.DUMMYFUNCTION("""COMPUTED_VALUE"""),"Pune")</f>
        <v>Pune</v>
      </c>
      <c r="C39" s="168" t="str">
        <f>IFERROR(__xludf.DUMMYFUNCTION("""COMPUTED_VALUE"""),"KRUSHNA HOUSING SOCIETY, GAT NO-154		
TRIVENI NAGAR,TALAWADE, PUNE MAHARASHTRA-411062")</f>
        <v>KRUSHNA HOUSING SOCIETY, GAT NO-154		
TRIVENI NAGAR,TALAWADE, PUNE MAHARASHTRA-411062</v>
      </c>
      <c r="D39" s="169" t="str">
        <f>IFERROR(__xludf.DUMMYFUNCTION("""COMPUTED_VALUE"""),"Maple Jar Inspection Gauges")</f>
        <v>Maple Jar Inspection Gauges</v>
      </c>
      <c r="E39" s="169" t="str">
        <f>IFERROR(__xludf.DUMMYFUNCTION("""COMPUTED_VALUE"""),"Pcs")</f>
        <v>Pcs</v>
      </c>
      <c r="F39" s="170"/>
      <c r="G39" s="171"/>
      <c r="H39" s="172">
        <f>IFERROR(__xludf.DUMMYFUNCTION("""COMPUTED_VALUE"""),1.0)</f>
        <v>1</v>
      </c>
      <c r="I39" s="172">
        <f>IFERROR(__xludf.DUMMYFUNCTION("""COMPUTED_VALUE"""),1.0)</f>
        <v>1</v>
      </c>
      <c r="J39" s="173" t="str">
        <f>IFERROR(__xludf.DUMMYFUNCTION("""COMPUTED_VALUE"""),"manojyadav42373@gmail.com")</f>
        <v>manojyadav42373@gmail.com</v>
      </c>
      <c r="K39" s="173" t="str">
        <f>IFERROR(__xludf.DUMMYFUNCTION("""COMPUTED_VALUE"""),"agl.mailout@gmail.com")</f>
        <v>agl.mailout@gmail.com</v>
      </c>
      <c r="L39" s="173" t="str">
        <f>IFERROR(__xludf.DUMMYFUNCTION("""COMPUTED_VALUE"""),"gaurav@msambikaglobal.in")</f>
        <v>gaurav@msambikaglobal.in</v>
      </c>
      <c r="M39" s="173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>
      <c r="A40" s="166" t="str">
        <f>IFERROR(__xludf.DUMMYFUNCTION("""COMPUTED_VALUE"""),"Sohil Metalcraft Private Ltd")</f>
        <v>Sohil Metalcraft Private Ltd</v>
      </c>
      <c r="B40" s="167" t="str">
        <f>IFERROR(__xludf.DUMMYFUNCTION("""COMPUTED_VALUE"""),"Palghar")</f>
        <v>Palghar</v>
      </c>
      <c r="C40" s="168" t="str">
        <f>IFERROR(__xludf.DUMMYFUNCTION("""COMPUTED_VALUE"""),"Plot No. 741/2, New Satpati Road, Sub Post Office, Shirgoan, Satpati, Palghar, 401 405")</f>
        <v>Plot No. 741/2, New Satpati Road, Sub Post Office, Shirgoan, Satpati, Palghar, 401 405</v>
      </c>
      <c r="D40" s="169" t="str">
        <f>IFERROR(__xludf.DUMMYFUNCTION("""COMPUTED_VALUE"""),"Hydraulic Press Machine")</f>
        <v>Hydraulic Press Machine</v>
      </c>
      <c r="E40" s="169" t="str">
        <f>IFERROR(__xludf.DUMMYFUNCTION("""COMPUTED_VALUE"""),"Pcs")</f>
        <v>Pcs</v>
      </c>
      <c r="F40" s="170">
        <f>IFERROR(__xludf.DUMMYFUNCTION("""COMPUTED_VALUE"""),1.0)</f>
        <v>1</v>
      </c>
      <c r="G40" s="171"/>
      <c r="H40" s="172">
        <f>IFERROR(__xludf.DUMMYFUNCTION("""COMPUTED_VALUE"""),1.0)</f>
        <v>1</v>
      </c>
      <c r="I40" s="172">
        <f>IFERROR(__xludf.DUMMYFUNCTION("""COMPUTED_VALUE"""),1.0)</f>
        <v>1</v>
      </c>
      <c r="J40" s="173" t="str">
        <f>IFERROR(__xludf.DUMMYFUNCTION("""COMPUTED_VALUE"""),"docs@sohil-impex.com")</f>
        <v>docs@sohil-impex.com</v>
      </c>
      <c r="K40" s="173" t="str">
        <f>IFERROR(__xludf.DUMMYFUNCTION("""COMPUTED_VALUE"""),"agl.mailout@gmail.com")</f>
        <v>agl.mailout@gmail.com</v>
      </c>
      <c r="L40" s="173" t="str">
        <f>IFERROR(__xludf.DUMMYFUNCTION("""COMPUTED_VALUE"""),"gaurav@msambikaglobal.in")</f>
        <v>gaurav@msambikaglobal.in</v>
      </c>
      <c r="M40" s="173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>
      <c r="A41" s="166"/>
      <c r="B41" s="167"/>
      <c r="C41" s="168"/>
      <c r="D41" s="169"/>
      <c r="E41" s="169"/>
      <c r="F41" s="170"/>
      <c r="G41" s="171"/>
      <c r="H41" s="172"/>
      <c r="I41" s="172"/>
      <c r="J41" s="173"/>
      <c r="K41" s="173"/>
      <c r="L41" s="173"/>
      <c r="M41" s="173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63"/>
    <col customWidth="1" min="4" max="4" width="6.63"/>
  </cols>
  <sheetData>
    <row r="1">
      <c r="A1" s="175" t="s">
        <v>0</v>
      </c>
      <c r="B1" s="176" t="s">
        <v>659</v>
      </c>
      <c r="C1" s="176" t="s">
        <v>1445</v>
      </c>
      <c r="D1" s="177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>
      <c r="A2" s="178">
        <v>1.0</v>
      </c>
      <c r="B2" s="93" t="s">
        <v>604</v>
      </c>
      <c r="C2" s="158" t="s">
        <v>889</v>
      </c>
      <c r="D2" s="177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>
      <c r="A3" s="178">
        <v>2.0</v>
      </c>
      <c r="B3" s="93" t="s">
        <v>605</v>
      </c>
      <c r="C3" s="159" t="s">
        <v>892</v>
      </c>
      <c r="D3" s="177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</row>
    <row r="4">
      <c r="A4" s="178">
        <v>3.0</v>
      </c>
      <c r="B4" s="93" t="s">
        <v>606</v>
      </c>
      <c r="C4" s="159" t="s">
        <v>944</v>
      </c>
      <c r="D4" s="177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</row>
    <row r="5">
      <c r="A5" s="178">
        <v>4.0</v>
      </c>
      <c r="B5" s="93" t="s">
        <v>607</v>
      </c>
      <c r="C5" s="158" t="s">
        <v>896</v>
      </c>
      <c r="D5" s="177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</row>
    <row r="6">
      <c r="A6" s="178">
        <v>5.0</v>
      </c>
      <c r="B6" s="93" t="s">
        <v>608</v>
      </c>
      <c r="C6" s="158" t="s">
        <v>946</v>
      </c>
      <c r="D6" s="17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</row>
    <row r="7">
      <c r="A7" s="178">
        <v>6.0</v>
      </c>
      <c r="B7" s="93" t="s">
        <v>610</v>
      </c>
      <c r="C7" s="158" t="s">
        <v>948</v>
      </c>
      <c r="D7" s="177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</row>
    <row r="8">
      <c r="A8" s="178">
        <v>7.0</v>
      </c>
      <c r="B8" s="93" t="s">
        <v>609</v>
      </c>
      <c r="C8" s="158" t="s">
        <v>899</v>
      </c>
      <c r="D8" s="177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</row>
    <row r="9">
      <c r="A9" s="178">
        <v>8.0</v>
      </c>
      <c r="B9" s="93" t="s">
        <v>612</v>
      </c>
      <c r="C9" s="158" t="s">
        <v>902</v>
      </c>
      <c r="D9" s="177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</row>
    <row r="10">
      <c r="A10" s="178">
        <v>9.0</v>
      </c>
      <c r="B10" s="93" t="s">
        <v>611</v>
      </c>
      <c r="C10" s="158" t="s">
        <v>1199</v>
      </c>
      <c r="D10" s="177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</row>
    <row r="11">
      <c r="A11" s="178">
        <v>10.0</v>
      </c>
      <c r="B11" s="93" t="s">
        <v>618</v>
      </c>
      <c r="C11" s="158" t="s">
        <v>1372</v>
      </c>
      <c r="D11" s="177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</row>
    <row r="12">
      <c r="A12" s="178">
        <v>11.0</v>
      </c>
      <c r="B12" s="93" t="s">
        <v>615</v>
      </c>
      <c r="C12" s="158" t="s">
        <v>904</v>
      </c>
      <c r="D12" s="177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</row>
    <row r="13">
      <c r="A13" s="178">
        <v>12.0</v>
      </c>
      <c r="B13" s="93" t="s">
        <v>620</v>
      </c>
      <c r="C13" s="158" t="s">
        <v>1086</v>
      </c>
      <c r="D13" s="179" t="s">
        <v>1446</v>
      </c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</row>
    <row r="14">
      <c r="A14" s="178">
        <v>13.0</v>
      </c>
      <c r="B14" s="93" t="s">
        <v>614</v>
      </c>
      <c r="C14" s="158" t="s">
        <v>1086</v>
      </c>
      <c r="D14" s="179" t="s">
        <v>1447</v>
      </c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</row>
    <row r="15">
      <c r="A15" s="178">
        <v>14.0</v>
      </c>
      <c r="B15" s="94" t="s">
        <v>617</v>
      </c>
      <c r="C15" s="159" t="s">
        <v>906</v>
      </c>
      <c r="D15" s="177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</row>
    <row r="16">
      <c r="A16" s="178">
        <v>15.0</v>
      </c>
      <c r="B16" s="93" t="s">
        <v>613</v>
      </c>
      <c r="C16" s="158" t="s">
        <v>928</v>
      </c>
      <c r="D16" s="177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</row>
    <row r="17">
      <c r="A17" s="180">
        <v>16.0</v>
      </c>
      <c r="B17" s="94" t="s">
        <v>630</v>
      </c>
      <c r="C17" s="159" t="s">
        <v>1203</v>
      </c>
      <c r="D17" s="177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</row>
    <row r="18">
      <c r="A18" s="178">
        <v>17.0</v>
      </c>
      <c r="B18" s="93" t="s">
        <v>623</v>
      </c>
      <c r="C18" s="159" t="s">
        <v>1310</v>
      </c>
      <c r="D18" s="177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</row>
    <row r="19">
      <c r="A19" s="180">
        <v>18.0</v>
      </c>
      <c r="B19" s="93" t="s">
        <v>616</v>
      </c>
      <c r="C19" s="158" t="s">
        <v>931</v>
      </c>
      <c r="D19" s="177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</row>
    <row r="20">
      <c r="A20" s="178">
        <v>19.0</v>
      </c>
      <c r="B20" s="93" t="s">
        <v>619</v>
      </c>
      <c r="C20" s="158" t="s">
        <v>908</v>
      </c>
      <c r="D20" s="177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</row>
    <row r="21">
      <c r="A21" s="180">
        <v>20.0</v>
      </c>
      <c r="B21" s="93" t="s">
        <v>633</v>
      </c>
      <c r="C21" s="158" t="s">
        <v>1206</v>
      </c>
      <c r="D21" s="177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</row>
    <row r="22">
      <c r="A22" s="178">
        <v>21.0</v>
      </c>
      <c r="B22" s="93" t="s">
        <v>622</v>
      </c>
      <c r="C22" s="158" t="s">
        <v>912</v>
      </c>
      <c r="D22" s="177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</row>
    <row r="23">
      <c r="A23" s="180">
        <v>22.0</v>
      </c>
      <c r="B23" s="93" t="s">
        <v>624</v>
      </c>
      <c r="C23" s="158" t="s">
        <v>914</v>
      </c>
      <c r="D23" s="1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</row>
    <row r="24">
      <c r="A24" s="178">
        <v>23.0</v>
      </c>
      <c r="B24" s="93" t="s">
        <v>626</v>
      </c>
      <c r="C24" s="158" t="s">
        <v>916</v>
      </c>
      <c r="D24" s="177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</row>
    <row r="25">
      <c r="A25" s="180">
        <v>24.0</v>
      </c>
      <c r="B25" s="93" t="s">
        <v>628</v>
      </c>
      <c r="C25" s="158" t="s">
        <v>960</v>
      </c>
      <c r="D25" s="179" t="s">
        <v>1448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</row>
    <row r="26">
      <c r="A26" s="178">
        <v>25.0</v>
      </c>
      <c r="B26" s="93" t="s">
        <v>625</v>
      </c>
      <c r="C26" s="158" t="s">
        <v>1213</v>
      </c>
      <c r="D26" s="177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</row>
    <row r="27">
      <c r="A27" s="180">
        <v>26.0</v>
      </c>
      <c r="B27" s="93" t="s">
        <v>627</v>
      </c>
      <c r="C27" s="158" t="s">
        <v>918</v>
      </c>
      <c r="D27" s="177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</row>
    <row r="28">
      <c r="A28" s="178">
        <v>27.0</v>
      </c>
      <c r="B28" s="94" t="s">
        <v>621</v>
      </c>
      <c r="C28" s="159" t="s">
        <v>910</v>
      </c>
      <c r="D28" s="177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</row>
    <row r="29">
      <c r="A29" s="180">
        <v>28.0</v>
      </c>
      <c r="B29" s="93" t="s">
        <v>629</v>
      </c>
      <c r="C29" s="158" t="s">
        <v>629</v>
      </c>
      <c r="D29" s="177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</row>
    <row r="30">
      <c r="A30" s="178">
        <v>29.0</v>
      </c>
      <c r="B30" s="93" t="s">
        <v>631</v>
      </c>
      <c r="C30" s="158" t="s">
        <v>921</v>
      </c>
      <c r="D30" s="177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</row>
    <row r="31">
      <c r="A31" s="96"/>
      <c r="B31" s="98"/>
      <c r="C31" s="98"/>
      <c r="D31" s="177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</row>
    <row r="32">
      <c r="A32" s="96"/>
      <c r="B32" s="96"/>
      <c r="C32" s="96"/>
      <c r="D32" s="177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</row>
    <row r="33">
      <c r="A33" s="96"/>
      <c r="B33" s="96"/>
      <c r="C33" s="96"/>
      <c r="D33" s="177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</row>
    <row r="34">
      <c r="A34" s="96"/>
      <c r="B34" s="96"/>
      <c r="C34" s="96"/>
      <c r="D34" s="177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</row>
    <row r="35">
      <c r="A35" s="96"/>
      <c r="B35" s="96"/>
      <c r="C35" s="96"/>
      <c r="D35" s="177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</row>
    <row r="36">
      <c r="A36" s="96"/>
      <c r="B36" s="96"/>
      <c r="C36" s="96"/>
      <c r="D36" s="177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</row>
    <row r="37">
      <c r="A37" s="96"/>
      <c r="B37" s="96"/>
      <c r="C37" s="96"/>
      <c r="D37" s="17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</row>
    <row r="38">
      <c r="A38" s="96"/>
      <c r="B38" s="96"/>
      <c r="C38" s="96"/>
      <c r="D38" s="17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</row>
    <row r="39">
      <c r="A39" s="96"/>
      <c r="B39" s="96"/>
      <c r="C39" s="96"/>
      <c r="D39" s="17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</row>
    <row r="40">
      <c r="A40" s="96"/>
      <c r="B40" s="96"/>
      <c r="C40" s="96"/>
      <c r="D40" s="17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</row>
    <row r="41">
      <c r="A41" s="96"/>
      <c r="B41" s="96"/>
      <c r="C41" s="96"/>
      <c r="D41" s="17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</row>
    <row r="42">
      <c r="A42" s="96"/>
      <c r="B42" s="96"/>
      <c r="C42" s="96"/>
      <c r="D42" s="17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</row>
    <row r="43">
      <c r="A43" s="96"/>
      <c r="B43" s="96"/>
      <c r="C43" s="96"/>
      <c r="D43" s="17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</row>
    <row r="44">
      <c r="A44" s="96"/>
      <c r="B44" s="96"/>
      <c r="C44" s="96"/>
      <c r="D44" s="17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</row>
    <row r="45">
      <c r="A45" s="96"/>
      <c r="B45" s="96"/>
      <c r="C45" s="96"/>
      <c r="D45" s="17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</row>
    <row r="46">
      <c r="A46" s="96"/>
      <c r="B46" s="96"/>
      <c r="C46" s="96"/>
      <c r="D46" s="17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</row>
    <row r="47">
      <c r="A47" s="96"/>
      <c r="B47" s="96"/>
      <c r="C47" s="96"/>
      <c r="D47" s="17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</row>
    <row r="48">
      <c r="A48" s="96"/>
      <c r="B48" s="96"/>
      <c r="C48" s="96"/>
      <c r="D48" s="17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</row>
    <row r="49">
      <c r="A49" s="96"/>
      <c r="B49" s="96"/>
      <c r="C49" s="96"/>
      <c r="D49" s="17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</row>
    <row r="50">
      <c r="A50" s="96"/>
      <c r="B50" s="96"/>
      <c r="C50" s="96"/>
      <c r="D50" s="17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</row>
    <row r="51">
      <c r="A51" s="96"/>
      <c r="B51" s="96"/>
      <c r="C51" s="96"/>
      <c r="D51" s="17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</row>
    <row r="52">
      <c r="A52" s="96"/>
      <c r="B52" s="96"/>
      <c r="C52" s="96"/>
      <c r="D52" s="17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</row>
    <row r="53">
      <c r="A53" s="96"/>
      <c r="B53" s="96"/>
      <c r="C53" s="96"/>
      <c r="D53" s="17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</row>
    <row r="54">
      <c r="A54" s="96"/>
      <c r="B54" s="96"/>
      <c r="C54" s="96"/>
      <c r="D54" s="17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</row>
    <row r="55">
      <c r="A55" s="96"/>
      <c r="B55" s="96"/>
      <c r="C55" s="96"/>
      <c r="D55" s="17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</row>
    <row r="56">
      <c r="A56" s="96"/>
      <c r="B56" s="96"/>
      <c r="C56" s="96"/>
      <c r="D56" s="17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</row>
    <row r="57">
      <c r="A57" s="96"/>
      <c r="B57" s="96"/>
      <c r="C57" s="96"/>
      <c r="D57" s="17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</row>
    <row r="58">
      <c r="A58" s="96"/>
      <c r="B58" s="96"/>
      <c r="C58" s="96"/>
      <c r="D58" s="17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</row>
    <row r="59">
      <c r="A59" s="96"/>
      <c r="B59" s="96"/>
      <c r="C59" s="96"/>
      <c r="D59" s="17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</row>
    <row r="60">
      <c r="A60" s="96"/>
      <c r="B60" s="96"/>
      <c r="C60" s="96"/>
      <c r="D60" s="17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</row>
    <row r="61">
      <c r="A61" s="96"/>
      <c r="B61" s="96"/>
      <c r="C61" s="96"/>
      <c r="D61" s="17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>
      <c r="A62" s="96"/>
      <c r="B62" s="96"/>
      <c r="C62" s="96"/>
      <c r="D62" s="17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>
      <c r="A63" s="96"/>
      <c r="B63" s="96"/>
      <c r="C63" s="96"/>
      <c r="D63" s="17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</row>
    <row r="64">
      <c r="A64" s="96"/>
      <c r="B64" s="96"/>
      <c r="C64" s="96"/>
      <c r="D64" s="17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</row>
    <row r="65">
      <c r="A65" s="96"/>
      <c r="B65" s="96"/>
      <c r="C65" s="96"/>
      <c r="D65" s="17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</row>
    <row r="66">
      <c r="A66" s="96"/>
      <c r="B66" s="96"/>
      <c r="C66" s="96"/>
      <c r="D66" s="17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</row>
    <row r="67">
      <c r="A67" s="96"/>
      <c r="B67" s="96"/>
      <c r="C67" s="96"/>
      <c r="D67" s="17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</row>
    <row r="68">
      <c r="A68" s="96"/>
      <c r="B68" s="96"/>
      <c r="C68" s="96"/>
      <c r="D68" s="17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</row>
    <row r="69">
      <c r="A69" s="96"/>
      <c r="B69" s="96"/>
      <c r="C69" s="96"/>
      <c r="D69" s="17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</row>
    <row r="70">
      <c r="A70" s="96"/>
      <c r="B70" s="96"/>
      <c r="C70" s="96"/>
      <c r="D70" s="17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</row>
    <row r="71">
      <c r="A71" s="96"/>
      <c r="B71" s="96"/>
      <c r="C71" s="96"/>
      <c r="D71" s="17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</row>
    <row r="72">
      <c r="A72" s="96"/>
      <c r="B72" s="96"/>
      <c r="C72" s="96"/>
      <c r="D72" s="17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</row>
    <row r="73">
      <c r="A73" s="96"/>
      <c r="B73" s="96"/>
      <c r="C73" s="96"/>
      <c r="D73" s="17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</row>
    <row r="74">
      <c r="A74" s="96"/>
      <c r="B74" s="96"/>
      <c r="C74" s="96"/>
      <c r="D74" s="17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</row>
    <row r="75">
      <c r="A75" s="96"/>
      <c r="B75" s="96"/>
      <c r="C75" s="96"/>
      <c r="D75" s="17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</row>
    <row r="76">
      <c r="A76" s="96"/>
      <c r="B76" s="96"/>
      <c r="C76" s="96"/>
      <c r="D76" s="17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</row>
    <row r="77">
      <c r="A77" s="96"/>
      <c r="B77" s="96"/>
      <c r="C77" s="96"/>
      <c r="D77" s="17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</row>
    <row r="78">
      <c r="A78" s="96"/>
      <c r="B78" s="96"/>
      <c r="C78" s="96"/>
      <c r="D78" s="17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</row>
    <row r="79">
      <c r="A79" s="96"/>
      <c r="B79" s="96"/>
      <c r="C79" s="96"/>
      <c r="D79" s="17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</row>
    <row r="80">
      <c r="A80" s="96"/>
      <c r="B80" s="96"/>
      <c r="C80" s="96"/>
      <c r="D80" s="17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</row>
    <row r="81">
      <c r="A81" s="96"/>
      <c r="B81" s="96"/>
      <c r="C81" s="96"/>
      <c r="D81" s="17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</row>
    <row r="82">
      <c r="A82" s="96"/>
      <c r="B82" s="96"/>
      <c r="C82" s="96"/>
      <c r="D82" s="17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</row>
    <row r="83">
      <c r="A83" s="96"/>
      <c r="B83" s="96"/>
      <c r="C83" s="96"/>
      <c r="D83" s="17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</row>
    <row r="84">
      <c r="A84" s="96"/>
      <c r="B84" s="96"/>
      <c r="C84" s="96"/>
      <c r="D84" s="17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</row>
    <row r="85">
      <c r="A85" s="96"/>
      <c r="B85" s="96"/>
      <c r="C85" s="96"/>
      <c r="D85" s="17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</row>
    <row r="86">
      <c r="A86" s="96"/>
      <c r="B86" s="96"/>
      <c r="C86" s="96"/>
      <c r="D86" s="17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</row>
    <row r="87">
      <c r="A87" s="96"/>
      <c r="B87" s="96"/>
      <c r="C87" s="96"/>
      <c r="D87" s="17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</row>
    <row r="88">
      <c r="A88" s="96"/>
      <c r="B88" s="96"/>
      <c r="C88" s="96"/>
      <c r="D88" s="17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</row>
    <row r="89">
      <c r="A89" s="96"/>
      <c r="B89" s="96"/>
      <c r="C89" s="96"/>
      <c r="D89" s="17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</row>
    <row r="90">
      <c r="A90" s="96"/>
      <c r="B90" s="96"/>
      <c r="C90" s="96"/>
      <c r="D90" s="17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</row>
    <row r="91">
      <c r="A91" s="96"/>
      <c r="B91" s="96"/>
      <c r="C91" s="96"/>
      <c r="D91" s="17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</row>
    <row r="92">
      <c r="A92" s="96"/>
      <c r="B92" s="96"/>
      <c r="C92" s="96"/>
      <c r="D92" s="17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</row>
    <row r="93">
      <c r="A93" s="96"/>
      <c r="B93" s="96"/>
      <c r="C93" s="96"/>
      <c r="D93" s="17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</row>
    <row r="94">
      <c r="A94" s="96"/>
      <c r="B94" s="96"/>
      <c r="C94" s="96"/>
      <c r="D94" s="17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</row>
    <row r="95">
      <c r="A95" s="96"/>
      <c r="B95" s="96"/>
      <c r="C95" s="96"/>
      <c r="D95" s="17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</row>
    <row r="96">
      <c r="A96" s="96"/>
      <c r="B96" s="96"/>
      <c r="C96" s="96"/>
      <c r="D96" s="17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</row>
    <row r="97">
      <c r="A97" s="96"/>
      <c r="B97" s="96"/>
      <c r="C97" s="96"/>
      <c r="D97" s="17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</row>
    <row r="98">
      <c r="A98" s="96"/>
      <c r="B98" s="96"/>
      <c r="C98" s="96"/>
      <c r="D98" s="17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</row>
    <row r="99">
      <c r="A99" s="96"/>
      <c r="B99" s="96"/>
      <c r="C99" s="96"/>
      <c r="D99" s="17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</row>
    <row r="100">
      <c r="A100" s="96"/>
      <c r="B100" s="96"/>
      <c r="C100" s="96"/>
      <c r="D100" s="17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</row>
    <row r="101">
      <c r="A101" s="96"/>
      <c r="B101" s="96"/>
      <c r="C101" s="96"/>
      <c r="D101" s="17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</row>
    <row r="102">
      <c r="A102" s="96"/>
      <c r="B102" s="96"/>
      <c r="C102" s="96"/>
      <c r="D102" s="17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</row>
    <row r="103">
      <c r="A103" s="96"/>
      <c r="B103" s="96"/>
      <c r="C103" s="96"/>
      <c r="D103" s="17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</row>
    <row r="104">
      <c r="A104" s="96"/>
      <c r="B104" s="96"/>
      <c r="C104" s="96"/>
      <c r="D104" s="17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</row>
    <row r="105">
      <c r="A105" s="96"/>
      <c r="B105" s="96"/>
      <c r="C105" s="96"/>
      <c r="D105" s="17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</row>
    <row r="106">
      <c r="A106" s="96"/>
      <c r="B106" s="96"/>
      <c r="C106" s="96"/>
      <c r="D106" s="17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</row>
    <row r="107">
      <c r="A107" s="96"/>
      <c r="B107" s="96"/>
      <c r="C107" s="96"/>
      <c r="D107" s="17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</row>
    <row r="108">
      <c r="A108" s="96"/>
      <c r="B108" s="96"/>
      <c r="C108" s="96"/>
      <c r="D108" s="17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</row>
    <row r="109">
      <c r="A109" s="96"/>
      <c r="B109" s="96"/>
      <c r="C109" s="96"/>
      <c r="D109" s="17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</row>
    <row r="110">
      <c r="A110" s="96"/>
      <c r="B110" s="96"/>
      <c r="C110" s="96"/>
      <c r="D110" s="17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</row>
    <row r="111">
      <c r="A111" s="96"/>
      <c r="B111" s="96"/>
      <c r="C111" s="96"/>
      <c r="D111" s="17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</row>
    <row r="112">
      <c r="A112" s="96"/>
      <c r="B112" s="96"/>
      <c r="C112" s="96"/>
      <c r="D112" s="17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</row>
    <row r="113">
      <c r="A113" s="96"/>
      <c r="B113" s="96"/>
      <c r="C113" s="96"/>
      <c r="D113" s="17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</row>
    <row r="114">
      <c r="A114" s="96"/>
      <c r="B114" s="96"/>
      <c r="C114" s="96"/>
      <c r="D114" s="17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</row>
    <row r="115">
      <c r="A115" s="96"/>
      <c r="B115" s="96"/>
      <c r="C115" s="96"/>
      <c r="D115" s="17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</row>
    <row r="116">
      <c r="A116" s="96"/>
      <c r="B116" s="96"/>
      <c r="C116" s="96"/>
      <c r="D116" s="17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</row>
    <row r="117">
      <c r="A117" s="96"/>
      <c r="B117" s="96"/>
      <c r="C117" s="96"/>
      <c r="D117" s="17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</row>
    <row r="118">
      <c r="A118" s="96"/>
      <c r="B118" s="96"/>
      <c r="C118" s="96"/>
      <c r="D118" s="17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</row>
    <row r="119">
      <c r="A119" s="96"/>
      <c r="B119" s="96"/>
      <c r="C119" s="96"/>
      <c r="D119" s="17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</row>
    <row r="120">
      <c r="A120" s="96"/>
      <c r="B120" s="96"/>
      <c r="C120" s="96"/>
      <c r="D120" s="17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</row>
    <row r="121">
      <c r="A121" s="96"/>
      <c r="B121" s="96"/>
      <c r="C121" s="96"/>
      <c r="D121" s="17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</row>
    <row r="122">
      <c r="A122" s="96"/>
      <c r="B122" s="96"/>
      <c r="C122" s="96"/>
      <c r="D122" s="17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</row>
    <row r="123">
      <c r="A123" s="96"/>
      <c r="B123" s="96"/>
      <c r="C123" s="96"/>
      <c r="D123" s="17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</row>
    <row r="124">
      <c r="A124" s="96"/>
      <c r="B124" s="96"/>
      <c r="C124" s="96"/>
      <c r="D124" s="17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</row>
    <row r="125">
      <c r="A125" s="96"/>
      <c r="B125" s="96"/>
      <c r="C125" s="96"/>
      <c r="D125" s="17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</row>
    <row r="126">
      <c r="A126" s="96"/>
      <c r="B126" s="96"/>
      <c r="C126" s="96"/>
      <c r="D126" s="17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</row>
    <row r="127">
      <c r="A127" s="96"/>
      <c r="B127" s="96"/>
      <c r="C127" s="96"/>
      <c r="D127" s="17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</row>
    <row r="128">
      <c r="A128" s="96"/>
      <c r="B128" s="96"/>
      <c r="C128" s="96"/>
      <c r="D128" s="17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</row>
    <row r="129">
      <c r="A129" s="96"/>
      <c r="B129" s="96"/>
      <c r="C129" s="96"/>
      <c r="D129" s="17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</row>
    <row r="130">
      <c r="A130" s="96"/>
      <c r="B130" s="96"/>
      <c r="C130" s="96"/>
      <c r="D130" s="17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</row>
    <row r="131">
      <c r="A131" s="96"/>
      <c r="B131" s="96"/>
      <c r="C131" s="96"/>
      <c r="D131" s="17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</row>
    <row r="132">
      <c r="A132" s="96"/>
      <c r="B132" s="96"/>
      <c r="C132" s="96"/>
      <c r="D132" s="17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</row>
    <row r="133">
      <c r="A133" s="96"/>
      <c r="B133" s="96"/>
      <c r="C133" s="96"/>
      <c r="D133" s="17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</row>
    <row r="134">
      <c r="A134" s="96"/>
      <c r="B134" s="96"/>
      <c r="C134" s="96"/>
      <c r="D134" s="17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</row>
    <row r="135">
      <c r="A135" s="96"/>
      <c r="B135" s="96"/>
      <c r="C135" s="96"/>
      <c r="D135" s="17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</row>
    <row r="136">
      <c r="A136" s="96"/>
      <c r="B136" s="96"/>
      <c r="C136" s="96"/>
      <c r="D136" s="17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</row>
    <row r="137">
      <c r="A137" s="96"/>
      <c r="B137" s="96"/>
      <c r="C137" s="96"/>
      <c r="D137" s="17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</row>
    <row r="138">
      <c r="A138" s="96"/>
      <c r="B138" s="96"/>
      <c r="C138" s="96"/>
      <c r="D138" s="17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</row>
    <row r="139">
      <c r="A139" s="96"/>
      <c r="B139" s="96"/>
      <c r="C139" s="96"/>
      <c r="D139" s="17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</row>
    <row r="140">
      <c r="A140" s="96"/>
      <c r="B140" s="96"/>
      <c r="C140" s="96"/>
      <c r="D140" s="17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</row>
    <row r="141">
      <c r="A141" s="96"/>
      <c r="B141" s="96"/>
      <c r="C141" s="96"/>
      <c r="D141" s="17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</row>
    <row r="142">
      <c r="A142" s="96"/>
      <c r="B142" s="96"/>
      <c r="C142" s="96"/>
      <c r="D142" s="17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</row>
    <row r="143">
      <c r="A143" s="96"/>
      <c r="B143" s="96"/>
      <c r="C143" s="96"/>
      <c r="D143" s="17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</row>
    <row r="144">
      <c r="A144" s="96"/>
      <c r="B144" s="96"/>
      <c r="C144" s="96"/>
      <c r="D144" s="17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</row>
    <row r="145">
      <c r="A145" s="96"/>
      <c r="B145" s="96"/>
      <c r="C145" s="96"/>
      <c r="D145" s="17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</row>
    <row r="146">
      <c r="A146" s="96"/>
      <c r="B146" s="96"/>
      <c r="C146" s="96"/>
      <c r="D146" s="17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</row>
    <row r="147">
      <c r="A147" s="96"/>
      <c r="B147" s="96"/>
      <c r="C147" s="96"/>
      <c r="D147" s="17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</row>
    <row r="148">
      <c r="A148" s="96"/>
      <c r="B148" s="96"/>
      <c r="C148" s="96"/>
      <c r="D148" s="17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</row>
    <row r="149">
      <c r="A149" s="96"/>
      <c r="B149" s="96"/>
      <c r="C149" s="96"/>
      <c r="D149" s="17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</row>
    <row r="150">
      <c r="A150" s="96"/>
      <c r="B150" s="96"/>
      <c r="C150" s="96"/>
      <c r="D150" s="17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</row>
    <row r="151">
      <c r="A151" s="96"/>
      <c r="B151" s="96"/>
      <c r="C151" s="96"/>
      <c r="D151" s="17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</row>
    <row r="152">
      <c r="A152" s="96"/>
      <c r="B152" s="96"/>
      <c r="C152" s="96"/>
      <c r="D152" s="17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</row>
    <row r="153">
      <c r="A153" s="96"/>
      <c r="B153" s="96"/>
      <c r="C153" s="96"/>
      <c r="D153" s="17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</row>
    <row r="154">
      <c r="A154" s="96"/>
      <c r="B154" s="96"/>
      <c r="C154" s="96"/>
      <c r="D154" s="17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</row>
    <row r="155">
      <c r="A155" s="96"/>
      <c r="B155" s="96"/>
      <c r="C155" s="96"/>
      <c r="D155" s="17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</row>
    <row r="156">
      <c r="A156" s="96"/>
      <c r="B156" s="96"/>
      <c r="C156" s="96"/>
      <c r="D156" s="17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</row>
    <row r="157">
      <c r="A157" s="96"/>
      <c r="B157" s="96"/>
      <c r="C157" s="96"/>
      <c r="D157" s="17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</row>
    <row r="158">
      <c r="A158" s="96"/>
      <c r="B158" s="96"/>
      <c r="C158" s="96"/>
      <c r="D158" s="17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</row>
    <row r="159">
      <c r="A159" s="96"/>
      <c r="B159" s="96"/>
      <c r="C159" s="96"/>
      <c r="D159" s="17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</row>
    <row r="160">
      <c r="A160" s="96"/>
      <c r="B160" s="96"/>
      <c r="C160" s="96"/>
      <c r="D160" s="17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</row>
    <row r="161">
      <c r="A161" s="96"/>
      <c r="B161" s="96"/>
      <c r="C161" s="96"/>
      <c r="D161" s="17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</row>
    <row r="162">
      <c r="A162" s="96"/>
      <c r="B162" s="96"/>
      <c r="C162" s="96"/>
      <c r="D162" s="17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</row>
    <row r="163">
      <c r="A163" s="96"/>
      <c r="B163" s="96"/>
      <c r="C163" s="96"/>
      <c r="D163" s="17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</row>
    <row r="164">
      <c r="A164" s="96"/>
      <c r="B164" s="96"/>
      <c r="C164" s="96"/>
      <c r="D164" s="17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</row>
    <row r="165">
      <c r="A165" s="96"/>
      <c r="B165" s="96"/>
      <c r="C165" s="96"/>
      <c r="D165" s="17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</row>
    <row r="166">
      <c r="A166" s="96"/>
      <c r="B166" s="96"/>
      <c r="C166" s="96"/>
      <c r="D166" s="17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</row>
    <row r="167">
      <c r="A167" s="96"/>
      <c r="B167" s="96"/>
      <c r="C167" s="96"/>
      <c r="D167" s="17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</row>
    <row r="168">
      <c r="A168" s="96"/>
      <c r="B168" s="96"/>
      <c r="C168" s="96"/>
      <c r="D168" s="17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</row>
    <row r="169">
      <c r="A169" s="96"/>
      <c r="B169" s="96"/>
      <c r="C169" s="96"/>
      <c r="D169" s="17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</row>
    <row r="170">
      <c r="A170" s="96"/>
      <c r="B170" s="96"/>
      <c r="C170" s="96"/>
      <c r="D170" s="17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</row>
    <row r="171">
      <c r="A171" s="96"/>
      <c r="B171" s="96"/>
      <c r="C171" s="96"/>
      <c r="D171" s="17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</row>
    <row r="172">
      <c r="A172" s="96"/>
      <c r="B172" s="96"/>
      <c r="C172" s="96"/>
      <c r="D172" s="17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</row>
    <row r="173">
      <c r="A173" s="96"/>
      <c r="B173" s="96"/>
      <c r="C173" s="96"/>
      <c r="D173" s="17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</row>
    <row r="174">
      <c r="A174" s="96"/>
      <c r="B174" s="96"/>
      <c r="C174" s="96"/>
      <c r="D174" s="17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</row>
    <row r="175">
      <c r="A175" s="96"/>
      <c r="B175" s="96"/>
      <c r="C175" s="96"/>
      <c r="D175" s="17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</row>
    <row r="176">
      <c r="A176" s="96"/>
      <c r="B176" s="96"/>
      <c r="C176" s="96"/>
      <c r="D176" s="17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</row>
    <row r="177">
      <c r="A177" s="96"/>
      <c r="B177" s="96"/>
      <c r="C177" s="96"/>
      <c r="D177" s="17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</row>
    <row r="178">
      <c r="A178" s="96"/>
      <c r="B178" s="96"/>
      <c r="C178" s="96"/>
      <c r="D178" s="17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</row>
    <row r="179">
      <c r="A179" s="96"/>
      <c r="B179" s="96"/>
      <c r="C179" s="96"/>
      <c r="D179" s="17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</row>
    <row r="180">
      <c r="A180" s="96"/>
      <c r="B180" s="96"/>
      <c r="C180" s="96"/>
      <c r="D180" s="17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</row>
    <row r="181">
      <c r="A181" s="96"/>
      <c r="B181" s="96"/>
      <c r="C181" s="96"/>
      <c r="D181" s="17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</row>
    <row r="182">
      <c r="A182" s="96"/>
      <c r="B182" s="96"/>
      <c r="C182" s="96"/>
      <c r="D182" s="17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</row>
    <row r="183">
      <c r="A183" s="96"/>
      <c r="B183" s="96"/>
      <c r="C183" s="96"/>
      <c r="D183" s="17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</row>
    <row r="184">
      <c r="A184" s="96"/>
      <c r="B184" s="96"/>
      <c r="C184" s="96"/>
      <c r="D184" s="17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</row>
    <row r="185">
      <c r="A185" s="96"/>
      <c r="B185" s="96"/>
      <c r="C185" s="96"/>
      <c r="D185" s="17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</row>
    <row r="186">
      <c r="A186" s="96"/>
      <c r="B186" s="96"/>
      <c r="C186" s="96"/>
      <c r="D186" s="17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</row>
    <row r="187">
      <c r="A187" s="96"/>
      <c r="B187" s="96"/>
      <c r="C187" s="96"/>
      <c r="D187" s="17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</row>
    <row r="188">
      <c r="A188" s="96"/>
      <c r="B188" s="96"/>
      <c r="C188" s="96"/>
      <c r="D188" s="17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</row>
    <row r="189">
      <c r="A189" s="96"/>
      <c r="B189" s="96"/>
      <c r="C189" s="96"/>
      <c r="D189" s="17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</row>
    <row r="190">
      <c r="A190" s="96"/>
      <c r="B190" s="96"/>
      <c r="C190" s="96"/>
      <c r="D190" s="17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</row>
    <row r="191">
      <c r="A191" s="96"/>
      <c r="B191" s="96"/>
      <c r="C191" s="96"/>
      <c r="D191" s="17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</row>
    <row r="192">
      <c r="A192" s="96"/>
      <c r="B192" s="96"/>
      <c r="C192" s="96"/>
      <c r="D192" s="17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</row>
    <row r="193">
      <c r="A193" s="96"/>
      <c r="B193" s="96"/>
      <c r="C193" s="96"/>
      <c r="D193" s="17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</row>
    <row r="194">
      <c r="A194" s="96"/>
      <c r="B194" s="96"/>
      <c r="C194" s="96"/>
      <c r="D194" s="17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</row>
    <row r="195">
      <c r="A195" s="96"/>
      <c r="B195" s="96"/>
      <c r="C195" s="96"/>
      <c r="D195" s="17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</row>
    <row r="196">
      <c r="A196" s="96"/>
      <c r="B196" s="96"/>
      <c r="C196" s="96"/>
      <c r="D196" s="17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</row>
    <row r="197">
      <c r="A197" s="96"/>
      <c r="B197" s="96"/>
      <c r="C197" s="96"/>
      <c r="D197" s="17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</row>
    <row r="198">
      <c r="A198" s="96"/>
      <c r="B198" s="96"/>
      <c r="C198" s="96"/>
      <c r="D198" s="17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</row>
    <row r="199">
      <c r="A199" s="96"/>
      <c r="B199" s="96"/>
      <c r="C199" s="96"/>
      <c r="D199" s="17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</row>
    <row r="200">
      <c r="A200" s="96"/>
      <c r="B200" s="96"/>
      <c r="C200" s="96"/>
      <c r="D200" s="17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</row>
    <row r="201">
      <c r="A201" s="96"/>
      <c r="B201" s="96"/>
      <c r="C201" s="96"/>
      <c r="D201" s="17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</row>
    <row r="202">
      <c r="A202" s="96"/>
      <c r="B202" s="96"/>
      <c r="C202" s="96"/>
      <c r="D202" s="17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</row>
    <row r="203">
      <c r="A203" s="96"/>
      <c r="B203" s="96"/>
      <c r="C203" s="96"/>
      <c r="D203" s="17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</row>
    <row r="204">
      <c r="A204" s="96"/>
      <c r="B204" s="96"/>
      <c r="C204" s="96"/>
      <c r="D204" s="17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</row>
    <row r="205">
      <c r="A205" s="96"/>
      <c r="B205" s="96"/>
      <c r="C205" s="96"/>
      <c r="D205" s="17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</row>
    <row r="206">
      <c r="A206" s="96"/>
      <c r="B206" s="96"/>
      <c r="C206" s="96"/>
      <c r="D206" s="17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</row>
    <row r="207">
      <c r="A207" s="96"/>
      <c r="B207" s="96"/>
      <c r="C207" s="96"/>
      <c r="D207" s="17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</row>
    <row r="208">
      <c r="A208" s="96"/>
      <c r="B208" s="96"/>
      <c r="C208" s="96"/>
      <c r="D208" s="17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</row>
    <row r="209">
      <c r="A209" s="96"/>
      <c r="B209" s="96"/>
      <c r="C209" s="96"/>
      <c r="D209" s="17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</row>
    <row r="210">
      <c r="A210" s="96"/>
      <c r="B210" s="96"/>
      <c r="C210" s="96"/>
      <c r="D210" s="17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</row>
    <row r="211">
      <c r="A211" s="96"/>
      <c r="B211" s="96"/>
      <c r="C211" s="96"/>
      <c r="D211" s="17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</row>
    <row r="212">
      <c r="A212" s="96"/>
      <c r="B212" s="96"/>
      <c r="C212" s="96"/>
      <c r="D212" s="17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</row>
    <row r="213">
      <c r="A213" s="96"/>
      <c r="B213" s="96"/>
      <c r="C213" s="96"/>
      <c r="D213" s="17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</row>
    <row r="214">
      <c r="A214" s="96"/>
      <c r="B214" s="96"/>
      <c r="C214" s="96"/>
      <c r="D214" s="17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</row>
    <row r="215">
      <c r="A215" s="96"/>
      <c r="B215" s="96"/>
      <c r="C215" s="96"/>
      <c r="D215" s="17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</row>
    <row r="216">
      <c r="A216" s="96"/>
      <c r="B216" s="96"/>
      <c r="C216" s="96"/>
      <c r="D216" s="17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</row>
    <row r="217">
      <c r="A217" s="96"/>
      <c r="B217" s="96"/>
      <c r="C217" s="96"/>
      <c r="D217" s="17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</row>
    <row r="218">
      <c r="A218" s="96"/>
      <c r="B218" s="96"/>
      <c r="C218" s="96"/>
      <c r="D218" s="17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</row>
    <row r="219">
      <c r="A219" s="96"/>
      <c r="B219" s="96"/>
      <c r="C219" s="96"/>
      <c r="D219" s="17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</row>
    <row r="220">
      <c r="A220" s="96"/>
      <c r="B220" s="96"/>
      <c r="C220" s="96"/>
      <c r="D220" s="17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</row>
    <row r="221">
      <c r="A221" s="96"/>
      <c r="B221" s="96"/>
      <c r="C221" s="96"/>
      <c r="D221" s="17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</row>
    <row r="222">
      <c r="A222" s="96"/>
      <c r="B222" s="96"/>
      <c r="C222" s="96"/>
      <c r="D222" s="17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</row>
    <row r="223">
      <c r="A223" s="96"/>
      <c r="B223" s="96"/>
      <c r="C223" s="96"/>
      <c r="D223" s="17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</row>
    <row r="224">
      <c r="A224" s="96"/>
      <c r="B224" s="96"/>
      <c r="C224" s="96"/>
      <c r="D224" s="17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</row>
    <row r="225">
      <c r="A225" s="96"/>
      <c r="B225" s="96"/>
      <c r="C225" s="96"/>
      <c r="D225" s="17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</row>
    <row r="226">
      <c r="A226" s="96"/>
      <c r="B226" s="96"/>
      <c r="C226" s="96"/>
      <c r="D226" s="17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</row>
    <row r="227">
      <c r="A227" s="96"/>
      <c r="B227" s="96"/>
      <c r="C227" s="96"/>
      <c r="D227" s="17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</row>
    <row r="228">
      <c r="A228" s="96"/>
      <c r="B228" s="96"/>
      <c r="C228" s="96"/>
      <c r="D228" s="17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</row>
    <row r="229">
      <c r="A229" s="96"/>
      <c r="B229" s="96"/>
      <c r="C229" s="96"/>
      <c r="D229" s="17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</row>
    <row r="230">
      <c r="A230" s="96"/>
      <c r="B230" s="96"/>
      <c r="C230" s="96"/>
      <c r="D230" s="17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</row>
    <row r="231">
      <c r="A231" s="96"/>
      <c r="B231" s="96"/>
      <c r="C231" s="96"/>
      <c r="D231" s="17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</row>
    <row r="232">
      <c r="A232" s="96"/>
      <c r="B232" s="96"/>
      <c r="C232" s="96"/>
      <c r="D232" s="17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</row>
    <row r="233">
      <c r="A233" s="96"/>
      <c r="B233" s="96"/>
      <c r="C233" s="96"/>
      <c r="D233" s="17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</row>
    <row r="234">
      <c r="A234" s="96"/>
      <c r="B234" s="96"/>
      <c r="C234" s="96"/>
      <c r="D234" s="17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</row>
    <row r="235">
      <c r="A235" s="96"/>
      <c r="B235" s="96"/>
      <c r="C235" s="96"/>
      <c r="D235" s="17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</row>
    <row r="236">
      <c r="A236" s="96"/>
      <c r="B236" s="96"/>
      <c r="C236" s="96"/>
      <c r="D236" s="17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</row>
    <row r="237">
      <c r="A237" s="96"/>
      <c r="B237" s="96"/>
      <c r="C237" s="96"/>
      <c r="D237" s="17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</row>
    <row r="238">
      <c r="A238" s="96"/>
      <c r="B238" s="96"/>
      <c r="C238" s="96"/>
      <c r="D238" s="177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</row>
    <row r="239">
      <c r="A239" s="96"/>
      <c r="B239" s="96"/>
      <c r="C239" s="96"/>
      <c r="D239" s="177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</row>
    <row r="240">
      <c r="A240" s="96"/>
      <c r="B240" s="96"/>
      <c r="C240" s="96"/>
      <c r="D240" s="177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</row>
    <row r="241">
      <c r="A241" s="96"/>
      <c r="B241" s="96"/>
      <c r="C241" s="96"/>
      <c r="D241" s="177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</row>
    <row r="242">
      <c r="A242" s="96"/>
      <c r="B242" s="96"/>
      <c r="C242" s="96"/>
      <c r="D242" s="177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</row>
    <row r="243">
      <c r="A243" s="96"/>
      <c r="B243" s="96"/>
      <c r="C243" s="96"/>
      <c r="D243" s="177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</row>
    <row r="244">
      <c r="A244" s="96"/>
      <c r="B244" s="96"/>
      <c r="C244" s="96"/>
      <c r="D244" s="177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</row>
    <row r="245">
      <c r="A245" s="96"/>
      <c r="B245" s="96"/>
      <c r="C245" s="96"/>
      <c r="D245" s="177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</row>
    <row r="246">
      <c r="A246" s="96"/>
      <c r="B246" s="96"/>
      <c r="C246" s="96"/>
      <c r="D246" s="177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</row>
    <row r="247">
      <c r="A247" s="96"/>
      <c r="B247" s="96"/>
      <c r="C247" s="96"/>
      <c r="D247" s="177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</row>
    <row r="248">
      <c r="A248" s="96"/>
      <c r="B248" s="96"/>
      <c r="C248" s="96"/>
      <c r="D248" s="177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</row>
    <row r="249">
      <c r="A249" s="96"/>
      <c r="B249" s="96"/>
      <c r="C249" s="96"/>
      <c r="D249" s="177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</row>
    <row r="250">
      <c r="A250" s="96"/>
      <c r="B250" s="96"/>
      <c r="C250" s="96"/>
      <c r="D250" s="177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</row>
    <row r="251">
      <c r="A251" s="96"/>
      <c r="B251" s="96"/>
      <c r="C251" s="96"/>
      <c r="D251" s="177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</row>
    <row r="252">
      <c r="A252" s="96"/>
      <c r="B252" s="96"/>
      <c r="C252" s="96"/>
      <c r="D252" s="177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</row>
    <row r="253">
      <c r="A253" s="96"/>
      <c r="B253" s="96"/>
      <c r="C253" s="96"/>
      <c r="D253" s="177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</row>
    <row r="254">
      <c r="A254" s="96"/>
      <c r="B254" s="96"/>
      <c r="C254" s="96"/>
      <c r="D254" s="177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</row>
    <row r="255">
      <c r="A255" s="96"/>
      <c r="B255" s="96"/>
      <c r="C255" s="96"/>
      <c r="D255" s="177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</row>
    <row r="256">
      <c r="A256" s="96"/>
      <c r="B256" s="96"/>
      <c r="C256" s="96"/>
      <c r="D256" s="177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</row>
    <row r="257">
      <c r="A257" s="96"/>
      <c r="B257" s="96"/>
      <c r="C257" s="96"/>
      <c r="D257" s="177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</row>
    <row r="258">
      <c r="A258" s="96"/>
      <c r="B258" s="96"/>
      <c r="C258" s="96"/>
      <c r="D258" s="177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</row>
    <row r="259">
      <c r="A259" s="96"/>
      <c r="B259" s="96"/>
      <c r="C259" s="96"/>
      <c r="D259" s="177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</row>
    <row r="260">
      <c r="A260" s="96"/>
      <c r="B260" s="96"/>
      <c r="C260" s="96"/>
      <c r="D260" s="177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</row>
    <row r="261">
      <c r="A261" s="96"/>
      <c r="B261" s="96"/>
      <c r="C261" s="96"/>
      <c r="D261" s="177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</row>
    <row r="262">
      <c r="A262" s="96"/>
      <c r="B262" s="96"/>
      <c r="C262" s="96"/>
      <c r="D262" s="177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</row>
    <row r="263">
      <c r="A263" s="96"/>
      <c r="B263" s="96"/>
      <c r="C263" s="96"/>
      <c r="D263" s="177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</row>
    <row r="264">
      <c r="A264" s="96"/>
      <c r="B264" s="96"/>
      <c r="C264" s="96"/>
      <c r="D264" s="177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</row>
    <row r="265">
      <c r="A265" s="96"/>
      <c r="B265" s="96"/>
      <c r="C265" s="96"/>
      <c r="D265" s="177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</row>
    <row r="266">
      <c r="A266" s="96"/>
      <c r="B266" s="96"/>
      <c r="C266" s="96"/>
      <c r="D266" s="177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</row>
    <row r="267">
      <c r="A267" s="96"/>
      <c r="B267" s="96"/>
      <c r="C267" s="96"/>
      <c r="D267" s="177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</row>
    <row r="268">
      <c r="A268" s="96"/>
      <c r="B268" s="96"/>
      <c r="C268" s="96"/>
      <c r="D268" s="177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</row>
    <row r="269">
      <c r="A269" s="96"/>
      <c r="B269" s="96"/>
      <c r="C269" s="96"/>
      <c r="D269" s="177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</row>
    <row r="270">
      <c r="A270" s="96"/>
      <c r="B270" s="96"/>
      <c r="C270" s="96"/>
      <c r="D270" s="177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</row>
    <row r="271">
      <c r="A271" s="96"/>
      <c r="B271" s="96"/>
      <c r="C271" s="96"/>
      <c r="D271" s="177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</row>
    <row r="272">
      <c r="A272" s="96"/>
      <c r="B272" s="96"/>
      <c r="C272" s="96"/>
      <c r="D272" s="177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</row>
    <row r="273">
      <c r="A273" s="96"/>
      <c r="B273" s="96"/>
      <c r="C273" s="96"/>
      <c r="D273" s="177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</row>
    <row r="274">
      <c r="A274" s="96"/>
      <c r="B274" s="96"/>
      <c r="C274" s="96"/>
      <c r="D274" s="177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</row>
    <row r="275">
      <c r="A275" s="96"/>
      <c r="B275" s="96"/>
      <c r="C275" s="96"/>
      <c r="D275" s="177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</row>
    <row r="276">
      <c r="A276" s="96"/>
      <c r="B276" s="96"/>
      <c r="C276" s="96"/>
      <c r="D276" s="177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</row>
    <row r="277">
      <c r="A277" s="96"/>
      <c r="B277" s="96"/>
      <c r="C277" s="96"/>
      <c r="D277" s="177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</row>
    <row r="278">
      <c r="A278" s="96"/>
      <c r="B278" s="96"/>
      <c r="C278" s="96"/>
      <c r="D278" s="177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</row>
    <row r="279">
      <c r="A279" s="96"/>
      <c r="B279" s="96"/>
      <c r="C279" s="96"/>
      <c r="D279" s="177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</row>
    <row r="280">
      <c r="A280" s="96"/>
      <c r="B280" s="96"/>
      <c r="C280" s="96"/>
      <c r="D280" s="177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</row>
    <row r="281">
      <c r="A281" s="96"/>
      <c r="B281" s="96"/>
      <c r="C281" s="96"/>
      <c r="D281" s="177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</row>
    <row r="282">
      <c r="A282" s="96"/>
      <c r="B282" s="96"/>
      <c r="C282" s="96"/>
      <c r="D282" s="177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</row>
    <row r="283">
      <c r="A283" s="96"/>
      <c r="B283" s="96"/>
      <c r="C283" s="96"/>
      <c r="D283" s="177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</row>
    <row r="284">
      <c r="A284" s="96"/>
      <c r="B284" s="96"/>
      <c r="C284" s="96"/>
      <c r="D284" s="177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</row>
    <row r="285">
      <c r="A285" s="96"/>
      <c r="B285" s="96"/>
      <c r="C285" s="96"/>
      <c r="D285" s="177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</row>
    <row r="286">
      <c r="A286" s="96"/>
      <c r="B286" s="96"/>
      <c r="C286" s="96"/>
      <c r="D286" s="177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</row>
    <row r="287">
      <c r="A287" s="96"/>
      <c r="B287" s="96"/>
      <c r="C287" s="96"/>
      <c r="D287" s="177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</row>
    <row r="288">
      <c r="A288" s="96"/>
      <c r="B288" s="96"/>
      <c r="C288" s="96"/>
      <c r="D288" s="177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</row>
    <row r="289">
      <c r="A289" s="96"/>
      <c r="B289" s="96"/>
      <c r="C289" s="96"/>
      <c r="D289" s="177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</row>
    <row r="290">
      <c r="A290" s="96"/>
      <c r="B290" s="96"/>
      <c r="C290" s="96"/>
      <c r="D290" s="177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</row>
    <row r="291">
      <c r="A291" s="96"/>
      <c r="B291" s="96"/>
      <c r="C291" s="96"/>
      <c r="D291" s="177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</row>
    <row r="292">
      <c r="A292" s="96"/>
      <c r="B292" s="96"/>
      <c r="C292" s="96"/>
      <c r="D292" s="177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</row>
    <row r="293">
      <c r="A293" s="96"/>
      <c r="B293" s="96"/>
      <c r="C293" s="96"/>
      <c r="D293" s="177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</row>
    <row r="294">
      <c r="A294" s="96"/>
      <c r="B294" s="96"/>
      <c r="C294" s="96"/>
      <c r="D294" s="177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</row>
    <row r="295">
      <c r="A295" s="96"/>
      <c r="B295" s="96"/>
      <c r="C295" s="96"/>
      <c r="D295" s="177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</row>
    <row r="296">
      <c r="A296" s="96"/>
      <c r="B296" s="96"/>
      <c r="C296" s="96"/>
      <c r="D296" s="177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</row>
    <row r="297">
      <c r="A297" s="96"/>
      <c r="B297" s="96"/>
      <c r="C297" s="96"/>
      <c r="D297" s="177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</row>
    <row r="298">
      <c r="A298" s="96"/>
      <c r="B298" s="96"/>
      <c r="C298" s="96"/>
      <c r="D298" s="177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</row>
    <row r="299">
      <c r="A299" s="96"/>
      <c r="B299" s="96"/>
      <c r="C299" s="96"/>
      <c r="D299" s="177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</row>
    <row r="300">
      <c r="A300" s="96"/>
      <c r="B300" s="96"/>
      <c r="C300" s="96"/>
      <c r="D300" s="177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</row>
    <row r="301">
      <c r="A301" s="96"/>
      <c r="B301" s="96"/>
      <c r="C301" s="96"/>
      <c r="D301" s="177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</row>
    <row r="302">
      <c r="A302" s="96"/>
      <c r="B302" s="96"/>
      <c r="C302" s="96"/>
      <c r="D302" s="177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</row>
    <row r="303">
      <c r="A303" s="96"/>
      <c r="B303" s="96"/>
      <c r="C303" s="96"/>
      <c r="D303" s="177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</row>
    <row r="304">
      <c r="A304" s="96"/>
      <c r="B304" s="96"/>
      <c r="C304" s="96"/>
      <c r="D304" s="177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</row>
    <row r="305">
      <c r="A305" s="96"/>
      <c r="B305" s="96"/>
      <c r="C305" s="96"/>
      <c r="D305" s="177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</row>
    <row r="306">
      <c r="A306" s="96"/>
      <c r="B306" s="96"/>
      <c r="C306" s="96"/>
      <c r="D306" s="177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</row>
    <row r="307">
      <c r="A307" s="96"/>
      <c r="B307" s="96"/>
      <c r="C307" s="96"/>
      <c r="D307" s="177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</row>
    <row r="308">
      <c r="A308" s="96"/>
      <c r="B308" s="96"/>
      <c r="C308" s="96"/>
      <c r="D308" s="177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</row>
    <row r="309">
      <c r="A309" s="96"/>
      <c r="B309" s="96"/>
      <c r="C309" s="96"/>
      <c r="D309" s="177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</row>
    <row r="310">
      <c r="A310" s="96"/>
      <c r="B310" s="96"/>
      <c r="C310" s="96"/>
      <c r="D310" s="177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</row>
    <row r="311">
      <c r="A311" s="96"/>
      <c r="B311" s="96"/>
      <c r="C311" s="96"/>
      <c r="D311" s="177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</row>
    <row r="312">
      <c r="A312" s="96"/>
      <c r="B312" s="96"/>
      <c r="C312" s="96"/>
      <c r="D312" s="177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</row>
    <row r="313">
      <c r="A313" s="96"/>
      <c r="B313" s="96"/>
      <c r="C313" s="96"/>
      <c r="D313" s="177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</row>
    <row r="314">
      <c r="A314" s="96"/>
      <c r="B314" s="96"/>
      <c r="C314" s="96"/>
      <c r="D314" s="177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</row>
    <row r="315">
      <c r="A315" s="96"/>
      <c r="B315" s="96"/>
      <c r="C315" s="96"/>
      <c r="D315" s="177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</row>
    <row r="316">
      <c r="A316" s="96"/>
      <c r="B316" s="96"/>
      <c r="C316" s="96"/>
      <c r="D316" s="177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</row>
    <row r="317">
      <c r="A317" s="96"/>
      <c r="B317" s="96"/>
      <c r="C317" s="96"/>
      <c r="D317" s="177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</row>
    <row r="318">
      <c r="A318" s="96"/>
      <c r="B318" s="96"/>
      <c r="C318" s="96"/>
      <c r="D318" s="177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</row>
    <row r="319">
      <c r="A319" s="96"/>
      <c r="B319" s="96"/>
      <c r="C319" s="96"/>
      <c r="D319" s="177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</row>
    <row r="320">
      <c r="A320" s="96"/>
      <c r="B320" s="96"/>
      <c r="C320" s="96"/>
      <c r="D320" s="177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</row>
    <row r="321">
      <c r="A321" s="96"/>
      <c r="B321" s="96"/>
      <c r="C321" s="96"/>
      <c r="D321" s="177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</row>
    <row r="322">
      <c r="A322" s="96"/>
      <c r="B322" s="96"/>
      <c r="C322" s="96"/>
      <c r="D322" s="177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</row>
    <row r="323">
      <c r="A323" s="96"/>
      <c r="B323" s="96"/>
      <c r="C323" s="96"/>
      <c r="D323" s="177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</row>
    <row r="324">
      <c r="A324" s="96"/>
      <c r="B324" s="96"/>
      <c r="C324" s="96"/>
      <c r="D324" s="177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</row>
    <row r="325">
      <c r="A325" s="96"/>
      <c r="B325" s="96"/>
      <c r="C325" s="96"/>
      <c r="D325" s="177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</row>
    <row r="326">
      <c r="A326" s="96"/>
      <c r="B326" s="96"/>
      <c r="C326" s="96"/>
      <c r="D326" s="177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</row>
    <row r="327">
      <c r="A327" s="96"/>
      <c r="B327" s="96"/>
      <c r="C327" s="96"/>
      <c r="D327" s="177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</row>
    <row r="328">
      <c r="A328" s="96"/>
      <c r="B328" s="96"/>
      <c r="C328" s="96"/>
      <c r="D328" s="177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</row>
    <row r="329">
      <c r="A329" s="96"/>
      <c r="B329" s="96"/>
      <c r="C329" s="96"/>
      <c r="D329" s="177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</row>
    <row r="330">
      <c r="A330" s="96"/>
      <c r="B330" s="96"/>
      <c r="C330" s="96"/>
      <c r="D330" s="177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</row>
    <row r="331">
      <c r="A331" s="96"/>
      <c r="B331" s="96"/>
      <c r="C331" s="96"/>
      <c r="D331" s="177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</row>
    <row r="332">
      <c r="A332" s="96"/>
      <c r="B332" s="96"/>
      <c r="C332" s="96"/>
      <c r="D332" s="177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</row>
    <row r="333">
      <c r="A333" s="96"/>
      <c r="B333" s="96"/>
      <c r="C333" s="96"/>
      <c r="D333" s="177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</row>
    <row r="334">
      <c r="A334" s="96"/>
      <c r="B334" s="96"/>
      <c r="C334" s="96"/>
      <c r="D334" s="177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</row>
    <row r="335">
      <c r="A335" s="96"/>
      <c r="B335" s="96"/>
      <c r="C335" s="96"/>
      <c r="D335" s="177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</row>
    <row r="336">
      <c r="A336" s="96"/>
      <c r="B336" s="96"/>
      <c r="C336" s="96"/>
      <c r="D336" s="177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</row>
    <row r="337">
      <c r="A337" s="96"/>
      <c r="B337" s="96"/>
      <c r="C337" s="96"/>
      <c r="D337" s="177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</row>
    <row r="338">
      <c r="A338" s="96"/>
      <c r="B338" s="96"/>
      <c r="C338" s="96"/>
      <c r="D338" s="177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</row>
    <row r="339">
      <c r="A339" s="96"/>
      <c r="B339" s="96"/>
      <c r="C339" s="96"/>
      <c r="D339" s="177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</row>
    <row r="340">
      <c r="A340" s="96"/>
      <c r="B340" s="96"/>
      <c r="C340" s="96"/>
      <c r="D340" s="177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</row>
    <row r="341">
      <c r="A341" s="96"/>
      <c r="B341" s="96"/>
      <c r="C341" s="96"/>
      <c r="D341" s="177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</row>
    <row r="342">
      <c r="A342" s="96"/>
      <c r="B342" s="96"/>
      <c r="C342" s="96"/>
      <c r="D342" s="177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</row>
    <row r="343">
      <c r="A343" s="96"/>
      <c r="B343" s="96"/>
      <c r="C343" s="96"/>
      <c r="D343" s="177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</row>
    <row r="344">
      <c r="A344" s="96"/>
      <c r="B344" s="96"/>
      <c r="C344" s="96"/>
      <c r="D344" s="177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</row>
    <row r="345">
      <c r="A345" s="96"/>
      <c r="B345" s="96"/>
      <c r="C345" s="96"/>
      <c r="D345" s="177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</row>
    <row r="346">
      <c r="A346" s="96"/>
      <c r="B346" s="96"/>
      <c r="C346" s="96"/>
      <c r="D346" s="177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</row>
    <row r="347">
      <c r="A347" s="96"/>
      <c r="B347" s="96"/>
      <c r="C347" s="96"/>
      <c r="D347" s="177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</row>
    <row r="348">
      <c r="A348" s="96"/>
      <c r="B348" s="96"/>
      <c r="C348" s="96"/>
      <c r="D348" s="177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</row>
    <row r="349">
      <c r="A349" s="96"/>
      <c r="B349" s="96"/>
      <c r="C349" s="96"/>
      <c r="D349" s="177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</row>
    <row r="350">
      <c r="A350" s="96"/>
      <c r="B350" s="96"/>
      <c r="C350" s="96"/>
      <c r="D350" s="177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</row>
    <row r="351">
      <c r="A351" s="96"/>
      <c r="B351" s="96"/>
      <c r="C351" s="96"/>
      <c r="D351" s="177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</row>
    <row r="352">
      <c r="A352" s="96"/>
      <c r="B352" s="96"/>
      <c r="C352" s="96"/>
      <c r="D352" s="177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</row>
    <row r="353">
      <c r="A353" s="96"/>
      <c r="B353" s="96"/>
      <c r="C353" s="96"/>
      <c r="D353" s="177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</row>
    <row r="354">
      <c r="A354" s="96"/>
      <c r="B354" s="96"/>
      <c r="C354" s="96"/>
      <c r="D354" s="177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</row>
    <row r="355">
      <c r="A355" s="96"/>
      <c r="B355" s="96"/>
      <c r="C355" s="96"/>
      <c r="D355" s="177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</row>
    <row r="356">
      <c r="A356" s="96"/>
      <c r="B356" s="96"/>
      <c r="C356" s="96"/>
      <c r="D356" s="177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</row>
    <row r="357">
      <c r="A357" s="96"/>
      <c r="B357" s="96"/>
      <c r="C357" s="96"/>
      <c r="D357" s="177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</row>
    <row r="358">
      <c r="A358" s="96"/>
      <c r="B358" s="96"/>
      <c r="C358" s="96"/>
      <c r="D358" s="177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</row>
    <row r="359">
      <c r="A359" s="96"/>
      <c r="B359" s="96"/>
      <c r="C359" s="96"/>
      <c r="D359" s="177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</row>
    <row r="360">
      <c r="A360" s="96"/>
      <c r="B360" s="96"/>
      <c r="C360" s="96"/>
      <c r="D360" s="177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</row>
    <row r="361">
      <c r="A361" s="96"/>
      <c r="B361" s="96"/>
      <c r="C361" s="96"/>
      <c r="D361" s="177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</row>
    <row r="362">
      <c r="A362" s="96"/>
      <c r="B362" s="96"/>
      <c r="C362" s="96"/>
      <c r="D362" s="177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</row>
    <row r="363">
      <c r="A363" s="96"/>
      <c r="B363" s="96"/>
      <c r="C363" s="96"/>
      <c r="D363" s="177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</row>
    <row r="364">
      <c r="A364" s="96"/>
      <c r="B364" s="96"/>
      <c r="C364" s="96"/>
      <c r="D364" s="177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</row>
    <row r="365">
      <c r="A365" s="96"/>
      <c r="B365" s="96"/>
      <c r="C365" s="96"/>
      <c r="D365" s="177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</row>
    <row r="366">
      <c r="A366" s="96"/>
      <c r="B366" s="96"/>
      <c r="C366" s="96"/>
      <c r="D366" s="177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</row>
    <row r="367">
      <c r="A367" s="96"/>
      <c r="B367" s="96"/>
      <c r="C367" s="96"/>
      <c r="D367" s="177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</row>
    <row r="368">
      <c r="A368" s="96"/>
      <c r="B368" s="96"/>
      <c r="C368" s="96"/>
      <c r="D368" s="177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</row>
    <row r="369">
      <c r="A369" s="96"/>
      <c r="B369" s="96"/>
      <c r="C369" s="96"/>
      <c r="D369" s="177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</row>
    <row r="370">
      <c r="A370" s="96"/>
      <c r="B370" s="96"/>
      <c r="C370" s="96"/>
      <c r="D370" s="177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</row>
    <row r="371">
      <c r="A371" s="96"/>
      <c r="B371" s="96"/>
      <c r="C371" s="96"/>
      <c r="D371" s="177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</row>
    <row r="372">
      <c r="A372" s="96"/>
      <c r="B372" s="96"/>
      <c r="C372" s="96"/>
      <c r="D372" s="177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</row>
    <row r="373">
      <c r="A373" s="96"/>
      <c r="B373" s="96"/>
      <c r="C373" s="96"/>
      <c r="D373" s="177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</row>
    <row r="374">
      <c r="A374" s="96"/>
      <c r="B374" s="96"/>
      <c r="C374" s="96"/>
      <c r="D374" s="177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</row>
    <row r="375">
      <c r="A375" s="96"/>
      <c r="B375" s="96"/>
      <c r="C375" s="96"/>
      <c r="D375" s="177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</row>
    <row r="376">
      <c r="A376" s="96"/>
      <c r="B376" s="96"/>
      <c r="C376" s="96"/>
      <c r="D376" s="177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</row>
    <row r="377">
      <c r="A377" s="96"/>
      <c r="B377" s="96"/>
      <c r="C377" s="96"/>
      <c r="D377" s="177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</row>
    <row r="378">
      <c r="A378" s="96"/>
      <c r="B378" s="96"/>
      <c r="C378" s="96"/>
      <c r="D378" s="177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</row>
    <row r="379">
      <c r="A379" s="96"/>
      <c r="B379" s="96"/>
      <c r="C379" s="96"/>
      <c r="D379" s="177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</row>
    <row r="380">
      <c r="A380" s="96"/>
      <c r="B380" s="96"/>
      <c r="C380" s="96"/>
      <c r="D380" s="177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</row>
    <row r="381">
      <c r="A381" s="96"/>
      <c r="B381" s="96"/>
      <c r="C381" s="96"/>
      <c r="D381" s="177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</row>
    <row r="382">
      <c r="A382" s="96"/>
      <c r="B382" s="96"/>
      <c r="C382" s="96"/>
      <c r="D382" s="177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</row>
    <row r="383">
      <c r="A383" s="96"/>
      <c r="B383" s="96"/>
      <c r="C383" s="96"/>
      <c r="D383" s="177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</row>
    <row r="384">
      <c r="A384" s="96"/>
      <c r="B384" s="96"/>
      <c r="C384" s="96"/>
      <c r="D384" s="177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</row>
    <row r="385">
      <c r="A385" s="96"/>
      <c r="B385" s="96"/>
      <c r="C385" s="96"/>
      <c r="D385" s="177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</row>
    <row r="386">
      <c r="A386" s="96"/>
      <c r="B386" s="96"/>
      <c r="C386" s="96"/>
      <c r="D386" s="177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</row>
    <row r="387">
      <c r="A387" s="96"/>
      <c r="B387" s="96"/>
      <c r="C387" s="96"/>
      <c r="D387" s="177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</row>
    <row r="388">
      <c r="A388" s="96"/>
      <c r="B388" s="96"/>
      <c r="C388" s="96"/>
      <c r="D388" s="177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</row>
    <row r="389">
      <c r="A389" s="96"/>
      <c r="B389" s="96"/>
      <c r="C389" s="96"/>
      <c r="D389" s="177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</row>
    <row r="390">
      <c r="A390" s="96"/>
      <c r="B390" s="96"/>
      <c r="C390" s="96"/>
      <c r="D390" s="177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</row>
    <row r="391">
      <c r="A391" s="96"/>
      <c r="B391" s="96"/>
      <c r="C391" s="96"/>
      <c r="D391" s="177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</row>
    <row r="392">
      <c r="A392" s="96"/>
      <c r="B392" s="96"/>
      <c r="C392" s="96"/>
      <c r="D392" s="177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</row>
    <row r="393">
      <c r="A393" s="96"/>
      <c r="B393" s="96"/>
      <c r="C393" s="96"/>
      <c r="D393" s="177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</row>
    <row r="394">
      <c r="A394" s="96"/>
      <c r="B394" s="96"/>
      <c r="C394" s="96"/>
      <c r="D394" s="177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</row>
    <row r="395">
      <c r="A395" s="96"/>
      <c r="B395" s="96"/>
      <c r="C395" s="96"/>
      <c r="D395" s="177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</row>
    <row r="396">
      <c r="A396" s="96"/>
      <c r="B396" s="96"/>
      <c r="C396" s="96"/>
      <c r="D396" s="177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</row>
    <row r="397">
      <c r="A397" s="96"/>
      <c r="B397" s="96"/>
      <c r="C397" s="96"/>
      <c r="D397" s="177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</row>
    <row r="398">
      <c r="A398" s="96"/>
      <c r="B398" s="96"/>
      <c r="C398" s="96"/>
      <c r="D398" s="177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</row>
    <row r="399">
      <c r="A399" s="96"/>
      <c r="B399" s="96"/>
      <c r="C399" s="96"/>
      <c r="D399" s="177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</row>
    <row r="400">
      <c r="A400" s="96"/>
      <c r="B400" s="96"/>
      <c r="C400" s="96"/>
      <c r="D400" s="177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</row>
    <row r="401">
      <c r="A401" s="96"/>
      <c r="B401" s="96"/>
      <c r="C401" s="96"/>
      <c r="D401" s="177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</row>
    <row r="402">
      <c r="A402" s="96"/>
      <c r="B402" s="96"/>
      <c r="C402" s="96"/>
      <c r="D402" s="177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</row>
    <row r="403">
      <c r="A403" s="96"/>
      <c r="B403" s="96"/>
      <c r="C403" s="96"/>
      <c r="D403" s="177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</row>
    <row r="404">
      <c r="A404" s="96"/>
      <c r="B404" s="96"/>
      <c r="C404" s="96"/>
      <c r="D404" s="177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</row>
    <row r="405">
      <c r="A405" s="96"/>
      <c r="B405" s="96"/>
      <c r="C405" s="96"/>
      <c r="D405" s="177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</row>
    <row r="406">
      <c r="A406" s="96"/>
      <c r="B406" s="96"/>
      <c r="C406" s="96"/>
      <c r="D406" s="177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</row>
    <row r="407">
      <c r="A407" s="96"/>
      <c r="B407" s="96"/>
      <c r="C407" s="96"/>
      <c r="D407" s="177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</row>
    <row r="408">
      <c r="A408" s="96"/>
      <c r="B408" s="96"/>
      <c r="C408" s="96"/>
      <c r="D408" s="177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</row>
    <row r="409">
      <c r="A409" s="96"/>
      <c r="B409" s="96"/>
      <c r="C409" s="96"/>
      <c r="D409" s="177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</row>
    <row r="410">
      <c r="A410" s="96"/>
      <c r="B410" s="96"/>
      <c r="C410" s="96"/>
      <c r="D410" s="177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</row>
    <row r="411">
      <c r="A411" s="96"/>
      <c r="B411" s="96"/>
      <c r="C411" s="96"/>
      <c r="D411" s="177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</row>
    <row r="412">
      <c r="A412" s="96"/>
      <c r="B412" s="96"/>
      <c r="C412" s="96"/>
      <c r="D412" s="177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</row>
    <row r="413">
      <c r="A413" s="96"/>
      <c r="B413" s="96"/>
      <c r="C413" s="96"/>
      <c r="D413" s="177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</row>
    <row r="414">
      <c r="A414" s="96"/>
      <c r="B414" s="96"/>
      <c r="C414" s="96"/>
      <c r="D414" s="177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</row>
    <row r="415">
      <c r="A415" s="96"/>
      <c r="B415" s="96"/>
      <c r="C415" s="96"/>
      <c r="D415" s="177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</row>
    <row r="416">
      <c r="A416" s="96"/>
      <c r="B416" s="96"/>
      <c r="C416" s="96"/>
      <c r="D416" s="177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</row>
    <row r="417">
      <c r="A417" s="96"/>
      <c r="B417" s="96"/>
      <c r="C417" s="96"/>
      <c r="D417" s="177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</row>
    <row r="418">
      <c r="A418" s="96"/>
      <c r="B418" s="96"/>
      <c r="C418" s="96"/>
      <c r="D418" s="177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</row>
    <row r="419">
      <c r="A419" s="96"/>
      <c r="B419" s="96"/>
      <c r="C419" s="96"/>
      <c r="D419" s="177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</row>
    <row r="420">
      <c r="A420" s="96"/>
      <c r="B420" s="96"/>
      <c r="C420" s="96"/>
      <c r="D420" s="177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</row>
    <row r="421">
      <c r="A421" s="96"/>
      <c r="B421" s="96"/>
      <c r="C421" s="96"/>
      <c r="D421" s="177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</row>
    <row r="422">
      <c r="A422" s="96"/>
      <c r="B422" s="96"/>
      <c r="C422" s="96"/>
      <c r="D422" s="177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</row>
    <row r="423">
      <c r="A423" s="96"/>
      <c r="B423" s="96"/>
      <c r="C423" s="96"/>
      <c r="D423" s="177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</row>
    <row r="424">
      <c r="A424" s="96"/>
      <c r="B424" s="96"/>
      <c r="C424" s="96"/>
      <c r="D424" s="177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</row>
    <row r="425">
      <c r="A425" s="96"/>
      <c r="B425" s="96"/>
      <c r="C425" s="96"/>
      <c r="D425" s="177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</row>
    <row r="426">
      <c r="A426" s="96"/>
      <c r="B426" s="96"/>
      <c r="C426" s="96"/>
      <c r="D426" s="177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</row>
    <row r="427">
      <c r="A427" s="96"/>
      <c r="B427" s="96"/>
      <c r="C427" s="96"/>
      <c r="D427" s="177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</row>
    <row r="428">
      <c r="A428" s="96"/>
      <c r="B428" s="96"/>
      <c r="C428" s="96"/>
      <c r="D428" s="177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</row>
    <row r="429">
      <c r="A429" s="96"/>
      <c r="B429" s="96"/>
      <c r="C429" s="96"/>
      <c r="D429" s="177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</row>
    <row r="430">
      <c r="A430" s="96"/>
      <c r="B430" s="96"/>
      <c r="C430" s="96"/>
      <c r="D430" s="177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</row>
    <row r="431">
      <c r="A431" s="96"/>
      <c r="B431" s="96"/>
      <c r="C431" s="96"/>
      <c r="D431" s="177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</row>
    <row r="432">
      <c r="A432" s="96"/>
      <c r="B432" s="96"/>
      <c r="C432" s="96"/>
      <c r="D432" s="177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</row>
    <row r="433">
      <c r="A433" s="96"/>
      <c r="B433" s="96"/>
      <c r="C433" s="96"/>
      <c r="D433" s="177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</row>
    <row r="434">
      <c r="A434" s="96"/>
      <c r="B434" s="96"/>
      <c r="C434" s="96"/>
      <c r="D434" s="177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</row>
    <row r="435">
      <c r="A435" s="96"/>
      <c r="B435" s="96"/>
      <c r="C435" s="96"/>
      <c r="D435" s="177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</row>
    <row r="436">
      <c r="A436" s="96"/>
      <c r="B436" s="96"/>
      <c r="C436" s="96"/>
      <c r="D436" s="177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</row>
    <row r="437">
      <c r="A437" s="96"/>
      <c r="B437" s="96"/>
      <c r="C437" s="96"/>
      <c r="D437" s="177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</row>
    <row r="438">
      <c r="A438" s="96"/>
      <c r="B438" s="96"/>
      <c r="C438" s="96"/>
      <c r="D438" s="177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</row>
    <row r="439">
      <c r="A439" s="96"/>
      <c r="B439" s="96"/>
      <c r="C439" s="96"/>
      <c r="D439" s="177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</row>
    <row r="440">
      <c r="A440" s="96"/>
      <c r="B440" s="96"/>
      <c r="C440" s="96"/>
      <c r="D440" s="177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</row>
    <row r="441">
      <c r="A441" s="96"/>
      <c r="B441" s="96"/>
      <c r="C441" s="96"/>
      <c r="D441" s="177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</row>
    <row r="442">
      <c r="A442" s="96"/>
      <c r="B442" s="96"/>
      <c r="C442" s="96"/>
      <c r="D442" s="177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</row>
    <row r="443">
      <c r="A443" s="96"/>
      <c r="B443" s="96"/>
      <c r="C443" s="96"/>
      <c r="D443" s="177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</row>
    <row r="444">
      <c r="A444" s="96"/>
      <c r="B444" s="96"/>
      <c r="C444" s="96"/>
      <c r="D444" s="177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</row>
    <row r="445">
      <c r="A445" s="96"/>
      <c r="B445" s="96"/>
      <c r="C445" s="96"/>
      <c r="D445" s="177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</row>
    <row r="446">
      <c r="A446" s="96"/>
      <c r="B446" s="96"/>
      <c r="C446" s="96"/>
      <c r="D446" s="177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</row>
    <row r="447">
      <c r="A447" s="96"/>
      <c r="B447" s="96"/>
      <c r="C447" s="96"/>
      <c r="D447" s="177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</row>
    <row r="448">
      <c r="A448" s="96"/>
      <c r="B448" s="96"/>
      <c r="C448" s="96"/>
      <c r="D448" s="177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</row>
    <row r="449">
      <c r="A449" s="96"/>
      <c r="B449" s="96"/>
      <c r="C449" s="96"/>
      <c r="D449" s="177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</row>
    <row r="450">
      <c r="A450" s="96"/>
      <c r="B450" s="96"/>
      <c r="C450" s="96"/>
      <c r="D450" s="177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</row>
    <row r="451">
      <c r="A451" s="96"/>
      <c r="B451" s="96"/>
      <c r="C451" s="96"/>
      <c r="D451" s="177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</row>
    <row r="452">
      <c r="A452" s="96"/>
      <c r="B452" s="96"/>
      <c r="C452" s="96"/>
      <c r="D452" s="177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</row>
    <row r="453">
      <c r="A453" s="96"/>
      <c r="B453" s="96"/>
      <c r="C453" s="96"/>
      <c r="D453" s="177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</row>
    <row r="454">
      <c r="A454" s="96"/>
      <c r="B454" s="96"/>
      <c r="C454" s="96"/>
      <c r="D454" s="177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</row>
    <row r="455">
      <c r="A455" s="96"/>
      <c r="B455" s="96"/>
      <c r="C455" s="96"/>
      <c r="D455" s="177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</row>
    <row r="456">
      <c r="A456" s="96"/>
      <c r="B456" s="96"/>
      <c r="C456" s="96"/>
      <c r="D456" s="177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</row>
    <row r="457">
      <c r="A457" s="96"/>
      <c r="B457" s="96"/>
      <c r="C457" s="96"/>
      <c r="D457" s="177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</row>
    <row r="458">
      <c r="A458" s="96"/>
      <c r="B458" s="96"/>
      <c r="C458" s="96"/>
      <c r="D458" s="177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</row>
    <row r="459">
      <c r="A459" s="96"/>
      <c r="B459" s="96"/>
      <c r="C459" s="96"/>
      <c r="D459" s="177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</row>
    <row r="460">
      <c r="A460" s="96"/>
      <c r="B460" s="96"/>
      <c r="C460" s="96"/>
      <c r="D460" s="177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</row>
    <row r="461">
      <c r="A461" s="96"/>
      <c r="B461" s="96"/>
      <c r="C461" s="96"/>
      <c r="D461" s="177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</row>
    <row r="462">
      <c r="A462" s="96"/>
      <c r="B462" s="96"/>
      <c r="C462" s="96"/>
      <c r="D462" s="177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</row>
    <row r="463">
      <c r="A463" s="96"/>
      <c r="B463" s="96"/>
      <c r="C463" s="96"/>
      <c r="D463" s="177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</row>
    <row r="464">
      <c r="A464" s="96"/>
      <c r="B464" s="96"/>
      <c r="C464" s="96"/>
      <c r="D464" s="177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</row>
    <row r="465">
      <c r="A465" s="96"/>
      <c r="B465" s="96"/>
      <c r="C465" s="96"/>
      <c r="D465" s="177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</row>
    <row r="466">
      <c r="A466" s="96"/>
      <c r="B466" s="96"/>
      <c r="C466" s="96"/>
      <c r="D466" s="177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</row>
    <row r="467">
      <c r="A467" s="96"/>
      <c r="B467" s="96"/>
      <c r="C467" s="96"/>
      <c r="D467" s="177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</row>
    <row r="468">
      <c r="A468" s="96"/>
      <c r="B468" s="96"/>
      <c r="C468" s="96"/>
      <c r="D468" s="177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</row>
    <row r="469">
      <c r="A469" s="96"/>
      <c r="B469" s="96"/>
      <c r="C469" s="96"/>
      <c r="D469" s="177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</row>
    <row r="470">
      <c r="A470" s="96"/>
      <c r="B470" s="96"/>
      <c r="C470" s="96"/>
      <c r="D470" s="177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</row>
    <row r="471">
      <c r="A471" s="96"/>
      <c r="B471" s="96"/>
      <c r="C471" s="96"/>
      <c r="D471" s="177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</row>
    <row r="472">
      <c r="A472" s="96"/>
      <c r="B472" s="96"/>
      <c r="C472" s="96"/>
      <c r="D472" s="177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</row>
    <row r="473">
      <c r="A473" s="96"/>
      <c r="B473" s="96"/>
      <c r="C473" s="96"/>
      <c r="D473" s="177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</row>
    <row r="474">
      <c r="A474" s="96"/>
      <c r="B474" s="96"/>
      <c r="C474" s="96"/>
      <c r="D474" s="177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</row>
    <row r="475">
      <c r="A475" s="96"/>
      <c r="B475" s="96"/>
      <c r="C475" s="96"/>
      <c r="D475" s="177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</row>
    <row r="476">
      <c r="A476" s="96"/>
      <c r="B476" s="96"/>
      <c r="C476" s="96"/>
      <c r="D476" s="177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</row>
    <row r="477">
      <c r="A477" s="96"/>
      <c r="B477" s="96"/>
      <c r="C477" s="96"/>
      <c r="D477" s="177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</row>
    <row r="478">
      <c r="A478" s="96"/>
      <c r="B478" s="96"/>
      <c r="C478" s="96"/>
      <c r="D478" s="177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</row>
    <row r="479">
      <c r="A479" s="96"/>
      <c r="B479" s="96"/>
      <c r="C479" s="96"/>
      <c r="D479" s="177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</row>
    <row r="480">
      <c r="A480" s="96"/>
      <c r="B480" s="96"/>
      <c r="C480" s="96"/>
      <c r="D480" s="177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</row>
    <row r="481">
      <c r="A481" s="96"/>
      <c r="B481" s="96"/>
      <c r="C481" s="96"/>
      <c r="D481" s="177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</row>
    <row r="482">
      <c r="A482" s="96"/>
      <c r="B482" s="96"/>
      <c r="C482" s="96"/>
      <c r="D482" s="177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</row>
    <row r="483">
      <c r="A483" s="96"/>
      <c r="B483" s="96"/>
      <c r="C483" s="96"/>
      <c r="D483" s="177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</row>
    <row r="484">
      <c r="A484" s="96"/>
      <c r="B484" s="96"/>
      <c r="C484" s="96"/>
      <c r="D484" s="177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</row>
    <row r="485">
      <c r="A485" s="96"/>
      <c r="B485" s="96"/>
      <c r="C485" s="96"/>
      <c r="D485" s="177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</row>
    <row r="486">
      <c r="A486" s="96"/>
      <c r="B486" s="96"/>
      <c r="C486" s="96"/>
      <c r="D486" s="177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</row>
    <row r="487">
      <c r="A487" s="96"/>
      <c r="B487" s="96"/>
      <c r="C487" s="96"/>
      <c r="D487" s="177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</row>
    <row r="488">
      <c r="A488" s="96"/>
      <c r="B488" s="96"/>
      <c r="C488" s="96"/>
      <c r="D488" s="177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</row>
    <row r="489">
      <c r="A489" s="96"/>
      <c r="B489" s="96"/>
      <c r="C489" s="96"/>
      <c r="D489" s="177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</row>
    <row r="490">
      <c r="A490" s="96"/>
      <c r="B490" s="96"/>
      <c r="C490" s="96"/>
      <c r="D490" s="177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</row>
    <row r="491">
      <c r="A491" s="96"/>
      <c r="B491" s="96"/>
      <c r="C491" s="96"/>
      <c r="D491" s="177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</row>
    <row r="492">
      <c r="A492" s="96"/>
      <c r="B492" s="96"/>
      <c r="C492" s="96"/>
      <c r="D492" s="177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</row>
    <row r="493">
      <c r="A493" s="96"/>
      <c r="B493" s="96"/>
      <c r="C493" s="96"/>
      <c r="D493" s="177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</row>
    <row r="494">
      <c r="A494" s="96"/>
      <c r="B494" s="96"/>
      <c r="C494" s="96"/>
      <c r="D494" s="177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</row>
    <row r="495">
      <c r="A495" s="96"/>
      <c r="B495" s="96"/>
      <c r="C495" s="96"/>
      <c r="D495" s="177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</row>
    <row r="496">
      <c r="A496" s="96"/>
      <c r="B496" s="96"/>
      <c r="C496" s="96"/>
      <c r="D496" s="177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</row>
    <row r="497">
      <c r="A497" s="96"/>
      <c r="B497" s="96"/>
      <c r="C497" s="96"/>
      <c r="D497" s="177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</row>
    <row r="498">
      <c r="A498" s="96"/>
      <c r="B498" s="96"/>
      <c r="C498" s="96"/>
      <c r="D498" s="177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</row>
    <row r="499">
      <c r="A499" s="96"/>
      <c r="B499" s="96"/>
      <c r="C499" s="96"/>
      <c r="D499" s="177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</row>
    <row r="500">
      <c r="A500" s="96"/>
      <c r="B500" s="96"/>
      <c r="C500" s="96"/>
      <c r="D500" s="177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</row>
    <row r="501">
      <c r="A501" s="96"/>
      <c r="B501" s="96"/>
      <c r="C501" s="96"/>
      <c r="D501" s="177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</row>
    <row r="502">
      <c r="A502" s="96"/>
      <c r="B502" s="96"/>
      <c r="C502" s="96"/>
      <c r="D502" s="177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</row>
    <row r="503">
      <c r="A503" s="96"/>
      <c r="B503" s="96"/>
      <c r="C503" s="96"/>
      <c r="D503" s="177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</row>
    <row r="504">
      <c r="A504" s="96"/>
      <c r="B504" s="96"/>
      <c r="C504" s="96"/>
      <c r="D504" s="177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</row>
    <row r="505">
      <c r="A505" s="96"/>
      <c r="B505" s="96"/>
      <c r="C505" s="96"/>
      <c r="D505" s="177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</row>
    <row r="506">
      <c r="A506" s="96"/>
      <c r="B506" s="96"/>
      <c r="C506" s="96"/>
      <c r="D506" s="177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</row>
    <row r="507">
      <c r="A507" s="96"/>
      <c r="B507" s="96"/>
      <c r="C507" s="96"/>
      <c r="D507" s="177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</row>
    <row r="508">
      <c r="A508" s="96"/>
      <c r="B508" s="96"/>
      <c r="C508" s="96"/>
      <c r="D508" s="177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</row>
    <row r="509">
      <c r="A509" s="96"/>
      <c r="B509" s="96"/>
      <c r="C509" s="96"/>
      <c r="D509" s="177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</row>
    <row r="510">
      <c r="A510" s="96"/>
      <c r="B510" s="96"/>
      <c r="C510" s="96"/>
      <c r="D510" s="177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</row>
    <row r="511">
      <c r="A511" s="96"/>
      <c r="B511" s="96"/>
      <c r="C511" s="96"/>
      <c r="D511" s="177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</row>
    <row r="512">
      <c r="A512" s="96"/>
      <c r="B512" s="96"/>
      <c r="C512" s="96"/>
      <c r="D512" s="177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</row>
    <row r="513">
      <c r="A513" s="96"/>
      <c r="B513" s="96"/>
      <c r="C513" s="96"/>
      <c r="D513" s="177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</row>
    <row r="514">
      <c r="A514" s="96"/>
      <c r="B514" s="96"/>
      <c r="C514" s="96"/>
      <c r="D514" s="177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</row>
    <row r="515">
      <c r="A515" s="96"/>
      <c r="B515" s="96"/>
      <c r="C515" s="96"/>
      <c r="D515" s="177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</row>
    <row r="516">
      <c r="A516" s="96"/>
      <c r="B516" s="96"/>
      <c r="C516" s="96"/>
      <c r="D516" s="177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</row>
    <row r="517">
      <c r="A517" s="96"/>
      <c r="B517" s="96"/>
      <c r="C517" s="96"/>
      <c r="D517" s="177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</row>
    <row r="518">
      <c r="A518" s="96"/>
      <c r="B518" s="96"/>
      <c r="C518" s="96"/>
      <c r="D518" s="177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</row>
    <row r="519">
      <c r="A519" s="96"/>
      <c r="B519" s="96"/>
      <c r="C519" s="96"/>
      <c r="D519" s="177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</row>
    <row r="520">
      <c r="A520" s="96"/>
      <c r="B520" s="96"/>
      <c r="C520" s="96"/>
      <c r="D520" s="177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</row>
    <row r="521">
      <c r="A521" s="96"/>
      <c r="B521" s="96"/>
      <c r="C521" s="96"/>
      <c r="D521" s="177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</row>
    <row r="522">
      <c r="A522" s="96"/>
      <c r="B522" s="96"/>
      <c r="C522" s="96"/>
      <c r="D522" s="177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</row>
    <row r="523">
      <c r="A523" s="96"/>
      <c r="B523" s="96"/>
      <c r="C523" s="96"/>
      <c r="D523" s="177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</row>
    <row r="524">
      <c r="A524" s="96"/>
      <c r="B524" s="96"/>
      <c r="C524" s="96"/>
      <c r="D524" s="177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</row>
    <row r="525">
      <c r="A525" s="96"/>
      <c r="B525" s="96"/>
      <c r="C525" s="96"/>
      <c r="D525" s="177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</row>
    <row r="526">
      <c r="A526" s="96"/>
      <c r="B526" s="96"/>
      <c r="C526" s="96"/>
      <c r="D526" s="177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</row>
    <row r="527">
      <c r="A527" s="96"/>
      <c r="B527" s="96"/>
      <c r="C527" s="96"/>
      <c r="D527" s="177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</row>
    <row r="528">
      <c r="A528" s="96"/>
      <c r="B528" s="96"/>
      <c r="C528" s="96"/>
      <c r="D528" s="177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</row>
    <row r="529">
      <c r="A529" s="96"/>
      <c r="B529" s="96"/>
      <c r="C529" s="96"/>
      <c r="D529" s="177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</row>
    <row r="530">
      <c r="A530" s="96"/>
      <c r="B530" s="96"/>
      <c r="C530" s="96"/>
      <c r="D530" s="177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</row>
    <row r="531">
      <c r="A531" s="96"/>
      <c r="B531" s="96"/>
      <c r="C531" s="96"/>
      <c r="D531" s="177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</row>
    <row r="532">
      <c r="A532" s="96"/>
      <c r="B532" s="96"/>
      <c r="C532" s="96"/>
      <c r="D532" s="177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</row>
    <row r="533">
      <c r="A533" s="96"/>
      <c r="B533" s="96"/>
      <c r="C533" s="96"/>
      <c r="D533" s="177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</row>
    <row r="534">
      <c r="A534" s="96"/>
      <c r="B534" s="96"/>
      <c r="C534" s="96"/>
      <c r="D534" s="177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</row>
    <row r="535">
      <c r="A535" s="96"/>
      <c r="B535" s="96"/>
      <c r="C535" s="96"/>
      <c r="D535" s="177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</row>
    <row r="536">
      <c r="A536" s="96"/>
      <c r="B536" s="96"/>
      <c r="C536" s="96"/>
      <c r="D536" s="177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</row>
    <row r="537">
      <c r="A537" s="96"/>
      <c r="B537" s="96"/>
      <c r="C537" s="96"/>
      <c r="D537" s="177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</row>
    <row r="538">
      <c r="A538" s="96"/>
      <c r="B538" s="96"/>
      <c r="C538" s="96"/>
      <c r="D538" s="177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</row>
    <row r="539">
      <c r="A539" s="96"/>
      <c r="B539" s="96"/>
      <c r="C539" s="96"/>
      <c r="D539" s="177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</row>
    <row r="540">
      <c r="A540" s="96"/>
      <c r="B540" s="96"/>
      <c r="C540" s="96"/>
      <c r="D540" s="177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</row>
    <row r="541">
      <c r="A541" s="96"/>
      <c r="B541" s="96"/>
      <c r="C541" s="96"/>
      <c r="D541" s="177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</row>
    <row r="542">
      <c r="A542" s="96"/>
      <c r="B542" s="96"/>
      <c r="C542" s="96"/>
      <c r="D542" s="177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</row>
    <row r="543">
      <c r="A543" s="96"/>
      <c r="B543" s="96"/>
      <c r="C543" s="96"/>
      <c r="D543" s="177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</row>
    <row r="544">
      <c r="A544" s="96"/>
      <c r="B544" s="96"/>
      <c r="C544" s="96"/>
      <c r="D544" s="177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</row>
    <row r="545">
      <c r="A545" s="96"/>
      <c r="B545" s="96"/>
      <c r="C545" s="96"/>
      <c r="D545" s="177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</row>
    <row r="546">
      <c r="A546" s="96"/>
      <c r="B546" s="96"/>
      <c r="C546" s="96"/>
      <c r="D546" s="177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</row>
    <row r="547">
      <c r="A547" s="96"/>
      <c r="B547" s="96"/>
      <c r="C547" s="96"/>
      <c r="D547" s="177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</row>
    <row r="548">
      <c r="A548" s="96"/>
      <c r="B548" s="96"/>
      <c r="C548" s="96"/>
      <c r="D548" s="177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</row>
    <row r="549">
      <c r="A549" s="96"/>
      <c r="B549" s="96"/>
      <c r="C549" s="96"/>
      <c r="D549" s="177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</row>
    <row r="550">
      <c r="A550" s="96"/>
      <c r="B550" s="96"/>
      <c r="C550" s="96"/>
      <c r="D550" s="177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</row>
    <row r="551">
      <c r="A551" s="96"/>
      <c r="B551" s="96"/>
      <c r="C551" s="96"/>
      <c r="D551" s="177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</row>
    <row r="552">
      <c r="A552" s="96"/>
      <c r="B552" s="96"/>
      <c r="C552" s="96"/>
      <c r="D552" s="177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</row>
    <row r="553">
      <c r="A553" s="96"/>
      <c r="B553" s="96"/>
      <c r="C553" s="96"/>
      <c r="D553" s="177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</row>
    <row r="554">
      <c r="A554" s="96"/>
      <c r="B554" s="96"/>
      <c r="C554" s="96"/>
      <c r="D554" s="177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</row>
    <row r="555">
      <c r="A555" s="96"/>
      <c r="B555" s="96"/>
      <c r="C555" s="96"/>
      <c r="D555" s="177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</row>
    <row r="556">
      <c r="A556" s="96"/>
      <c r="B556" s="96"/>
      <c r="C556" s="96"/>
      <c r="D556" s="177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</row>
    <row r="557">
      <c r="A557" s="96"/>
      <c r="B557" s="96"/>
      <c r="C557" s="96"/>
      <c r="D557" s="177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</row>
    <row r="558">
      <c r="A558" s="96"/>
      <c r="B558" s="96"/>
      <c r="C558" s="96"/>
      <c r="D558" s="177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</row>
    <row r="559">
      <c r="A559" s="96"/>
      <c r="B559" s="96"/>
      <c r="C559" s="96"/>
      <c r="D559" s="177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</row>
    <row r="560">
      <c r="A560" s="96"/>
      <c r="B560" s="96"/>
      <c r="C560" s="96"/>
      <c r="D560" s="177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</row>
    <row r="561">
      <c r="A561" s="96"/>
      <c r="B561" s="96"/>
      <c r="C561" s="96"/>
      <c r="D561" s="177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</row>
    <row r="562">
      <c r="A562" s="96"/>
      <c r="B562" s="96"/>
      <c r="C562" s="96"/>
      <c r="D562" s="177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</row>
    <row r="563">
      <c r="A563" s="96"/>
      <c r="B563" s="96"/>
      <c r="C563" s="96"/>
      <c r="D563" s="177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</row>
    <row r="564">
      <c r="A564" s="96"/>
      <c r="B564" s="96"/>
      <c r="C564" s="96"/>
      <c r="D564" s="177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</row>
    <row r="565">
      <c r="A565" s="96"/>
      <c r="B565" s="96"/>
      <c r="C565" s="96"/>
      <c r="D565" s="177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</row>
    <row r="566">
      <c r="A566" s="96"/>
      <c r="B566" s="96"/>
      <c r="C566" s="96"/>
      <c r="D566" s="177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</row>
    <row r="567">
      <c r="A567" s="96"/>
      <c r="B567" s="96"/>
      <c r="C567" s="96"/>
      <c r="D567" s="177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</row>
    <row r="568">
      <c r="A568" s="96"/>
      <c r="B568" s="96"/>
      <c r="C568" s="96"/>
      <c r="D568" s="177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</row>
    <row r="569">
      <c r="A569" s="96"/>
      <c r="B569" s="96"/>
      <c r="C569" s="96"/>
      <c r="D569" s="177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</row>
    <row r="570">
      <c r="A570" s="96"/>
      <c r="B570" s="96"/>
      <c r="C570" s="96"/>
      <c r="D570" s="177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</row>
    <row r="571">
      <c r="A571" s="96"/>
      <c r="B571" s="96"/>
      <c r="C571" s="96"/>
      <c r="D571" s="177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</row>
    <row r="572">
      <c r="A572" s="96"/>
      <c r="B572" s="96"/>
      <c r="C572" s="96"/>
      <c r="D572" s="177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</row>
    <row r="573">
      <c r="A573" s="96"/>
      <c r="B573" s="96"/>
      <c r="C573" s="96"/>
      <c r="D573" s="177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</row>
    <row r="574">
      <c r="A574" s="96"/>
      <c r="B574" s="96"/>
      <c r="C574" s="96"/>
      <c r="D574" s="177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</row>
    <row r="575">
      <c r="A575" s="96"/>
      <c r="B575" s="96"/>
      <c r="C575" s="96"/>
      <c r="D575" s="177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</row>
    <row r="576">
      <c r="A576" s="96"/>
      <c r="B576" s="96"/>
      <c r="C576" s="96"/>
      <c r="D576" s="177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</row>
    <row r="577">
      <c r="A577" s="96"/>
      <c r="B577" s="96"/>
      <c r="C577" s="96"/>
      <c r="D577" s="177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</row>
    <row r="578">
      <c r="A578" s="96"/>
      <c r="B578" s="96"/>
      <c r="C578" s="96"/>
      <c r="D578" s="177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</row>
    <row r="579">
      <c r="A579" s="96"/>
      <c r="B579" s="96"/>
      <c r="C579" s="96"/>
      <c r="D579" s="177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</row>
    <row r="580">
      <c r="A580" s="96"/>
      <c r="B580" s="96"/>
      <c r="C580" s="96"/>
      <c r="D580" s="177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</row>
    <row r="581">
      <c r="A581" s="96"/>
      <c r="B581" s="96"/>
      <c r="C581" s="96"/>
      <c r="D581" s="177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</row>
    <row r="582">
      <c r="A582" s="96"/>
      <c r="B582" s="96"/>
      <c r="C582" s="96"/>
      <c r="D582" s="177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</row>
    <row r="583">
      <c r="A583" s="96"/>
      <c r="B583" s="96"/>
      <c r="C583" s="96"/>
      <c r="D583" s="177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</row>
    <row r="584">
      <c r="A584" s="96"/>
      <c r="B584" s="96"/>
      <c r="C584" s="96"/>
      <c r="D584" s="177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</row>
    <row r="585">
      <c r="A585" s="96"/>
      <c r="B585" s="96"/>
      <c r="C585" s="96"/>
      <c r="D585" s="177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</row>
    <row r="586">
      <c r="A586" s="96"/>
      <c r="B586" s="96"/>
      <c r="C586" s="96"/>
      <c r="D586" s="177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</row>
    <row r="587">
      <c r="A587" s="96"/>
      <c r="B587" s="96"/>
      <c r="C587" s="96"/>
      <c r="D587" s="177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</row>
    <row r="588">
      <c r="A588" s="96"/>
      <c r="B588" s="96"/>
      <c r="C588" s="96"/>
      <c r="D588" s="177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</row>
    <row r="589">
      <c r="A589" s="96"/>
      <c r="B589" s="96"/>
      <c r="C589" s="96"/>
      <c r="D589" s="177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</row>
    <row r="590">
      <c r="A590" s="96"/>
      <c r="B590" s="96"/>
      <c r="C590" s="96"/>
      <c r="D590" s="177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</row>
    <row r="591">
      <c r="A591" s="96"/>
      <c r="B591" s="96"/>
      <c r="C591" s="96"/>
      <c r="D591" s="177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</row>
    <row r="592">
      <c r="A592" s="96"/>
      <c r="B592" s="96"/>
      <c r="C592" s="96"/>
      <c r="D592" s="177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</row>
    <row r="593">
      <c r="A593" s="96"/>
      <c r="B593" s="96"/>
      <c r="C593" s="96"/>
      <c r="D593" s="177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</row>
    <row r="594">
      <c r="A594" s="96"/>
      <c r="B594" s="96"/>
      <c r="C594" s="96"/>
      <c r="D594" s="177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</row>
    <row r="595">
      <c r="A595" s="96"/>
      <c r="B595" s="96"/>
      <c r="C595" s="96"/>
      <c r="D595" s="177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</row>
    <row r="596">
      <c r="A596" s="96"/>
      <c r="B596" s="96"/>
      <c r="C596" s="96"/>
      <c r="D596" s="177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</row>
    <row r="597">
      <c r="A597" s="96"/>
      <c r="B597" s="96"/>
      <c r="C597" s="96"/>
      <c r="D597" s="177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</row>
    <row r="598">
      <c r="A598" s="96"/>
      <c r="B598" s="96"/>
      <c r="C598" s="96"/>
      <c r="D598" s="177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</row>
    <row r="599">
      <c r="A599" s="96"/>
      <c r="B599" s="96"/>
      <c r="C599" s="96"/>
      <c r="D599" s="177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</row>
    <row r="600">
      <c r="A600" s="96"/>
      <c r="B600" s="96"/>
      <c r="C600" s="96"/>
      <c r="D600" s="177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</row>
    <row r="601">
      <c r="A601" s="96"/>
      <c r="B601" s="96"/>
      <c r="C601" s="96"/>
      <c r="D601" s="177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</row>
    <row r="602">
      <c r="A602" s="96"/>
      <c r="B602" s="96"/>
      <c r="C602" s="96"/>
      <c r="D602" s="177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</row>
    <row r="603">
      <c r="A603" s="96"/>
      <c r="B603" s="96"/>
      <c r="C603" s="96"/>
      <c r="D603" s="177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</row>
    <row r="604">
      <c r="A604" s="96"/>
      <c r="B604" s="96"/>
      <c r="C604" s="96"/>
      <c r="D604" s="177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</row>
    <row r="605">
      <c r="A605" s="96"/>
      <c r="B605" s="96"/>
      <c r="C605" s="96"/>
      <c r="D605" s="177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</row>
    <row r="606">
      <c r="A606" s="96"/>
      <c r="B606" s="96"/>
      <c r="C606" s="96"/>
      <c r="D606" s="177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</row>
    <row r="607">
      <c r="A607" s="96"/>
      <c r="B607" s="96"/>
      <c r="C607" s="96"/>
      <c r="D607" s="177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</row>
    <row r="608">
      <c r="A608" s="96"/>
      <c r="B608" s="96"/>
      <c r="C608" s="96"/>
      <c r="D608" s="177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</row>
    <row r="609">
      <c r="A609" s="96"/>
      <c r="B609" s="96"/>
      <c r="C609" s="96"/>
      <c r="D609" s="177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</row>
    <row r="610">
      <c r="A610" s="96"/>
      <c r="B610" s="96"/>
      <c r="C610" s="96"/>
      <c r="D610" s="177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</row>
    <row r="611">
      <c r="A611" s="96"/>
      <c r="B611" s="96"/>
      <c r="C611" s="96"/>
      <c r="D611" s="177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</row>
    <row r="612">
      <c r="A612" s="96"/>
      <c r="B612" s="96"/>
      <c r="C612" s="96"/>
      <c r="D612" s="177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</row>
    <row r="613">
      <c r="A613" s="96"/>
      <c r="B613" s="96"/>
      <c r="C613" s="96"/>
      <c r="D613" s="177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</row>
    <row r="614">
      <c r="A614" s="96"/>
      <c r="B614" s="96"/>
      <c r="C614" s="96"/>
      <c r="D614" s="177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</row>
    <row r="615">
      <c r="A615" s="96"/>
      <c r="B615" s="96"/>
      <c r="C615" s="96"/>
      <c r="D615" s="177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</row>
    <row r="616">
      <c r="A616" s="96"/>
      <c r="B616" s="96"/>
      <c r="C616" s="96"/>
      <c r="D616" s="177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</row>
    <row r="617">
      <c r="A617" s="96"/>
      <c r="B617" s="96"/>
      <c r="C617" s="96"/>
      <c r="D617" s="177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</row>
    <row r="618">
      <c r="A618" s="96"/>
      <c r="B618" s="96"/>
      <c r="C618" s="96"/>
      <c r="D618" s="177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</row>
    <row r="619">
      <c r="A619" s="96"/>
      <c r="B619" s="96"/>
      <c r="C619" s="96"/>
      <c r="D619" s="177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</row>
    <row r="620">
      <c r="A620" s="96"/>
      <c r="B620" s="96"/>
      <c r="C620" s="96"/>
      <c r="D620" s="177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</row>
    <row r="621">
      <c r="A621" s="96"/>
      <c r="B621" s="96"/>
      <c r="C621" s="96"/>
      <c r="D621" s="177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</row>
    <row r="622">
      <c r="A622" s="96"/>
      <c r="B622" s="96"/>
      <c r="C622" s="96"/>
      <c r="D622" s="177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</row>
    <row r="623">
      <c r="A623" s="96"/>
      <c r="B623" s="96"/>
      <c r="C623" s="96"/>
      <c r="D623" s="177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</row>
    <row r="624">
      <c r="A624" s="96"/>
      <c r="B624" s="96"/>
      <c r="C624" s="96"/>
      <c r="D624" s="177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</row>
    <row r="625">
      <c r="A625" s="96"/>
      <c r="B625" s="96"/>
      <c r="C625" s="96"/>
      <c r="D625" s="177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</row>
    <row r="626">
      <c r="A626" s="96"/>
      <c r="B626" s="96"/>
      <c r="C626" s="96"/>
      <c r="D626" s="177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</row>
    <row r="627">
      <c r="A627" s="96"/>
      <c r="B627" s="96"/>
      <c r="C627" s="96"/>
      <c r="D627" s="177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</row>
    <row r="628">
      <c r="A628" s="96"/>
      <c r="B628" s="96"/>
      <c r="C628" s="96"/>
      <c r="D628" s="177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</row>
    <row r="629">
      <c r="A629" s="96"/>
      <c r="B629" s="96"/>
      <c r="C629" s="96"/>
      <c r="D629" s="177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</row>
    <row r="630">
      <c r="A630" s="96"/>
      <c r="B630" s="96"/>
      <c r="C630" s="96"/>
      <c r="D630" s="177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</row>
    <row r="631">
      <c r="A631" s="96"/>
      <c r="B631" s="96"/>
      <c r="C631" s="96"/>
      <c r="D631" s="177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</row>
    <row r="632">
      <c r="A632" s="96"/>
      <c r="B632" s="96"/>
      <c r="C632" s="96"/>
      <c r="D632" s="177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</row>
    <row r="633">
      <c r="A633" s="96"/>
      <c r="B633" s="96"/>
      <c r="C633" s="96"/>
      <c r="D633" s="177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</row>
    <row r="634">
      <c r="A634" s="96"/>
      <c r="B634" s="96"/>
      <c r="C634" s="96"/>
      <c r="D634" s="177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</row>
    <row r="635">
      <c r="A635" s="96"/>
      <c r="B635" s="96"/>
      <c r="C635" s="96"/>
      <c r="D635" s="177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</row>
    <row r="636">
      <c r="A636" s="96"/>
      <c r="B636" s="96"/>
      <c r="C636" s="96"/>
      <c r="D636" s="177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</row>
    <row r="637">
      <c r="A637" s="96"/>
      <c r="B637" s="96"/>
      <c r="C637" s="96"/>
      <c r="D637" s="177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</row>
    <row r="638">
      <c r="A638" s="96"/>
      <c r="B638" s="96"/>
      <c r="C638" s="96"/>
      <c r="D638" s="177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</row>
    <row r="639">
      <c r="A639" s="96"/>
      <c r="B639" s="96"/>
      <c r="C639" s="96"/>
      <c r="D639" s="177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</row>
    <row r="640">
      <c r="A640" s="96"/>
      <c r="B640" s="96"/>
      <c r="C640" s="96"/>
      <c r="D640" s="177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</row>
    <row r="641">
      <c r="A641" s="96"/>
      <c r="B641" s="96"/>
      <c r="C641" s="96"/>
      <c r="D641" s="177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</row>
    <row r="642">
      <c r="A642" s="96"/>
      <c r="B642" s="96"/>
      <c r="C642" s="96"/>
      <c r="D642" s="177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</row>
    <row r="643">
      <c r="A643" s="96"/>
      <c r="B643" s="96"/>
      <c r="C643" s="96"/>
      <c r="D643" s="177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</row>
    <row r="644">
      <c r="A644" s="96"/>
      <c r="B644" s="96"/>
      <c r="C644" s="96"/>
      <c r="D644" s="177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</row>
    <row r="645">
      <c r="A645" s="96"/>
      <c r="B645" s="96"/>
      <c r="C645" s="96"/>
      <c r="D645" s="177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</row>
    <row r="646">
      <c r="A646" s="96"/>
      <c r="B646" s="96"/>
      <c r="C646" s="96"/>
      <c r="D646" s="177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</row>
    <row r="647">
      <c r="A647" s="96"/>
      <c r="B647" s="96"/>
      <c r="C647" s="96"/>
      <c r="D647" s="177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</row>
    <row r="648">
      <c r="A648" s="96"/>
      <c r="B648" s="96"/>
      <c r="C648" s="96"/>
      <c r="D648" s="177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</row>
    <row r="649">
      <c r="A649" s="96"/>
      <c r="B649" s="96"/>
      <c r="C649" s="96"/>
      <c r="D649" s="177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</row>
    <row r="650">
      <c r="A650" s="96"/>
      <c r="B650" s="96"/>
      <c r="C650" s="96"/>
      <c r="D650" s="177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</row>
    <row r="651">
      <c r="A651" s="96"/>
      <c r="B651" s="96"/>
      <c r="C651" s="96"/>
      <c r="D651" s="177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</row>
    <row r="652">
      <c r="A652" s="96"/>
      <c r="B652" s="96"/>
      <c r="C652" s="96"/>
      <c r="D652" s="177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</row>
    <row r="653">
      <c r="A653" s="96"/>
      <c r="B653" s="96"/>
      <c r="C653" s="96"/>
      <c r="D653" s="177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</row>
    <row r="654">
      <c r="A654" s="96"/>
      <c r="B654" s="96"/>
      <c r="C654" s="96"/>
      <c r="D654" s="177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</row>
    <row r="655">
      <c r="A655" s="96"/>
      <c r="B655" s="96"/>
      <c r="C655" s="96"/>
      <c r="D655" s="177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</row>
    <row r="656">
      <c r="A656" s="96"/>
      <c r="B656" s="96"/>
      <c r="C656" s="96"/>
      <c r="D656" s="177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</row>
    <row r="657">
      <c r="A657" s="96"/>
      <c r="B657" s="96"/>
      <c r="C657" s="96"/>
      <c r="D657" s="177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</row>
    <row r="658">
      <c r="A658" s="96"/>
      <c r="B658" s="96"/>
      <c r="C658" s="96"/>
      <c r="D658" s="177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</row>
    <row r="659">
      <c r="A659" s="96"/>
      <c r="B659" s="96"/>
      <c r="C659" s="96"/>
      <c r="D659" s="177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</row>
    <row r="660">
      <c r="A660" s="96"/>
      <c r="B660" s="96"/>
      <c r="C660" s="96"/>
      <c r="D660" s="177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</row>
    <row r="661">
      <c r="A661" s="96"/>
      <c r="B661" s="96"/>
      <c r="C661" s="96"/>
      <c r="D661" s="177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</row>
    <row r="662">
      <c r="A662" s="96"/>
      <c r="B662" s="96"/>
      <c r="C662" s="96"/>
      <c r="D662" s="177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</row>
    <row r="663">
      <c r="A663" s="96"/>
      <c r="B663" s="96"/>
      <c r="C663" s="96"/>
      <c r="D663" s="177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</row>
    <row r="664">
      <c r="A664" s="96"/>
      <c r="B664" s="96"/>
      <c r="C664" s="96"/>
      <c r="D664" s="177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</row>
    <row r="665">
      <c r="A665" s="96"/>
      <c r="B665" s="96"/>
      <c r="C665" s="96"/>
      <c r="D665" s="177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</row>
    <row r="666">
      <c r="A666" s="96"/>
      <c r="B666" s="96"/>
      <c r="C666" s="96"/>
      <c r="D666" s="177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</row>
    <row r="667">
      <c r="A667" s="96"/>
      <c r="B667" s="96"/>
      <c r="C667" s="96"/>
      <c r="D667" s="177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</row>
    <row r="668">
      <c r="A668" s="96"/>
      <c r="B668" s="96"/>
      <c r="C668" s="96"/>
      <c r="D668" s="177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</row>
    <row r="669">
      <c r="A669" s="96"/>
      <c r="B669" s="96"/>
      <c r="C669" s="96"/>
      <c r="D669" s="177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</row>
    <row r="670">
      <c r="A670" s="96"/>
      <c r="B670" s="96"/>
      <c r="C670" s="96"/>
      <c r="D670" s="177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</row>
    <row r="671">
      <c r="A671" s="96"/>
      <c r="B671" s="96"/>
      <c r="C671" s="96"/>
      <c r="D671" s="177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</row>
    <row r="672">
      <c r="A672" s="96"/>
      <c r="B672" s="96"/>
      <c r="C672" s="96"/>
      <c r="D672" s="177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</row>
    <row r="673">
      <c r="A673" s="96"/>
      <c r="B673" s="96"/>
      <c r="C673" s="96"/>
      <c r="D673" s="177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</row>
    <row r="674">
      <c r="A674" s="96"/>
      <c r="B674" s="96"/>
      <c r="C674" s="96"/>
      <c r="D674" s="177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</row>
    <row r="675">
      <c r="A675" s="96"/>
      <c r="B675" s="96"/>
      <c r="C675" s="96"/>
      <c r="D675" s="177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</row>
    <row r="676">
      <c r="A676" s="96"/>
      <c r="B676" s="96"/>
      <c r="C676" s="96"/>
      <c r="D676" s="177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</row>
    <row r="677">
      <c r="A677" s="96"/>
      <c r="B677" s="96"/>
      <c r="C677" s="96"/>
      <c r="D677" s="177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</row>
    <row r="678">
      <c r="A678" s="96"/>
      <c r="B678" s="96"/>
      <c r="C678" s="96"/>
      <c r="D678" s="177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</row>
    <row r="679">
      <c r="A679" s="96"/>
      <c r="B679" s="96"/>
      <c r="C679" s="96"/>
      <c r="D679" s="177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</row>
    <row r="680">
      <c r="A680" s="96"/>
      <c r="B680" s="96"/>
      <c r="C680" s="96"/>
      <c r="D680" s="177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</row>
    <row r="681">
      <c r="A681" s="96"/>
      <c r="B681" s="96"/>
      <c r="C681" s="96"/>
      <c r="D681" s="177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</row>
    <row r="682">
      <c r="A682" s="96"/>
      <c r="B682" s="96"/>
      <c r="C682" s="96"/>
      <c r="D682" s="177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</row>
    <row r="683">
      <c r="A683" s="96"/>
      <c r="B683" s="96"/>
      <c r="C683" s="96"/>
      <c r="D683" s="177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</row>
    <row r="684">
      <c r="A684" s="96"/>
      <c r="B684" s="96"/>
      <c r="C684" s="96"/>
      <c r="D684" s="177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</row>
    <row r="685">
      <c r="A685" s="96"/>
      <c r="B685" s="96"/>
      <c r="C685" s="96"/>
      <c r="D685" s="177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</row>
    <row r="686">
      <c r="A686" s="96"/>
      <c r="B686" s="96"/>
      <c r="C686" s="96"/>
      <c r="D686" s="177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</row>
    <row r="687">
      <c r="A687" s="96"/>
      <c r="B687" s="96"/>
      <c r="C687" s="96"/>
      <c r="D687" s="177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</row>
    <row r="688">
      <c r="A688" s="96"/>
      <c r="B688" s="96"/>
      <c r="C688" s="96"/>
      <c r="D688" s="177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</row>
    <row r="689">
      <c r="A689" s="96"/>
      <c r="B689" s="96"/>
      <c r="C689" s="96"/>
      <c r="D689" s="177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</row>
    <row r="690">
      <c r="A690" s="96"/>
      <c r="B690" s="96"/>
      <c r="C690" s="96"/>
      <c r="D690" s="177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</row>
    <row r="691">
      <c r="A691" s="96"/>
      <c r="B691" s="96"/>
      <c r="C691" s="96"/>
      <c r="D691" s="177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</row>
    <row r="692">
      <c r="A692" s="96"/>
      <c r="B692" s="96"/>
      <c r="C692" s="96"/>
      <c r="D692" s="177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</row>
    <row r="693">
      <c r="A693" s="96"/>
      <c r="B693" s="96"/>
      <c r="C693" s="96"/>
      <c r="D693" s="177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</row>
    <row r="694">
      <c r="A694" s="96"/>
      <c r="B694" s="96"/>
      <c r="C694" s="96"/>
      <c r="D694" s="177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</row>
    <row r="695">
      <c r="A695" s="96"/>
      <c r="B695" s="96"/>
      <c r="C695" s="96"/>
      <c r="D695" s="177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</row>
    <row r="696">
      <c r="A696" s="96"/>
      <c r="B696" s="96"/>
      <c r="C696" s="96"/>
      <c r="D696" s="177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</row>
    <row r="697">
      <c r="A697" s="96"/>
      <c r="B697" s="96"/>
      <c r="C697" s="96"/>
      <c r="D697" s="177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</row>
    <row r="698">
      <c r="A698" s="96"/>
      <c r="B698" s="96"/>
      <c r="C698" s="96"/>
      <c r="D698" s="177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</row>
    <row r="699">
      <c r="A699" s="96"/>
      <c r="B699" s="96"/>
      <c r="C699" s="96"/>
      <c r="D699" s="177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</row>
    <row r="700">
      <c r="A700" s="96"/>
      <c r="B700" s="96"/>
      <c r="C700" s="96"/>
      <c r="D700" s="177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</row>
    <row r="701">
      <c r="A701" s="96"/>
      <c r="B701" s="96"/>
      <c r="C701" s="96"/>
      <c r="D701" s="177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</row>
    <row r="702">
      <c r="A702" s="96"/>
      <c r="B702" s="96"/>
      <c r="C702" s="96"/>
      <c r="D702" s="177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</row>
    <row r="703">
      <c r="A703" s="96"/>
      <c r="B703" s="96"/>
      <c r="C703" s="96"/>
      <c r="D703" s="177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</row>
    <row r="704">
      <c r="A704" s="96"/>
      <c r="B704" s="96"/>
      <c r="C704" s="96"/>
      <c r="D704" s="177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</row>
    <row r="705">
      <c r="A705" s="96"/>
      <c r="B705" s="96"/>
      <c r="C705" s="96"/>
      <c r="D705" s="177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</row>
    <row r="706">
      <c r="A706" s="96"/>
      <c r="B706" s="96"/>
      <c r="C706" s="96"/>
      <c r="D706" s="177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</row>
    <row r="707">
      <c r="A707" s="96"/>
      <c r="B707" s="96"/>
      <c r="C707" s="96"/>
      <c r="D707" s="177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</row>
    <row r="708">
      <c r="A708" s="96"/>
      <c r="B708" s="96"/>
      <c r="C708" s="96"/>
      <c r="D708" s="177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</row>
    <row r="709">
      <c r="A709" s="96"/>
      <c r="B709" s="96"/>
      <c r="C709" s="96"/>
      <c r="D709" s="177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</row>
    <row r="710">
      <c r="A710" s="96"/>
      <c r="B710" s="96"/>
      <c r="C710" s="96"/>
      <c r="D710" s="177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</row>
    <row r="711">
      <c r="A711" s="96"/>
      <c r="B711" s="96"/>
      <c r="C711" s="96"/>
      <c r="D711" s="177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</row>
    <row r="712">
      <c r="A712" s="96"/>
      <c r="B712" s="96"/>
      <c r="C712" s="96"/>
      <c r="D712" s="177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</row>
    <row r="713">
      <c r="A713" s="96"/>
      <c r="B713" s="96"/>
      <c r="C713" s="96"/>
      <c r="D713" s="177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</row>
    <row r="714">
      <c r="A714" s="96"/>
      <c r="B714" s="96"/>
      <c r="C714" s="96"/>
      <c r="D714" s="177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</row>
    <row r="715">
      <c r="A715" s="96"/>
      <c r="B715" s="96"/>
      <c r="C715" s="96"/>
      <c r="D715" s="177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</row>
    <row r="716">
      <c r="A716" s="96"/>
      <c r="B716" s="96"/>
      <c r="C716" s="96"/>
      <c r="D716" s="177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</row>
    <row r="717">
      <c r="A717" s="96"/>
      <c r="B717" s="96"/>
      <c r="C717" s="96"/>
      <c r="D717" s="177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</row>
    <row r="718">
      <c r="A718" s="96"/>
      <c r="B718" s="96"/>
      <c r="C718" s="96"/>
      <c r="D718" s="177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</row>
    <row r="719">
      <c r="A719" s="96"/>
      <c r="B719" s="96"/>
      <c r="C719" s="96"/>
      <c r="D719" s="177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</row>
    <row r="720">
      <c r="A720" s="96"/>
      <c r="B720" s="96"/>
      <c r="C720" s="96"/>
      <c r="D720" s="177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</row>
    <row r="721">
      <c r="A721" s="96"/>
      <c r="B721" s="96"/>
      <c r="C721" s="96"/>
      <c r="D721" s="177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</row>
    <row r="722">
      <c r="A722" s="96"/>
      <c r="B722" s="96"/>
      <c r="C722" s="96"/>
      <c r="D722" s="177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</row>
    <row r="723">
      <c r="A723" s="96"/>
      <c r="B723" s="96"/>
      <c r="C723" s="96"/>
      <c r="D723" s="177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</row>
    <row r="724">
      <c r="A724" s="96"/>
      <c r="B724" s="96"/>
      <c r="C724" s="96"/>
      <c r="D724" s="177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</row>
    <row r="725">
      <c r="A725" s="96"/>
      <c r="B725" s="96"/>
      <c r="C725" s="96"/>
      <c r="D725" s="177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</row>
    <row r="726">
      <c r="A726" s="96"/>
      <c r="B726" s="96"/>
      <c r="C726" s="96"/>
      <c r="D726" s="177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</row>
    <row r="727">
      <c r="A727" s="96"/>
      <c r="B727" s="96"/>
      <c r="C727" s="96"/>
      <c r="D727" s="177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</row>
    <row r="728">
      <c r="A728" s="96"/>
      <c r="B728" s="96"/>
      <c r="C728" s="96"/>
      <c r="D728" s="177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</row>
    <row r="729">
      <c r="A729" s="96"/>
      <c r="B729" s="96"/>
      <c r="C729" s="96"/>
      <c r="D729" s="177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</row>
    <row r="730">
      <c r="A730" s="96"/>
      <c r="B730" s="96"/>
      <c r="C730" s="96"/>
      <c r="D730" s="177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</row>
    <row r="731">
      <c r="A731" s="96"/>
      <c r="B731" s="96"/>
      <c r="C731" s="96"/>
      <c r="D731" s="177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</row>
    <row r="732">
      <c r="A732" s="96"/>
      <c r="B732" s="96"/>
      <c r="C732" s="96"/>
      <c r="D732" s="177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</row>
    <row r="733">
      <c r="A733" s="96"/>
      <c r="B733" s="96"/>
      <c r="C733" s="96"/>
      <c r="D733" s="177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</row>
    <row r="734">
      <c r="A734" s="96"/>
      <c r="B734" s="96"/>
      <c r="C734" s="96"/>
      <c r="D734" s="177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</row>
    <row r="735">
      <c r="A735" s="96"/>
      <c r="B735" s="96"/>
      <c r="C735" s="96"/>
      <c r="D735" s="177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</row>
    <row r="736">
      <c r="A736" s="96"/>
      <c r="B736" s="96"/>
      <c r="C736" s="96"/>
      <c r="D736" s="177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</row>
    <row r="737">
      <c r="A737" s="96"/>
      <c r="B737" s="96"/>
      <c r="C737" s="96"/>
      <c r="D737" s="177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</row>
    <row r="738">
      <c r="A738" s="96"/>
      <c r="B738" s="96"/>
      <c r="C738" s="96"/>
      <c r="D738" s="177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</row>
    <row r="739">
      <c r="A739" s="96"/>
      <c r="B739" s="96"/>
      <c r="C739" s="96"/>
      <c r="D739" s="177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</row>
    <row r="740">
      <c r="A740" s="96"/>
      <c r="B740" s="96"/>
      <c r="C740" s="96"/>
      <c r="D740" s="177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</row>
    <row r="741">
      <c r="A741" s="96"/>
      <c r="B741" s="96"/>
      <c r="C741" s="96"/>
      <c r="D741" s="177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</row>
    <row r="742">
      <c r="A742" s="96"/>
      <c r="B742" s="96"/>
      <c r="C742" s="96"/>
      <c r="D742" s="177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</row>
    <row r="743">
      <c r="A743" s="96"/>
      <c r="B743" s="96"/>
      <c r="C743" s="96"/>
      <c r="D743" s="177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</row>
    <row r="744">
      <c r="A744" s="96"/>
      <c r="B744" s="96"/>
      <c r="C744" s="96"/>
      <c r="D744" s="177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</row>
    <row r="745">
      <c r="A745" s="96"/>
      <c r="B745" s="96"/>
      <c r="C745" s="96"/>
      <c r="D745" s="177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</row>
    <row r="746">
      <c r="A746" s="96"/>
      <c r="B746" s="96"/>
      <c r="C746" s="96"/>
      <c r="D746" s="177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</row>
    <row r="747">
      <c r="A747" s="96"/>
      <c r="B747" s="96"/>
      <c r="C747" s="96"/>
      <c r="D747" s="177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</row>
    <row r="748">
      <c r="A748" s="96"/>
      <c r="B748" s="96"/>
      <c r="C748" s="96"/>
      <c r="D748" s="177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</row>
    <row r="749">
      <c r="A749" s="96"/>
      <c r="B749" s="96"/>
      <c r="C749" s="96"/>
      <c r="D749" s="177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</row>
    <row r="750">
      <c r="A750" s="96"/>
      <c r="B750" s="96"/>
      <c r="C750" s="96"/>
      <c r="D750" s="177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</row>
    <row r="751">
      <c r="A751" s="96"/>
      <c r="B751" s="96"/>
      <c r="C751" s="96"/>
      <c r="D751" s="177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</row>
    <row r="752">
      <c r="A752" s="96"/>
      <c r="B752" s="96"/>
      <c r="C752" s="96"/>
      <c r="D752" s="177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</row>
    <row r="753">
      <c r="A753" s="96"/>
      <c r="B753" s="96"/>
      <c r="C753" s="96"/>
      <c r="D753" s="177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</row>
    <row r="754">
      <c r="A754" s="96"/>
      <c r="B754" s="96"/>
      <c r="C754" s="96"/>
      <c r="D754" s="177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</row>
    <row r="755">
      <c r="A755" s="96"/>
      <c r="B755" s="96"/>
      <c r="C755" s="96"/>
      <c r="D755" s="177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</row>
    <row r="756">
      <c r="A756" s="96"/>
      <c r="B756" s="96"/>
      <c r="C756" s="96"/>
      <c r="D756" s="177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</row>
    <row r="757">
      <c r="A757" s="96"/>
      <c r="B757" s="96"/>
      <c r="C757" s="96"/>
      <c r="D757" s="177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</row>
    <row r="758">
      <c r="A758" s="96"/>
      <c r="B758" s="96"/>
      <c r="C758" s="96"/>
      <c r="D758" s="177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</row>
    <row r="759">
      <c r="A759" s="96"/>
      <c r="B759" s="96"/>
      <c r="C759" s="96"/>
      <c r="D759" s="177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</row>
    <row r="760">
      <c r="A760" s="96"/>
      <c r="B760" s="96"/>
      <c r="C760" s="96"/>
      <c r="D760" s="177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</row>
    <row r="761">
      <c r="A761" s="96"/>
      <c r="B761" s="96"/>
      <c r="C761" s="96"/>
      <c r="D761" s="177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</row>
    <row r="762">
      <c r="A762" s="96"/>
      <c r="B762" s="96"/>
      <c r="C762" s="96"/>
      <c r="D762" s="177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</row>
    <row r="763">
      <c r="A763" s="96"/>
      <c r="B763" s="96"/>
      <c r="C763" s="96"/>
      <c r="D763" s="177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</row>
    <row r="764">
      <c r="A764" s="96"/>
      <c r="B764" s="96"/>
      <c r="C764" s="96"/>
      <c r="D764" s="177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</row>
    <row r="765">
      <c r="A765" s="96"/>
      <c r="B765" s="96"/>
      <c r="C765" s="96"/>
      <c r="D765" s="177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</row>
    <row r="766">
      <c r="A766" s="96"/>
      <c r="B766" s="96"/>
      <c r="C766" s="96"/>
      <c r="D766" s="177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</row>
    <row r="767">
      <c r="A767" s="96"/>
      <c r="B767" s="96"/>
      <c r="C767" s="96"/>
      <c r="D767" s="177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</row>
    <row r="768">
      <c r="A768" s="96"/>
      <c r="B768" s="96"/>
      <c r="C768" s="96"/>
      <c r="D768" s="177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</row>
    <row r="769">
      <c r="A769" s="96"/>
      <c r="B769" s="96"/>
      <c r="C769" s="96"/>
      <c r="D769" s="177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</row>
    <row r="770">
      <c r="A770" s="96"/>
      <c r="B770" s="96"/>
      <c r="C770" s="96"/>
      <c r="D770" s="177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</row>
    <row r="771">
      <c r="A771" s="96"/>
      <c r="B771" s="96"/>
      <c r="C771" s="96"/>
      <c r="D771" s="177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</row>
    <row r="772">
      <c r="A772" s="96"/>
      <c r="B772" s="96"/>
      <c r="C772" s="96"/>
      <c r="D772" s="177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</row>
    <row r="773">
      <c r="A773" s="96"/>
      <c r="B773" s="96"/>
      <c r="C773" s="96"/>
      <c r="D773" s="177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</row>
    <row r="774">
      <c r="A774" s="96"/>
      <c r="B774" s="96"/>
      <c r="C774" s="96"/>
      <c r="D774" s="177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</row>
    <row r="775">
      <c r="A775" s="96"/>
      <c r="B775" s="96"/>
      <c r="C775" s="96"/>
      <c r="D775" s="177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</row>
    <row r="776">
      <c r="A776" s="96"/>
      <c r="B776" s="96"/>
      <c r="C776" s="96"/>
      <c r="D776" s="177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</row>
    <row r="777">
      <c r="A777" s="96"/>
      <c r="B777" s="96"/>
      <c r="C777" s="96"/>
      <c r="D777" s="177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</row>
    <row r="778">
      <c r="A778" s="96"/>
      <c r="B778" s="96"/>
      <c r="C778" s="96"/>
      <c r="D778" s="177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</row>
    <row r="779">
      <c r="A779" s="96"/>
      <c r="B779" s="96"/>
      <c r="C779" s="96"/>
      <c r="D779" s="177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</row>
    <row r="780">
      <c r="A780" s="96"/>
      <c r="B780" s="96"/>
      <c r="C780" s="96"/>
      <c r="D780" s="177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</row>
    <row r="781">
      <c r="A781" s="96"/>
      <c r="B781" s="96"/>
      <c r="C781" s="96"/>
      <c r="D781" s="177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</row>
    <row r="782">
      <c r="A782" s="96"/>
      <c r="B782" s="96"/>
      <c r="C782" s="96"/>
      <c r="D782" s="177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</row>
    <row r="783">
      <c r="A783" s="96"/>
      <c r="B783" s="96"/>
      <c r="C783" s="96"/>
      <c r="D783" s="177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</row>
    <row r="784">
      <c r="A784" s="96"/>
      <c r="B784" s="96"/>
      <c r="C784" s="96"/>
      <c r="D784" s="177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</row>
    <row r="785">
      <c r="A785" s="96"/>
      <c r="B785" s="96"/>
      <c r="C785" s="96"/>
      <c r="D785" s="177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</row>
    <row r="786">
      <c r="A786" s="96"/>
      <c r="B786" s="96"/>
      <c r="C786" s="96"/>
      <c r="D786" s="177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</row>
    <row r="787">
      <c r="A787" s="96"/>
      <c r="B787" s="96"/>
      <c r="C787" s="96"/>
      <c r="D787" s="177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</row>
    <row r="788">
      <c r="A788" s="96"/>
      <c r="B788" s="96"/>
      <c r="C788" s="96"/>
      <c r="D788" s="177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</row>
    <row r="789">
      <c r="A789" s="96"/>
      <c r="B789" s="96"/>
      <c r="C789" s="96"/>
      <c r="D789" s="177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</row>
    <row r="790">
      <c r="A790" s="96"/>
      <c r="B790" s="96"/>
      <c r="C790" s="96"/>
      <c r="D790" s="177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</row>
    <row r="791">
      <c r="A791" s="96"/>
      <c r="B791" s="96"/>
      <c r="C791" s="96"/>
      <c r="D791" s="177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</row>
    <row r="792">
      <c r="A792" s="96"/>
      <c r="B792" s="96"/>
      <c r="C792" s="96"/>
      <c r="D792" s="177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</row>
    <row r="793">
      <c r="A793" s="96"/>
      <c r="B793" s="96"/>
      <c r="C793" s="96"/>
      <c r="D793" s="177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</row>
    <row r="794">
      <c r="A794" s="96"/>
      <c r="B794" s="96"/>
      <c r="C794" s="96"/>
      <c r="D794" s="177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</row>
    <row r="795">
      <c r="A795" s="96"/>
      <c r="B795" s="96"/>
      <c r="C795" s="96"/>
      <c r="D795" s="177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</row>
    <row r="796">
      <c r="A796" s="96"/>
      <c r="B796" s="96"/>
      <c r="C796" s="96"/>
      <c r="D796" s="177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</row>
    <row r="797">
      <c r="A797" s="96"/>
      <c r="B797" s="96"/>
      <c r="C797" s="96"/>
      <c r="D797" s="177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</row>
    <row r="798">
      <c r="A798" s="96"/>
      <c r="B798" s="96"/>
      <c r="C798" s="96"/>
      <c r="D798" s="177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</row>
    <row r="799">
      <c r="A799" s="96"/>
      <c r="B799" s="96"/>
      <c r="C799" s="96"/>
      <c r="D799" s="177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</row>
    <row r="800">
      <c r="A800" s="96"/>
      <c r="B800" s="96"/>
      <c r="C800" s="96"/>
      <c r="D800" s="177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</row>
    <row r="801">
      <c r="A801" s="96"/>
      <c r="B801" s="96"/>
      <c r="C801" s="96"/>
      <c r="D801" s="177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</row>
    <row r="802">
      <c r="A802" s="96"/>
      <c r="B802" s="96"/>
      <c r="C802" s="96"/>
      <c r="D802" s="177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</row>
    <row r="803">
      <c r="A803" s="96"/>
      <c r="B803" s="96"/>
      <c r="C803" s="96"/>
      <c r="D803" s="177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</row>
    <row r="804">
      <c r="A804" s="96"/>
      <c r="B804" s="96"/>
      <c r="C804" s="96"/>
      <c r="D804" s="177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</row>
    <row r="805">
      <c r="A805" s="96"/>
      <c r="B805" s="96"/>
      <c r="C805" s="96"/>
      <c r="D805" s="177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</row>
    <row r="806">
      <c r="A806" s="96"/>
      <c r="B806" s="96"/>
      <c r="C806" s="96"/>
      <c r="D806" s="177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</row>
    <row r="807">
      <c r="A807" s="96"/>
      <c r="B807" s="96"/>
      <c r="C807" s="96"/>
      <c r="D807" s="177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</row>
    <row r="808">
      <c r="A808" s="96"/>
      <c r="B808" s="96"/>
      <c r="C808" s="96"/>
      <c r="D808" s="177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</row>
    <row r="809">
      <c r="A809" s="96"/>
      <c r="B809" s="96"/>
      <c r="C809" s="96"/>
      <c r="D809" s="177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</row>
    <row r="810">
      <c r="A810" s="96"/>
      <c r="B810" s="96"/>
      <c r="C810" s="96"/>
      <c r="D810" s="177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</row>
    <row r="811">
      <c r="A811" s="96"/>
      <c r="B811" s="96"/>
      <c r="C811" s="96"/>
      <c r="D811" s="177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</row>
    <row r="812">
      <c r="A812" s="96"/>
      <c r="B812" s="96"/>
      <c r="C812" s="96"/>
      <c r="D812" s="177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</row>
    <row r="813">
      <c r="A813" s="96"/>
      <c r="B813" s="96"/>
      <c r="C813" s="96"/>
      <c r="D813" s="177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</row>
    <row r="814">
      <c r="A814" s="96"/>
      <c r="B814" s="96"/>
      <c r="C814" s="96"/>
      <c r="D814" s="177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</row>
    <row r="815">
      <c r="A815" s="96"/>
      <c r="B815" s="96"/>
      <c r="C815" s="96"/>
      <c r="D815" s="177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</row>
    <row r="816">
      <c r="A816" s="96"/>
      <c r="B816" s="96"/>
      <c r="C816" s="96"/>
      <c r="D816" s="177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</row>
    <row r="817">
      <c r="A817" s="96"/>
      <c r="B817" s="96"/>
      <c r="C817" s="96"/>
      <c r="D817" s="177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</row>
    <row r="818">
      <c r="A818" s="96"/>
      <c r="B818" s="96"/>
      <c r="C818" s="96"/>
      <c r="D818" s="177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</row>
    <row r="819">
      <c r="A819" s="96"/>
      <c r="B819" s="96"/>
      <c r="C819" s="96"/>
      <c r="D819" s="177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</row>
    <row r="820">
      <c r="A820" s="96"/>
      <c r="B820" s="96"/>
      <c r="C820" s="96"/>
      <c r="D820" s="177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</row>
    <row r="821">
      <c r="A821" s="96"/>
      <c r="B821" s="96"/>
      <c r="C821" s="96"/>
      <c r="D821" s="177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</row>
    <row r="822">
      <c r="A822" s="96"/>
      <c r="B822" s="96"/>
      <c r="C822" s="96"/>
      <c r="D822" s="177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</row>
    <row r="823">
      <c r="A823" s="96"/>
      <c r="B823" s="96"/>
      <c r="C823" s="96"/>
      <c r="D823" s="177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</row>
    <row r="824">
      <c r="A824" s="96"/>
      <c r="B824" s="96"/>
      <c r="C824" s="96"/>
      <c r="D824" s="177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</row>
    <row r="825">
      <c r="A825" s="96"/>
      <c r="B825" s="96"/>
      <c r="C825" s="96"/>
      <c r="D825" s="177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</row>
    <row r="826">
      <c r="A826" s="96"/>
      <c r="B826" s="96"/>
      <c r="C826" s="96"/>
      <c r="D826" s="177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</row>
    <row r="827">
      <c r="A827" s="96"/>
      <c r="B827" s="96"/>
      <c r="C827" s="96"/>
      <c r="D827" s="177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</row>
    <row r="828">
      <c r="A828" s="96"/>
      <c r="B828" s="96"/>
      <c r="C828" s="96"/>
      <c r="D828" s="177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</row>
    <row r="829">
      <c r="A829" s="96"/>
      <c r="B829" s="96"/>
      <c r="C829" s="96"/>
      <c r="D829" s="177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</row>
    <row r="830">
      <c r="A830" s="96"/>
      <c r="B830" s="96"/>
      <c r="C830" s="96"/>
      <c r="D830" s="177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</row>
    <row r="831">
      <c r="A831" s="96"/>
      <c r="B831" s="96"/>
      <c r="C831" s="96"/>
      <c r="D831" s="177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</row>
    <row r="832">
      <c r="A832" s="96"/>
      <c r="B832" s="96"/>
      <c r="C832" s="96"/>
      <c r="D832" s="177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</row>
    <row r="833">
      <c r="A833" s="96"/>
      <c r="B833" s="96"/>
      <c r="C833" s="96"/>
      <c r="D833" s="177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</row>
    <row r="834">
      <c r="A834" s="96"/>
      <c r="B834" s="96"/>
      <c r="C834" s="96"/>
      <c r="D834" s="177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</row>
    <row r="835">
      <c r="A835" s="96"/>
      <c r="B835" s="96"/>
      <c r="C835" s="96"/>
      <c r="D835" s="177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</row>
    <row r="836">
      <c r="A836" s="96"/>
      <c r="B836" s="96"/>
      <c r="C836" s="96"/>
      <c r="D836" s="177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</row>
    <row r="837">
      <c r="A837" s="96"/>
      <c r="B837" s="96"/>
      <c r="C837" s="96"/>
      <c r="D837" s="177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</row>
    <row r="838">
      <c r="A838" s="96"/>
      <c r="B838" s="96"/>
      <c r="C838" s="96"/>
      <c r="D838" s="177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</row>
    <row r="839">
      <c r="A839" s="96"/>
      <c r="B839" s="96"/>
      <c r="C839" s="96"/>
      <c r="D839" s="177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</row>
    <row r="840">
      <c r="A840" s="96"/>
      <c r="B840" s="96"/>
      <c r="C840" s="96"/>
      <c r="D840" s="177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</row>
    <row r="841">
      <c r="A841" s="96"/>
      <c r="B841" s="96"/>
      <c r="C841" s="96"/>
      <c r="D841" s="177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</row>
    <row r="842">
      <c r="A842" s="96"/>
      <c r="B842" s="96"/>
      <c r="C842" s="96"/>
      <c r="D842" s="177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</row>
    <row r="843">
      <c r="A843" s="96"/>
      <c r="B843" s="96"/>
      <c r="C843" s="96"/>
      <c r="D843" s="177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</row>
    <row r="844">
      <c r="A844" s="96"/>
      <c r="B844" s="96"/>
      <c r="C844" s="96"/>
      <c r="D844" s="177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</row>
    <row r="845">
      <c r="A845" s="96"/>
      <c r="B845" s="96"/>
      <c r="C845" s="96"/>
      <c r="D845" s="177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</row>
    <row r="846">
      <c r="A846" s="96"/>
      <c r="B846" s="96"/>
      <c r="C846" s="96"/>
      <c r="D846" s="177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</row>
    <row r="847">
      <c r="A847" s="96"/>
      <c r="B847" s="96"/>
      <c r="C847" s="96"/>
      <c r="D847" s="177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</row>
    <row r="848">
      <c r="A848" s="96"/>
      <c r="B848" s="96"/>
      <c r="C848" s="96"/>
      <c r="D848" s="177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</row>
    <row r="849">
      <c r="A849" s="96"/>
      <c r="B849" s="96"/>
      <c r="C849" s="96"/>
      <c r="D849" s="177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</row>
    <row r="850">
      <c r="A850" s="96"/>
      <c r="B850" s="96"/>
      <c r="C850" s="96"/>
      <c r="D850" s="177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</row>
    <row r="851">
      <c r="A851" s="96"/>
      <c r="B851" s="96"/>
      <c r="C851" s="96"/>
      <c r="D851" s="177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</row>
    <row r="852">
      <c r="A852" s="96"/>
      <c r="B852" s="96"/>
      <c r="C852" s="96"/>
      <c r="D852" s="177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</row>
    <row r="853">
      <c r="A853" s="96"/>
      <c r="B853" s="96"/>
      <c r="C853" s="96"/>
      <c r="D853" s="177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</row>
    <row r="854">
      <c r="A854" s="96"/>
      <c r="B854" s="96"/>
      <c r="C854" s="96"/>
      <c r="D854" s="177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</row>
    <row r="855">
      <c r="A855" s="96"/>
      <c r="B855" s="96"/>
      <c r="C855" s="96"/>
      <c r="D855" s="177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</row>
    <row r="856">
      <c r="A856" s="96"/>
      <c r="B856" s="96"/>
      <c r="C856" s="96"/>
      <c r="D856" s="177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</row>
    <row r="857">
      <c r="A857" s="96"/>
      <c r="B857" s="96"/>
      <c r="C857" s="96"/>
      <c r="D857" s="177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</row>
    <row r="858">
      <c r="A858" s="96"/>
      <c r="B858" s="96"/>
      <c r="C858" s="96"/>
      <c r="D858" s="177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</row>
    <row r="859">
      <c r="A859" s="96"/>
      <c r="B859" s="96"/>
      <c r="C859" s="96"/>
      <c r="D859" s="177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</row>
    <row r="860">
      <c r="A860" s="96"/>
      <c r="B860" s="96"/>
      <c r="C860" s="96"/>
      <c r="D860" s="177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</row>
    <row r="861">
      <c r="A861" s="96"/>
      <c r="B861" s="96"/>
      <c r="C861" s="96"/>
      <c r="D861" s="177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</row>
    <row r="862">
      <c r="A862" s="96"/>
      <c r="B862" s="96"/>
      <c r="C862" s="96"/>
      <c r="D862" s="177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</row>
    <row r="863">
      <c r="A863" s="96"/>
      <c r="B863" s="96"/>
      <c r="C863" s="96"/>
      <c r="D863" s="177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</row>
    <row r="864">
      <c r="A864" s="96"/>
      <c r="B864" s="96"/>
      <c r="C864" s="96"/>
      <c r="D864" s="177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</row>
    <row r="865">
      <c r="A865" s="96"/>
      <c r="B865" s="96"/>
      <c r="C865" s="96"/>
      <c r="D865" s="177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</row>
    <row r="866">
      <c r="A866" s="96"/>
      <c r="B866" s="96"/>
      <c r="C866" s="96"/>
      <c r="D866" s="177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</row>
    <row r="867">
      <c r="A867" s="96"/>
      <c r="B867" s="96"/>
      <c r="C867" s="96"/>
      <c r="D867" s="177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</row>
    <row r="868">
      <c r="A868" s="96"/>
      <c r="B868" s="96"/>
      <c r="C868" s="96"/>
      <c r="D868" s="177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</row>
    <row r="869">
      <c r="A869" s="96"/>
      <c r="B869" s="96"/>
      <c r="C869" s="96"/>
      <c r="D869" s="177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</row>
    <row r="870">
      <c r="A870" s="96"/>
      <c r="B870" s="96"/>
      <c r="C870" s="96"/>
      <c r="D870" s="177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</row>
    <row r="871">
      <c r="A871" s="96"/>
      <c r="B871" s="96"/>
      <c r="C871" s="96"/>
      <c r="D871" s="177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</row>
    <row r="872">
      <c r="A872" s="96"/>
      <c r="B872" s="96"/>
      <c r="C872" s="96"/>
      <c r="D872" s="177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</row>
    <row r="873">
      <c r="A873" s="96"/>
      <c r="B873" s="96"/>
      <c r="C873" s="96"/>
      <c r="D873" s="177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</row>
    <row r="874">
      <c r="A874" s="96"/>
      <c r="B874" s="96"/>
      <c r="C874" s="96"/>
      <c r="D874" s="177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</row>
    <row r="875">
      <c r="A875" s="96"/>
      <c r="B875" s="96"/>
      <c r="C875" s="96"/>
      <c r="D875" s="177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</row>
    <row r="876">
      <c r="A876" s="96"/>
      <c r="B876" s="96"/>
      <c r="C876" s="96"/>
      <c r="D876" s="177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</row>
    <row r="877">
      <c r="A877" s="96"/>
      <c r="B877" s="96"/>
      <c r="C877" s="96"/>
      <c r="D877" s="177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</row>
    <row r="878">
      <c r="A878" s="96"/>
      <c r="B878" s="96"/>
      <c r="C878" s="96"/>
      <c r="D878" s="177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</row>
    <row r="879">
      <c r="A879" s="96"/>
      <c r="B879" s="96"/>
      <c r="C879" s="96"/>
      <c r="D879" s="177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</row>
    <row r="880">
      <c r="A880" s="96"/>
      <c r="B880" s="96"/>
      <c r="C880" s="96"/>
      <c r="D880" s="177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</row>
    <row r="881">
      <c r="A881" s="96"/>
      <c r="B881" s="96"/>
      <c r="C881" s="96"/>
      <c r="D881" s="177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</row>
    <row r="882">
      <c r="A882" s="96"/>
      <c r="B882" s="96"/>
      <c r="C882" s="96"/>
      <c r="D882" s="177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</row>
    <row r="883">
      <c r="A883" s="96"/>
      <c r="B883" s="96"/>
      <c r="C883" s="96"/>
      <c r="D883" s="177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</row>
    <row r="884">
      <c r="A884" s="96"/>
      <c r="B884" s="96"/>
      <c r="C884" s="96"/>
      <c r="D884" s="177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</row>
    <row r="885">
      <c r="A885" s="96"/>
      <c r="B885" s="96"/>
      <c r="C885" s="96"/>
      <c r="D885" s="177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</row>
    <row r="886">
      <c r="A886" s="96"/>
      <c r="B886" s="96"/>
      <c r="C886" s="96"/>
      <c r="D886" s="177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</row>
    <row r="887">
      <c r="A887" s="96"/>
      <c r="B887" s="96"/>
      <c r="C887" s="96"/>
      <c r="D887" s="177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</row>
    <row r="888">
      <c r="A888" s="96"/>
      <c r="B888" s="96"/>
      <c r="C888" s="96"/>
      <c r="D888" s="177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</row>
    <row r="889">
      <c r="A889" s="96"/>
      <c r="B889" s="96"/>
      <c r="C889" s="96"/>
      <c r="D889" s="177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</row>
    <row r="890">
      <c r="A890" s="96"/>
      <c r="B890" s="96"/>
      <c r="C890" s="96"/>
      <c r="D890" s="177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</row>
    <row r="891">
      <c r="A891" s="96"/>
      <c r="B891" s="96"/>
      <c r="C891" s="96"/>
      <c r="D891" s="177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</row>
    <row r="892">
      <c r="A892" s="96"/>
      <c r="B892" s="96"/>
      <c r="C892" s="96"/>
      <c r="D892" s="177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</row>
    <row r="893">
      <c r="A893" s="96"/>
      <c r="B893" s="96"/>
      <c r="C893" s="96"/>
      <c r="D893" s="177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</row>
    <row r="894">
      <c r="A894" s="96"/>
      <c r="B894" s="96"/>
      <c r="C894" s="96"/>
      <c r="D894" s="177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</row>
    <row r="895">
      <c r="A895" s="96"/>
      <c r="B895" s="96"/>
      <c r="C895" s="96"/>
      <c r="D895" s="177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</row>
    <row r="896">
      <c r="A896" s="96"/>
      <c r="B896" s="96"/>
      <c r="C896" s="96"/>
      <c r="D896" s="177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</row>
    <row r="897">
      <c r="A897" s="96"/>
      <c r="B897" s="96"/>
      <c r="C897" s="96"/>
      <c r="D897" s="177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</row>
    <row r="898">
      <c r="A898" s="96"/>
      <c r="B898" s="96"/>
      <c r="C898" s="96"/>
      <c r="D898" s="177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</row>
    <row r="899">
      <c r="A899" s="96"/>
      <c r="B899" s="96"/>
      <c r="C899" s="96"/>
      <c r="D899" s="177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</row>
    <row r="900">
      <c r="A900" s="96"/>
      <c r="B900" s="96"/>
      <c r="C900" s="96"/>
      <c r="D900" s="177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</row>
    <row r="901">
      <c r="A901" s="96"/>
      <c r="B901" s="96"/>
      <c r="C901" s="96"/>
      <c r="D901" s="177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</row>
    <row r="902">
      <c r="A902" s="96"/>
      <c r="B902" s="96"/>
      <c r="C902" s="96"/>
      <c r="D902" s="177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</row>
    <row r="903">
      <c r="A903" s="96"/>
      <c r="B903" s="96"/>
      <c r="C903" s="96"/>
      <c r="D903" s="177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</row>
    <row r="904">
      <c r="A904" s="96"/>
      <c r="B904" s="96"/>
      <c r="C904" s="96"/>
      <c r="D904" s="177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</row>
    <row r="905">
      <c r="A905" s="96"/>
      <c r="B905" s="96"/>
      <c r="C905" s="96"/>
      <c r="D905" s="177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</row>
    <row r="906">
      <c r="A906" s="96"/>
      <c r="B906" s="96"/>
      <c r="C906" s="96"/>
      <c r="D906" s="177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</row>
    <row r="907">
      <c r="A907" s="96"/>
      <c r="B907" s="96"/>
      <c r="C907" s="96"/>
      <c r="D907" s="177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</row>
    <row r="908">
      <c r="A908" s="96"/>
      <c r="B908" s="96"/>
      <c r="C908" s="96"/>
      <c r="D908" s="177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</row>
    <row r="909">
      <c r="A909" s="96"/>
      <c r="B909" s="96"/>
      <c r="C909" s="96"/>
      <c r="D909" s="177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</row>
    <row r="910">
      <c r="A910" s="96"/>
      <c r="B910" s="96"/>
      <c r="C910" s="96"/>
      <c r="D910" s="177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</row>
    <row r="911">
      <c r="A911" s="96"/>
      <c r="B911" s="96"/>
      <c r="C911" s="96"/>
      <c r="D911" s="177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</row>
    <row r="912">
      <c r="A912" s="96"/>
      <c r="B912" s="96"/>
      <c r="C912" s="96"/>
      <c r="D912" s="177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</row>
    <row r="913">
      <c r="A913" s="96"/>
      <c r="B913" s="96"/>
      <c r="C913" s="96"/>
      <c r="D913" s="177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</row>
    <row r="914">
      <c r="A914" s="96"/>
      <c r="B914" s="96"/>
      <c r="C914" s="96"/>
      <c r="D914" s="177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</row>
    <row r="915">
      <c r="A915" s="96"/>
      <c r="B915" s="96"/>
      <c r="C915" s="96"/>
      <c r="D915" s="177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</row>
    <row r="916">
      <c r="A916" s="96"/>
      <c r="B916" s="96"/>
      <c r="C916" s="96"/>
      <c r="D916" s="177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</row>
    <row r="917">
      <c r="A917" s="96"/>
      <c r="B917" s="96"/>
      <c r="C917" s="96"/>
      <c r="D917" s="177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</row>
    <row r="918">
      <c r="A918" s="96"/>
      <c r="B918" s="96"/>
      <c r="C918" s="96"/>
      <c r="D918" s="177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</row>
    <row r="919">
      <c r="A919" s="96"/>
      <c r="B919" s="96"/>
      <c r="C919" s="96"/>
      <c r="D919" s="177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</row>
    <row r="920">
      <c r="A920" s="96"/>
      <c r="B920" s="96"/>
      <c r="C920" s="96"/>
      <c r="D920" s="177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</row>
    <row r="921">
      <c r="A921" s="96"/>
      <c r="B921" s="96"/>
      <c r="C921" s="96"/>
      <c r="D921" s="177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</row>
    <row r="922">
      <c r="A922" s="96"/>
      <c r="B922" s="96"/>
      <c r="C922" s="96"/>
      <c r="D922" s="177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</row>
    <row r="923">
      <c r="A923" s="96"/>
      <c r="B923" s="96"/>
      <c r="C923" s="96"/>
      <c r="D923" s="177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</row>
    <row r="924">
      <c r="A924" s="96"/>
      <c r="B924" s="96"/>
      <c r="C924" s="96"/>
      <c r="D924" s="177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</row>
    <row r="925">
      <c r="A925" s="96"/>
      <c r="B925" s="96"/>
      <c r="C925" s="96"/>
      <c r="D925" s="177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</row>
    <row r="926">
      <c r="A926" s="96"/>
      <c r="B926" s="96"/>
      <c r="C926" s="96"/>
      <c r="D926" s="177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</row>
    <row r="927">
      <c r="A927" s="96"/>
      <c r="B927" s="96"/>
      <c r="C927" s="96"/>
      <c r="D927" s="177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</row>
    <row r="928">
      <c r="A928" s="96"/>
      <c r="B928" s="96"/>
      <c r="C928" s="96"/>
      <c r="D928" s="177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</row>
    <row r="929">
      <c r="A929" s="96"/>
      <c r="B929" s="96"/>
      <c r="C929" s="96"/>
      <c r="D929" s="177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</row>
    <row r="930">
      <c r="A930" s="96"/>
      <c r="B930" s="96"/>
      <c r="C930" s="96"/>
      <c r="D930" s="177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</row>
    <row r="931">
      <c r="A931" s="96"/>
      <c r="B931" s="96"/>
      <c r="C931" s="96"/>
      <c r="D931" s="177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</row>
    <row r="932">
      <c r="A932" s="96"/>
      <c r="B932" s="96"/>
      <c r="C932" s="96"/>
      <c r="D932" s="177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</row>
    <row r="933">
      <c r="A933" s="96"/>
      <c r="B933" s="96"/>
      <c r="C933" s="96"/>
      <c r="D933" s="177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</row>
    <row r="934">
      <c r="A934" s="96"/>
      <c r="B934" s="96"/>
      <c r="C934" s="96"/>
      <c r="D934" s="177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</row>
    <row r="935">
      <c r="A935" s="96"/>
      <c r="B935" s="96"/>
      <c r="C935" s="96"/>
      <c r="D935" s="177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</row>
    <row r="936">
      <c r="A936" s="96"/>
      <c r="B936" s="96"/>
      <c r="C936" s="96"/>
      <c r="D936" s="177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</row>
    <row r="937">
      <c r="A937" s="96"/>
      <c r="B937" s="96"/>
      <c r="C937" s="96"/>
      <c r="D937" s="177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</row>
    <row r="938">
      <c r="A938" s="96"/>
      <c r="B938" s="96"/>
      <c r="C938" s="96"/>
      <c r="D938" s="177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</row>
    <row r="939">
      <c r="A939" s="96"/>
      <c r="B939" s="96"/>
      <c r="C939" s="96"/>
      <c r="D939" s="177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</row>
    <row r="940">
      <c r="A940" s="96"/>
      <c r="B940" s="96"/>
      <c r="C940" s="96"/>
      <c r="D940" s="177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</row>
    <row r="941">
      <c r="A941" s="96"/>
      <c r="B941" s="96"/>
      <c r="C941" s="96"/>
      <c r="D941" s="177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</row>
    <row r="942">
      <c r="A942" s="96"/>
      <c r="B942" s="96"/>
      <c r="C942" s="96"/>
      <c r="D942" s="177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</row>
    <row r="943">
      <c r="A943" s="96"/>
      <c r="B943" s="96"/>
      <c r="C943" s="96"/>
      <c r="D943" s="177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</row>
    <row r="944">
      <c r="A944" s="96"/>
      <c r="B944" s="96"/>
      <c r="C944" s="96"/>
      <c r="D944" s="177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</row>
    <row r="945">
      <c r="A945" s="96"/>
      <c r="B945" s="96"/>
      <c r="C945" s="96"/>
      <c r="D945" s="177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</row>
    <row r="946">
      <c r="A946" s="96"/>
      <c r="B946" s="96"/>
      <c r="C946" s="96"/>
      <c r="D946" s="177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</row>
    <row r="947">
      <c r="A947" s="96"/>
      <c r="B947" s="96"/>
      <c r="C947" s="96"/>
      <c r="D947" s="177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</row>
    <row r="948">
      <c r="A948" s="96"/>
      <c r="B948" s="96"/>
      <c r="C948" s="96"/>
      <c r="D948" s="177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</row>
    <row r="949">
      <c r="A949" s="96"/>
      <c r="B949" s="96"/>
      <c r="C949" s="96"/>
      <c r="D949" s="177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</row>
    <row r="950">
      <c r="A950" s="96"/>
      <c r="B950" s="96"/>
      <c r="C950" s="96"/>
      <c r="D950" s="177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</row>
    <row r="951">
      <c r="A951" s="96"/>
      <c r="B951" s="96"/>
      <c r="C951" s="96"/>
      <c r="D951" s="177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</row>
    <row r="952">
      <c r="A952" s="96"/>
      <c r="B952" s="96"/>
      <c r="C952" s="96"/>
      <c r="D952" s="177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</row>
    <row r="953">
      <c r="A953" s="96"/>
      <c r="B953" s="96"/>
      <c r="C953" s="96"/>
      <c r="D953" s="177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</row>
    <row r="954">
      <c r="A954" s="96"/>
      <c r="B954" s="96"/>
      <c r="C954" s="96"/>
      <c r="D954" s="177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</row>
    <row r="955">
      <c r="A955" s="96"/>
      <c r="B955" s="96"/>
      <c r="C955" s="96"/>
      <c r="D955" s="177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</row>
    <row r="956">
      <c r="A956" s="96"/>
      <c r="B956" s="96"/>
      <c r="C956" s="96"/>
      <c r="D956" s="177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</row>
    <row r="957">
      <c r="A957" s="96"/>
      <c r="B957" s="96"/>
      <c r="C957" s="96"/>
      <c r="D957" s="177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</row>
    <row r="958">
      <c r="A958" s="96"/>
      <c r="B958" s="96"/>
      <c r="C958" s="96"/>
      <c r="D958" s="177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</row>
    <row r="959">
      <c r="A959" s="96"/>
      <c r="B959" s="96"/>
      <c r="C959" s="96"/>
      <c r="D959" s="177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</row>
    <row r="960">
      <c r="A960" s="96"/>
      <c r="B960" s="96"/>
      <c r="C960" s="96"/>
      <c r="D960" s="177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</row>
    <row r="961">
      <c r="A961" s="96"/>
      <c r="B961" s="96"/>
      <c r="C961" s="96"/>
      <c r="D961" s="177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</row>
    <row r="962">
      <c r="A962" s="96"/>
      <c r="B962" s="96"/>
      <c r="C962" s="96"/>
      <c r="D962" s="177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</row>
    <row r="963">
      <c r="A963" s="96"/>
      <c r="B963" s="96"/>
      <c r="C963" s="96"/>
      <c r="D963" s="177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</row>
    <row r="964">
      <c r="A964" s="96"/>
      <c r="B964" s="96"/>
      <c r="C964" s="96"/>
      <c r="D964" s="177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</row>
    <row r="965">
      <c r="A965" s="96"/>
      <c r="B965" s="96"/>
      <c r="C965" s="96"/>
      <c r="D965" s="177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</row>
    <row r="966">
      <c r="A966" s="96"/>
      <c r="B966" s="96"/>
      <c r="C966" s="96"/>
      <c r="D966" s="177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</row>
    <row r="967">
      <c r="A967" s="96"/>
      <c r="B967" s="96"/>
      <c r="C967" s="96"/>
      <c r="D967" s="177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</row>
    <row r="968">
      <c r="A968" s="96"/>
      <c r="B968" s="96"/>
      <c r="C968" s="96"/>
      <c r="D968" s="177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</row>
    <row r="969">
      <c r="A969" s="96"/>
      <c r="B969" s="96"/>
      <c r="C969" s="96"/>
      <c r="D969" s="177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</row>
    <row r="970">
      <c r="A970" s="96"/>
      <c r="B970" s="96"/>
      <c r="C970" s="96"/>
      <c r="D970" s="177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</row>
    <row r="971">
      <c r="A971" s="96"/>
      <c r="B971" s="96"/>
      <c r="C971" s="96"/>
      <c r="D971" s="177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</row>
    <row r="972">
      <c r="A972" s="96"/>
      <c r="B972" s="96"/>
      <c r="C972" s="96"/>
      <c r="D972" s="177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</row>
    <row r="973">
      <c r="A973" s="96"/>
      <c r="B973" s="96"/>
      <c r="C973" s="96"/>
      <c r="D973" s="177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</row>
    <row r="974">
      <c r="A974" s="96"/>
      <c r="B974" s="96"/>
      <c r="C974" s="96"/>
      <c r="D974" s="177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</row>
    <row r="975">
      <c r="A975" s="96"/>
      <c r="B975" s="96"/>
      <c r="C975" s="96"/>
      <c r="D975" s="177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</row>
    <row r="976">
      <c r="A976" s="96"/>
      <c r="B976" s="96"/>
      <c r="C976" s="96"/>
      <c r="D976" s="177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</row>
    <row r="977">
      <c r="A977" s="96"/>
      <c r="B977" s="96"/>
      <c r="C977" s="96"/>
      <c r="D977" s="177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</row>
    <row r="978">
      <c r="A978" s="96"/>
      <c r="B978" s="96"/>
      <c r="C978" s="96"/>
      <c r="D978" s="177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</row>
    <row r="979">
      <c r="A979" s="96"/>
      <c r="B979" s="96"/>
      <c r="C979" s="96"/>
      <c r="D979" s="177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</row>
    <row r="980">
      <c r="A980" s="96"/>
      <c r="B980" s="96"/>
      <c r="C980" s="96"/>
      <c r="D980" s="177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</row>
    <row r="981">
      <c r="A981" s="96"/>
      <c r="B981" s="96"/>
      <c r="C981" s="96"/>
      <c r="D981" s="177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</row>
    <row r="982">
      <c r="A982" s="96"/>
      <c r="B982" s="96"/>
      <c r="C982" s="96"/>
      <c r="D982" s="177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</row>
    <row r="983">
      <c r="A983" s="96"/>
      <c r="B983" s="96"/>
      <c r="C983" s="96"/>
      <c r="D983" s="177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</row>
    <row r="984">
      <c r="A984" s="96"/>
      <c r="B984" s="96"/>
      <c r="C984" s="96"/>
      <c r="D984" s="177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</row>
    <row r="985">
      <c r="A985" s="96"/>
      <c r="B985" s="96"/>
      <c r="C985" s="96"/>
      <c r="D985" s="177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</row>
    <row r="986">
      <c r="A986" s="96"/>
      <c r="B986" s="96"/>
      <c r="C986" s="96"/>
      <c r="D986" s="177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</row>
    <row r="987">
      <c r="A987" s="96"/>
      <c r="B987" s="96"/>
      <c r="C987" s="96"/>
      <c r="D987" s="177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</row>
    <row r="988">
      <c r="A988" s="96"/>
      <c r="B988" s="96"/>
      <c r="C988" s="96"/>
      <c r="D988" s="177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</row>
    <row r="989">
      <c r="A989" s="96"/>
      <c r="B989" s="96"/>
      <c r="C989" s="96"/>
      <c r="D989" s="177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</row>
    <row r="990">
      <c r="A990" s="96"/>
      <c r="B990" s="96"/>
      <c r="C990" s="96"/>
      <c r="D990" s="177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</row>
    <row r="991">
      <c r="A991" s="96"/>
      <c r="B991" s="96"/>
      <c r="C991" s="96"/>
      <c r="D991" s="177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</row>
    <row r="992">
      <c r="A992" s="96"/>
      <c r="B992" s="96"/>
      <c r="C992" s="96"/>
      <c r="D992" s="177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</row>
    <row r="993">
      <c r="A993" s="96"/>
      <c r="B993" s="96"/>
      <c r="C993" s="96"/>
      <c r="D993" s="177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</row>
    <row r="994">
      <c r="A994" s="96"/>
      <c r="B994" s="96"/>
      <c r="C994" s="96"/>
      <c r="D994" s="177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</row>
    <row r="995">
      <c r="A995" s="96"/>
      <c r="B995" s="96"/>
      <c r="C995" s="96"/>
      <c r="D995" s="177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</row>
    <row r="996">
      <c r="A996" s="96"/>
      <c r="B996" s="96"/>
      <c r="C996" s="96"/>
      <c r="D996" s="177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</row>
    <row r="997">
      <c r="A997" s="96"/>
      <c r="B997" s="96"/>
      <c r="C997" s="96"/>
      <c r="D997" s="177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</row>
    <row r="998">
      <c r="A998" s="96"/>
      <c r="B998" s="96"/>
      <c r="C998" s="96"/>
      <c r="D998" s="177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</row>
    <row r="999">
      <c r="A999" s="96"/>
      <c r="B999" s="96"/>
      <c r="C999" s="96"/>
      <c r="D999" s="177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</row>
    <row r="1000">
      <c r="A1000" s="96"/>
      <c r="B1000" s="96"/>
      <c r="C1000" s="96"/>
      <c r="D1000" s="177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</row>
  </sheetData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13"/>
    <col customWidth="1" min="2" max="2" width="10.88"/>
    <col customWidth="1" min="3" max="3" width="21.88"/>
    <col customWidth="1" min="4" max="4" width="11.5"/>
    <col customWidth="1" min="5" max="5" width="20.25"/>
    <col customWidth="1" min="6" max="7" width="21.13"/>
    <col customWidth="1" min="11" max="11" width="21.88"/>
    <col customWidth="1" min="12" max="12" width="11.5"/>
    <col customWidth="1" min="14" max="14" width="15.63"/>
  </cols>
  <sheetData>
    <row r="1">
      <c r="A1" s="181" t="s">
        <v>1449</v>
      </c>
      <c r="B1" s="182" t="s">
        <v>1450</v>
      </c>
      <c r="C1" s="182" t="s">
        <v>3</v>
      </c>
      <c r="D1" s="182" t="s">
        <v>58</v>
      </c>
      <c r="E1" s="182" t="s">
        <v>1451</v>
      </c>
      <c r="F1" s="183"/>
      <c r="G1" s="183" t="s">
        <v>1449</v>
      </c>
      <c r="H1" s="3" t="s">
        <v>1452</v>
      </c>
      <c r="I1" s="184"/>
      <c r="J1" s="184"/>
      <c r="K1" s="3" t="s">
        <v>3</v>
      </c>
      <c r="L1" s="3" t="s">
        <v>58</v>
      </c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</row>
    <row r="2">
      <c r="A2" s="185" t="s">
        <v>1453</v>
      </c>
      <c r="B2" s="186" t="s">
        <v>1372</v>
      </c>
      <c r="C2" s="186" t="s">
        <v>429</v>
      </c>
      <c r="D2" s="186" t="s">
        <v>430</v>
      </c>
      <c r="E2" s="186" t="str">
        <f t="shared" ref="E2:E811" si="1">D2&amp;"-"&amp;B2</f>
        <v>PP1500-202-BD</v>
      </c>
      <c r="F2" s="187"/>
      <c r="G2" s="187" t="s">
        <v>618</v>
      </c>
      <c r="H2" s="146" t="s">
        <v>1372</v>
      </c>
      <c r="K2" s="146" t="s">
        <v>429</v>
      </c>
      <c r="L2" s="146" t="s">
        <v>430</v>
      </c>
    </row>
    <row r="3">
      <c r="A3" s="185" t="s">
        <v>663</v>
      </c>
      <c r="B3" s="186" t="s">
        <v>889</v>
      </c>
      <c r="C3" s="186" t="s">
        <v>429</v>
      </c>
      <c r="D3" s="186" t="s">
        <v>430</v>
      </c>
      <c r="E3" s="186" t="str">
        <f t="shared" si="1"/>
        <v>PP1500-202-CC</v>
      </c>
      <c r="F3" s="187"/>
      <c r="G3" s="187" t="s">
        <v>604</v>
      </c>
      <c r="H3" s="146" t="s">
        <v>889</v>
      </c>
      <c r="K3" s="146" t="s">
        <v>431</v>
      </c>
      <c r="L3" s="146" t="s">
        <v>432</v>
      </c>
    </row>
    <row r="4">
      <c r="A4" s="188" t="s">
        <v>1454</v>
      </c>
      <c r="B4" s="186" t="s">
        <v>1086</v>
      </c>
      <c r="C4" s="186" t="s">
        <v>429</v>
      </c>
      <c r="D4" s="186" t="s">
        <v>430</v>
      </c>
      <c r="E4" s="186" t="str">
        <f t="shared" si="1"/>
        <v>PP1500-202-FA</v>
      </c>
      <c r="F4" s="187"/>
      <c r="G4" s="187" t="s">
        <v>614</v>
      </c>
      <c r="H4" s="146" t="s">
        <v>1086</v>
      </c>
      <c r="K4" s="146" t="s">
        <v>433</v>
      </c>
      <c r="L4" s="146" t="s">
        <v>434</v>
      </c>
    </row>
    <row r="5">
      <c r="A5" s="188" t="s">
        <v>1455</v>
      </c>
      <c r="B5" s="186" t="s">
        <v>899</v>
      </c>
      <c r="C5" s="186" t="s">
        <v>429</v>
      </c>
      <c r="D5" s="186" t="s">
        <v>430</v>
      </c>
      <c r="E5" s="186" t="str">
        <f t="shared" si="1"/>
        <v>PP1500-202-CU</v>
      </c>
      <c r="F5" s="187"/>
      <c r="G5" s="187" t="s">
        <v>609</v>
      </c>
      <c r="H5" s="146" t="s">
        <v>899</v>
      </c>
      <c r="K5" s="146" t="s">
        <v>441</v>
      </c>
      <c r="L5" s="146" t="s">
        <v>442</v>
      </c>
    </row>
    <row r="6">
      <c r="A6" s="188" t="s">
        <v>1456</v>
      </c>
      <c r="B6" s="186" t="s">
        <v>902</v>
      </c>
      <c r="C6" s="186" t="s">
        <v>429</v>
      </c>
      <c r="D6" s="186" t="s">
        <v>430</v>
      </c>
      <c r="E6" s="186" t="str">
        <f t="shared" si="1"/>
        <v>PP1500-202-GB</v>
      </c>
      <c r="F6" s="187"/>
      <c r="G6" s="187" t="s">
        <v>612</v>
      </c>
      <c r="H6" s="146" t="s">
        <v>902</v>
      </c>
      <c r="K6" s="146" t="s">
        <v>443</v>
      </c>
      <c r="L6" s="146" t="s">
        <v>444</v>
      </c>
    </row>
    <row r="7">
      <c r="A7" s="188" t="s">
        <v>1457</v>
      </c>
      <c r="B7" s="186" t="s">
        <v>931</v>
      </c>
      <c r="C7" s="186" t="s">
        <v>429</v>
      </c>
      <c r="D7" s="186" t="s">
        <v>430</v>
      </c>
      <c r="E7" s="186" t="str">
        <f t="shared" si="1"/>
        <v>PP1500-202-PF</v>
      </c>
      <c r="F7" s="187"/>
      <c r="G7" s="187" t="s">
        <v>616</v>
      </c>
      <c r="H7" s="146" t="s">
        <v>931</v>
      </c>
      <c r="K7" s="146" t="s">
        <v>445</v>
      </c>
      <c r="L7" s="146" t="s">
        <v>446</v>
      </c>
    </row>
    <row r="8">
      <c r="A8" s="188" t="s">
        <v>1458</v>
      </c>
      <c r="B8" s="186" t="s">
        <v>928</v>
      </c>
      <c r="C8" s="186" t="s">
        <v>429</v>
      </c>
      <c r="D8" s="186" t="s">
        <v>430</v>
      </c>
      <c r="E8" s="186" t="str">
        <f t="shared" si="1"/>
        <v>PP1500-202-PPO</v>
      </c>
      <c r="F8" s="187"/>
      <c r="G8" s="187" t="s">
        <v>613</v>
      </c>
      <c r="H8" s="146" t="s">
        <v>928</v>
      </c>
      <c r="K8" s="146" t="s">
        <v>453</v>
      </c>
      <c r="L8" s="146" t="s">
        <v>454</v>
      </c>
    </row>
    <row r="9">
      <c r="A9" s="188" t="s">
        <v>1459</v>
      </c>
      <c r="B9" s="186" t="s">
        <v>908</v>
      </c>
      <c r="C9" s="186" t="s">
        <v>429</v>
      </c>
      <c r="D9" s="186" t="s">
        <v>430</v>
      </c>
      <c r="E9" s="186" t="str">
        <f t="shared" si="1"/>
        <v>PP1500-202-POL</v>
      </c>
      <c r="F9" s="187"/>
      <c r="G9" s="187" t="s">
        <v>619</v>
      </c>
      <c r="H9" s="146" t="s">
        <v>908</v>
      </c>
      <c r="K9" s="146" t="s">
        <v>455</v>
      </c>
      <c r="L9" s="146" t="s">
        <v>456</v>
      </c>
    </row>
    <row r="10">
      <c r="A10" s="185" t="s">
        <v>1460</v>
      </c>
      <c r="B10" s="189" t="s">
        <v>1461</v>
      </c>
      <c r="C10" s="186" t="s">
        <v>429</v>
      </c>
      <c r="D10" s="186" t="s">
        <v>430</v>
      </c>
      <c r="E10" s="186" t="str">
        <f t="shared" si="1"/>
        <v>PP1500-202-PR</v>
      </c>
      <c r="F10" s="187"/>
      <c r="G10" s="187" t="s">
        <v>665</v>
      </c>
      <c r="H10" s="146" t="e">
        <v>#N/A</v>
      </c>
      <c r="I10" s="149" t="s">
        <v>1461</v>
      </c>
      <c r="K10" s="146" t="s">
        <v>457</v>
      </c>
      <c r="L10" s="146" t="s">
        <v>458</v>
      </c>
    </row>
    <row r="11">
      <c r="A11" s="188" t="s">
        <v>1462</v>
      </c>
      <c r="B11" s="186" t="s">
        <v>629</v>
      </c>
      <c r="C11" s="186" t="s">
        <v>429</v>
      </c>
      <c r="D11" s="186" t="s">
        <v>430</v>
      </c>
      <c r="E11" s="186" t="str">
        <f t="shared" si="1"/>
        <v>PP1500-202-QC</v>
      </c>
      <c r="F11" s="187"/>
      <c r="G11" s="187" t="s">
        <v>629</v>
      </c>
      <c r="H11" s="146" t="s">
        <v>629</v>
      </c>
      <c r="K11" s="146" t="s">
        <v>459</v>
      </c>
      <c r="L11" s="146" t="s">
        <v>460</v>
      </c>
    </row>
    <row r="12">
      <c r="A12" s="188" t="s">
        <v>1463</v>
      </c>
      <c r="B12" s="186" t="s">
        <v>1464</v>
      </c>
      <c r="C12" s="186" t="s">
        <v>429</v>
      </c>
      <c r="D12" s="186" t="s">
        <v>430</v>
      </c>
      <c r="E12" s="186" t="str">
        <f t="shared" si="1"/>
        <v>PP1500-202-RP1</v>
      </c>
      <c r="F12" s="187"/>
      <c r="G12" s="187" t="s">
        <v>1465</v>
      </c>
      <c r="H12" s="146" t="s">
        <v>1464</v>
      </c>
      <c r="K12" s="146" t="s">
        <v>461</v>
      </c>
      <c r="L12" s="146" t="s">
        <v>462</v>
      </c>
    </row>
    <row r="13">
      <c r="A13" s="188" t="s">
        <v>1466</v>
      </c>
      <c r="B13" s="189" t="s">
        <v>1467</v>
      </c>
      <c r="C13" s="186" t="s">
        <v>429</v>
      </c>
      <c r="D13" s="186" t="s">
        <v>430</v>
      </c>
      <c r="E13" s="186" t="str">
        <f t="shared" si="1"/>
        <v>PP1500-202-RP2</v>
      </c>
      <c r="F13" s="187"/>
      <c r="G13" s="187" t="s">
        <v>1468</v>
      </c>
      <c r="H13" s="146" t="e">
        <v>#N/A</v>
      </c>
      <c r="I13" s="149" t="s">
        <v>1467</v>
      </c>
      <c r="K13" s="146" t="s">
        <v>463</v>
      </c>
      <c r="L13" s="146" t="s">
        <v>464</v>
      </c>
    </row>
    <row r="14">
      <c r="A14" s="188" t="s">
        <v>1469</v>
      </c>
      <c r="B14" s="186" t="s">
        <v>1086</v>
      </c>
      <c r="C14" s="186" t="s">
        <v>429</v>
      </c>
      <c r="D14" s="186" t="s">
        <v>430</v>
      </c>
      <c r="E14" s="186" t="str">
        <f t="shared" si="1"/>
        <v>PP1500-202-FA</v>
      </c>
      <c r="F14" s="187"/>
      <c r="G14" s="187" t="s">
        <v>620</v>
      </c>
      <c r="H14" s="146" t="s">
        <v>1086</v>
      </c>
      <c r="K14" s="146" t="s">
        <v>465</v>
      </c>
      <c r="L14" s="146" t="s">
        <v>466</v>
      </c>
    </row>
    <row r="15">
      <c r="A15" s="188" t="s">
        <v>1470</v>
      </c>
      <c r="B15" s="186" t="s">
        <v>904</v>
      </c>
      <c r="C15" s="186" t="s">
        <v>429</v>
      </c>
      <c r="D15" s="186" t="s">
        <v>430</v>
      </c>
      <c r="E15" s="186" t="str">
        <f t="shared" si="1"/>
        <v>PP1500-202-SI</v>
      </c>
      <c r="F15" s="187"/>
      <c r="G15" s="187" t="s">
        <v>615</v>
      </c>
      <c r="H15" s="146" t="s">
        <v>904</v>
      </c>
      <c r="K15" s="146" t="s">
        <v>467</v>
      </c>
      <c r="L15" s="146" t="s">
        <v>468</v>
      </c>
    </row>
    <row r="16">
      <c r="A16" s="188" t="s">
        <v>1471</v>
      </c>
      <c r="B16" s="186" t="s">
        <v>946</v>
      </c>
      <c r="C16" s="186" t="s">
        <v>429</v>
      </c>
      <c r="D16" s="186" t="s">
        <v>430</v>
      </c>
      <c r="E16" s="186" t="str">
        <f t="shared" si="1"/>
        <v>PP1500-202-SD</v>
      </c>
      <c r="F16" s="187"/>
      <c r="G16" s="187" t="s">
        <v>608</v>
      </c>
      <c r="H16" s="146" t="s">
        <v>946</v>
      </c>
      <c r="K16" s="146" t="s">
        <v>469</v>
      </c>
      <c r="L16" s="146" t="s">
        <v>470</v>
      </c>
    </row>
    <row r="17">
      <c r="A17" s="188" t="s">
        <v>1472</v>
      </c>
      <c r="B17" s="186" t="s">
        <v>896</v>
      </c>
      <c r="C17" s="186" t="s">
        <v>429</v>
      </c>
      <c r="D17" s="186" t="s">
        <v>430</v>
      </c>
      <c r="E17" s="186" t="str">
        <f t="shared" si="1"/>
        <v>PP1500-202-SX</v>
      </c>
      <c r="F17" s="187"/>
      <c r="G17" s="187" t="s">
        <v>607</v>
      </c>
      <c r="H17" s="146" t="s">
        <v>896</v>
      </c>
      <c r="K17" s="146" t="s">
        <v>1473</v>
      </c>
      <c r="L17" s="146" t="s">
        <v>494</v>
      </c>
    </row>
    <row r="18">
      <c r="A18" s="188" t="s">
        <v>1474</v>
      </c>
      <c r="B18" s="186" t="s">
        <v>948</v>
      </c>
      <c r="C18" s="186" t="s">
        <v>429</v>
      </c>
      <c r="D18" s="186" t="s">
        <v>430</v>
      </c>
      <c r="E18" s="186" t="str">
        <f t="shared" si="1"/>
        <v>PP1500-202-SF</v>
      </c>
      <c r="F18" s="187"/>
      <c r="G18" s="187" t="s">
        <v>610</v>
      </c>
      <c r="H18" s="146" t="s">
        <v>948</v>
      </c>
      <c r="K18" s="146" t="s">
        <v>1475</v>
      </c>
      <c r="L18" s="146" t="s">
        <v>496</v>
      </c>
    </row>
    <row r="19">
      <c r="A19" s="188" t="s">
        <v>1476</v>
      </c>
      <c r="B19" s="186" t="s">
        <v>1477</v>
      </c>
      <c r="C19" s="186" t="s">
        <v>429</v>
      </c>
      <c r="D19" s="186" t="s">
        <v>430</v>
      </c>
      <c r="E19" s="186" t="str">
        <f t="shared" si="1"/>
        <v>PP1500-202-PC</v>
      </c>
      <c r="F19" s="187"/>
      <c r="G19" s="187" t="s">
        <v>623</v>
      </c>
      <c r="H19" s="146" t="s">
        <v>1477</v>
      </c>
      <c r="K19" s="146" t="s">
        <v>1478</v>
      </c>
      <c r="L19" s="146" t="s">
        <v>498</v>
      </c>
    </row>
    <row r="20">
      <c r="A20" s="188" t="s">
        <v>1479</v>
      </c>
      <c r="B20" s="186" t="s">
        <v>914</v>
      </c>
      <c r="C20" s="186" t="s">
        <v>429</v>
      </c>
      <c r="D20" s="186" t="s">
        <v>430</v>
      </c>
      <c r="E20" s="186" t="str">
        <f t="shared" si="1"/>
        <v>PP1500-202-HH</v>
      </c>
      <c r="F20" s="187"/>
      <c r="G20" s="187" t="s">
        <v>624</v>
      </c>
      <c r="H20" s="146" t="s">
        <v>914</v>
      </c>
      <c r="K20" s="146" t="s">
        <v>1480</v>
      </c>
      <c r="L20" s="146" t="s">
        <v>500</v>
      </c>
    </row>
    <row r="21">
      <c r="A21" s="185" t="s">
        <v>1481</v>
      </c>
      <c r="B21" s="186" t="s">
        <v>916</v>
      </c>
      <c r="C21" s="186" t="s">
        <v>429</v>
      </c>
      <c r="D21" s="186" t="s">
        <v>430</v>
      </c>
      <c r="E21" s="186" t="str">
        <f t="shared" si="1"/>
        <v>PP1500-202-BH</v>
      </c>
      <c r="F21" s="187"/>
      <c r="G21" s="187" t="s">
        <v>626</v>
      </c>
      <c r="H21" s="146" t="s">
        <v>916</v>
      </c>
      <c r="K21" s="146" t="s">
        <v>1482</v>
      </c>
      <c r="L21" s="146" t="s">
        <v>502</v>
      </c>
    </row>
    <row r="22">
      <c r="A22" s="188" t="s">
        <v>1483</v>
      </c>
      <c r="B22" s="186" t="s">
        <v>960</v>
      </c>
      <c r="C22" s="186" t="s">
        <v>429</v>
      </c>
      <c r="D22" s="186" t="s">
        <v>430</v>
      </c>
      <c r="E22" s="186" t="str">
        <f t="shared" si="1"/>
        <v>PP1500-202-FB</v>
      </c>
      <c r="F22" s="187"/>
      <c r="G22" s="187" t="s">
        <v>628</v>
      </c>
      <c r="H22" s="146" t="s">
        <v>960</v>
      </c>
      <c r="K22" s="146" t="s">
        <v>447</v>
      </c>
      <c r="L22" s="146" t="s">
        <v>448</v>
      </c>
    </row>
    <row r="23">
      <c r="A23" s="188" t="s">
        <v>1484</v>
      </c>
      <c r="B23" s="189" t="s">
        <v>892</v>
      </c>
      <c r="C23" s="186" t="s">
        <v>429</v>
      </c>
      <c r="D23" s="186" t="s">
        <v>430</v>
      </c>
      <c r="E23" s="186" t="str">
        <f t="shared" si="1"/>
        <v>PP1500-202-PR1</v>
      </c>
      <c r="F23" s="187"/>
      <c r="G23" s="187" t="s">
        <v>605</v>
      </c>
      <c r="H23" s="149" t="s">
        <v>892</v>
      </c>
      <c r="K23" s="146" t="s">
        <v>449</v>
      </c>
      <c r="L23" s="146" t="s">
        <v>450</v>
      </c>
    </row>
    <row r="24">
      <c r="A24" s="188" t="s">
        <v>1485</v>
      </c>
      <c r="B24" s="189" t="s">
        <v>944</v>
      </c>
      <c r="C24" s="186" t="s">
        <v>429</v>
      </c>
      <c r="D24" s="186" t="s">
        <v>430</v>
      </c>
      <c r="E24" s="186" t="str">
        <f t="shared" si="1"/>
        <v>PP1500-202-PR2</v>
      </c>
      <c r="F24" s="187"/>
      <c r="G24" s="187" t="s">
        <v>606</v>
      </c>
      <c r="H24" s="149" t="s">
        <v>944</v>
      </c>
      <c r="K24" s="146" t="s">
        <v>451</v>
      </c>
      <c r="L24" s="146" t="s">
        <v>452</v>
      </c>
    </row>
    <row r="25">
      <c r="A25" s="188" t="s">
        <v>1486</v>
      </c>
      <c r="B25" s="186" t="s">
        <v>912</v>
      </c>
      <c r="C25" s="186" t="s">
        <v>429</v>
      </c>
      <c r="D25" s="186" t="s">
        <v>430</v>
      </c>
      <c r="E25" s="186" t="str">
        <f t="shared" si="1"/>
        <v>PP1500-202-CL</v>
      </c>
      <c r="F25" s="187"/>
      <c r="G25" s="187" t="s">
        <v>622</v>
      </c>
      <c r="H25" s="146" t="s">
        <v>912</v>
      </c>
      <c r="K25" s="146" t="s">
        <v>471</v>
      </c>
      <c r="L25" s="146" t="s">
        <v>1487</v>
      </c>
    </row>
    <row r="26">
      <c r="A26" s="188" t="s">
        <v>1488</v>
      </c>
      <c r="B26" s="189" t="s">
        <v>1489</v>
      </c>
      <c r="C26" s="186" t="s">
        <v>429</v>
      </c>
      <c r="D26" s="186" t="s">
        <v>430</v>
      </c>
      <c r="E26" s="186" t="str">
        <f t="shared" si="1"/>
        <v>PP1500-202-IFR</v>
      </c>
      <c r="F26" s="187"/>
      <c r="G26" s="187" t="s">
        <v>1490</v>
      </c>
      <c r="H26" s="146" t="e">
        <v>#N/A</v>
      </c>
      <c r="I26" s="149" t="s">
        <v>1489</v>
      </c>
      <c r="K26" s="146" t="s">
        <v>473</v>
      </c>
      <c r="L26" s="146" t="s">
        <v>1491</v>
      </c>
    </row>
    <row r="27">
      <c r="A27" s="188" t="s">
        <v>1492</v>
      </c>
      <c r="B27" s="186" t="s">
        <v>918</v>
      </c>
      <c r="C27" s="186" t="s">
        <v>429</v>
      </c>
      <c r="D27" s="186" t="s">
        <v>430</v>
      </c>
      <c r="E27" s="186" t="str">
        <f t="shared" si="1"/>
        <v>PP1500-202-FC</v>
      </c>
      <c r="F27" s="187"/>
      <c r="G27" s="187" t="s">
        <v>627</v>
      </c>
      <c r="H27" s="146" t="s">
        <v>918</v>
      </c>
      <c r="K27" s="146" t="s">
        <v>475</v>
      </c>
      <c r="L27" s="146" t="s">
        <v>1493</v>
      </c>
    </row>
    <row r="28">
      <c r="A28" s="185" t="s">
        <v>1494</v>
      </c>
      <c r="B28" s="189" t="s">
        <v>1495</v>
      </c>
      <c r="C28" s="186" t="s">
        <v>429</v>
      </c>
      <c r="D28" s="186" t="s">
        <v>430</v>
      </c>
      <c r="E28" s="186" t="str">
        <f t="shared" si="1"/>
        <v>PP1500-202-CBC</v>
      </c>
      <c r="F28" s="187"/>
      <c r="G28" s="187" t="s">
        <v>1496</v>
      </c>
      <c r="H28" s="146" t="e">
        <v>#N/A</v>
      </c>
      <c r="I28" s="149" t="s">
        <v>1495</v>
      </c>
      <c r="K28" s="146" t="s">
        <v>435</v>
      </c>
      <c r="L28" s="146" t="s">
        <v>436</v>
      </c>
    </row>
    <row r="29">
      <c r="A29" s="185" t="s">
        <v>1453</v>
      </c>
      <c r="B29" s="186" t="s">
        <v>1372</v>
      </c>
      <c r="C29" s="186" t="s">
        <v>431</v>
      </c>
      <c r="D29" s="186" t="s">
        <v>432</v>
      </c>
      <c r="E29" s="186" t="str">
        <f t="shared" si="1"/>
        <v>PP1000-202-BD</v>
      </c>
      <c r="K29" s="146" t="s">
        <v>437</v>
      </c>
      <c r="L29" s="146" t="s">
        <v>438</v>
      </c>
    </row>
    <row r="30">
      <c r="A30" s="185" t="s">
        <v>663</v>
      </c>
      <c r="B30" s="186" t="s">
        <v>889</v>
      </c>
      <c r="C30" s="186" t="s">
        <v>431</v>
      </c>
      <c r="D30" s="186" t="s">
        <v>432</v>
      </c>
      <c r="E30" s="186" t="str">
        <f t="shared" si="1"/>
        <v>PP1000-202-CC</v>
      </c>
      <c r="K30" s="146" t="s">
        <v>439</v>
      </c>
      <c r="L30" s="146" t="s">
        <v>596</v>
      </c>
    </row>
    <row r="31">
      <c r="A31" s="188" t="s">
        <v>1454</v>
      </c>
      <c r="B31" s="186" t="s">
        <v>1086</v>
      </c>
      <c r="C31" s="186" t="s">
        <v>431</v>
      </c>
      <c r="D31" s="186" t="s">
        <v>432</v>
      </c>
      <c r="E31" s="186" t="str">
        <f t="shared" si="1"/>
        <v>PP1000-202-FA</v>
      </c>
      <c r="K31" s="146" t="s">
        <v>1497</v>
      </c>
      <c r="L31" s="146" t="s">
        <v>478</v>
      </c>
    </row>
    <row r="32">
      <c r="A32" s="188" t="s">
        <v>1455</v>
      </c>
      <c r="B32" s="186" t="s">
        <v>899</v>
      </c>
      <c r="C32" s="186" t="s">
        <v>431</v>
      </c>
      <c r="D32" s="186" t="s">
        <v>432</v>
      </c>
      <c r="E32" s="186" t="str">
        <f t="shared" si="1"/>
        <v>PP1000-202-CU</v>
      </c>
      <c r="K32" s="146" t="s">
        <v>1498</v>
      </c>
      <c r="L32" s="146" t="s">
        <v>480</v>
      </c>
    </row>
    <row r="33">
      <c r="A33" s="188" t="s">
        <v>1456</v>
      </c>
      <c r="B33" s="186" t="s">
        <v>902</v>
      </c>
      <c r="C33" s="186" t="s">
        <v>431</v>
      </c>
      <c r="D33" s="186" t="s">
        <v>432</v>
      </c>
      <c r="E33" s="186" t="str">
        <f t="shared" si="1"/>
        <v>PP1000-202-GB</v>
      </c>
      <c r="K33" s="146" t="s">
        <v>1499</v>
      </c>
      <c r="L33" s="146" t="s">
        <v>482</v>
      </c>
    </row>
    <row r="34">
      <c r="A34" s="188" t="s">
        <v>1457</v>
      </c>
      <c r="B34" s="186" t="s">
        <v>931</v>
      </c>
      <c r="C34" s="186" t="s">
        <v>431</v>
      </c>
      <c r="D34" s="186" t="s">
        <v>432</v>
      </c>
      <c r="E34" s="186" t="str">
        <f t="shared" si="1"/>
        <v>PP1000-202-PF</v>
      </c>
    </row>
    <row r="35">
      <c r="A35" s="188" t="s">
        <v>1458</v>
      </c>
      <c r="B35" s="186" t="s">
        <v>928</v>
      </c>
      <c r="C35" s="186" t="s">
        <v>431</v>
      </c>
      <c r="D35" s="186" t="s">
        <v>432</v>
      </c>
      <c r="E35" s="186" t="str">
        <f t="shared" si="1"/>
        <v>PP1000-202-PPO</v>
      </c>
    </row>
    <row r="36">
      <c r="A36" s="188" t="s">
        <v>1459</v>
      </c>
      <c r="B36" s="186" t="s">
        <v>908</v>
      </c>
      <c r="C36" s="186" t="s">
        <v>431</v>
      </c>
      <c r="D36" s="186" t="s">
        <v>432</v>
      </c>
      <c r="E36" s="186" t="str">
        <f t="shared" si="1"/>
        <v>PP1000-202-POL</v>
      </c>
    </row>
    <row r="37">
      <c r="A37" s="185" t="s">
        <v>1460</v>
      </c>
      <c r="B37" s="189" t="s">
        <v>1461</v>
      </c>
      <c r="C37" s="186" t="s">
        <v>431</v>
      </c>
      <c r="D37" s="186" t="s">
        <v>432</v>
      </c>
      <c r="E37" s="186" t="str">
        <f t="shared" si="1"/>
        <v>PP1000-202-PR</v>
      </c>
    </row>
    <row r="38">
      <c r="A38" s="188" t="s">
        <v>1462</v>
      </c>
      <c r="B38" s="186" t="s">
        <v>629</v>
      </c>
      <c r="C38" s="186" t="s">
        <v>431</v>
      </c>
      <c r="D38" s="186" t="s">
        <v>432</v>
      </c>
      <c r="E38" s="186" t="str">
        <f t="shared" si="1"/>
        <v>PP1000-202-QC</v>
      </c>
    </row>
    <row r="39">
      <c r="A39" s="188" t="s">
        <v>1463</v>
      </c>
      <c r="B39" s="186" t="s">
        <v>1464</v>
      </c>
      <c r="C39" s="186" t="s">
        <v>431</v>
      </c>
      <c r="D39" s="186" t="s">
        <v>432</v>
      </c>
      <c r="E39" s="186" t="str">
        <f t="shared" si="1"/>
        <v>PP1000-202-RP1</v>
      </c>
    </row>
    <row r="40">
      <c r="A40" s="188" t="s">
        <v>1466</v>
      </c>
      <c r="B40" s="189" t="s">
        <v>1467</v>
      </c>
      <c r="C40" s="186" t="s">
        <v>431</v>
      </c>
      <c r="D40" s="186" t="s">
        <v>432</v>
      </c>
      <c r="E40" s="186" t="str">
        <f t="shared" si="1"/>
        <v>PP1000-202-RP2</v>
      </c>
    </row>
    <row r="41">
      <c r="A41" s="188" t="s">
        <v>1469</v>
      </c>
      <c r="B41" s="186" t="s">
        <v>1086</v>
      </c>
      <c r="C41" s="186" t="s">
        <v>431</v>
      </c>
      <c r="D41" s="186" t="s">
        <v>432</v>
      </c>
      <c r="E41" s="186" t="str">
        <f t="shared" si="1"/>
        <v>PP1000-202-FA</v>
      </c>
    </row>
    <row r="42">
      <c r="A42" s="188" t="s">
        <v>1470</v>
      </c>
      <c r="B42" s="186" t="s">
        <v>904</v>
      </c>
      <c r="C42" s="186" t="s">
        <v>431</v>
      </c>
      <c r="D42" s="186" t="s">
        <v>432</v>
      </c>
      <c r="E42" s="186" t="str">
        <f t="shared" si="1"/>
        <v>PP1000-202-SI</v>
      </c>
    </row>
    <row r="43">
      <c r="A43" s="188" t="s">
        <v>1471</v>
      </c>
      <c r="B43" s="186" t="s">
        <v>946</v>
      </c>
      <c r="C43" s="186" t="s">
        <v>431</v>
      </c>
      <c r="D43" s="186" t="s">
        <v>432</v>
      </c>
      <c r="E43" s="186" t="str">
        <f t="shared" si="1"/>
        <v>PP1000-202-SD</v>
      </c>
    </row>
    <row r="44">
      <c r="A44" s="188" t="s">
        <v>1472</v>
      </c>
      <c r="B44" s="186" t="s">
        <v>896</v>
      </c>
      <c r="C44" s="186" t="s">
        <v>431</v>
      </c>
      <c r="D44" s="186" t="s">
        <v>432</v>
      </c>
      <c r="E44" s="186" t="str">
        <f t="shared" si="1"/>
        <v>PP1000-202-SX</v>
      </c>
    </row>
    <row r="45">
      <c r="A45" s="188" t="s">
        <v>1474</v>
      </c>
      <c r="B45" s="186" t="s">
        <v>948</v>
      </c>
      <c r="C45" s="186" t="s">
        <v>431</v>
      </c>
      <c r="D45" s="186" t="s">
        <v>432</v>
      </c>
      <c r="E45" s="186" t="str">
        <f t="shared" si="1"/>
        <v>PP1000-202-SF</v>
      </c>
    </row>
    <row r="46">
      <c r="A46" s="188" t="s">
        <v>1476</v>
      </c>
      <c r="B46" s="186" t="s">
        <v>1477</v>
      </c>
      <c r="C46" s="186" t="s">
        <v>431</v>
      </c>
      <c r="D46" s="186" t="s">
        <v>432</v>
      </c>
      <c r="E46" s="186" t="str">
        <f t="shared" si="1"/>
        <v>PP1000-202-PC</v>
      </c>
    </row>
    <row r="47">
      <c r="A47" s="188" t="s">
        <v>1479</v>
      </c>
      <c r="B47" s="186" t="s">
        <v>914</v>
      </c>
      <c r="C47" s="186" t="s">
        <v>431</v>
      </c>
      <c r="D47" s="186" t="s">
        <v>432</v>
      </c>
      <c r="E47" s="186" t="str">
        <f t="shared" si="1"/>
        <v>PP1000-202-HH</v>
      </c>
    </row>
    <row r="48">
      <c r="A48" s="185" t="s">
        <v>1481</v>
      </c>
      <c r="B48" s="186" t="s">
        <v>916</v>
      </c>
      <c r="C48" s="186" t="s">
        <v>431</v>
      </c>
      <c r="D48" s="186" t="s">
        <v>432</v>
      </c>
      <c r="E48" s="186" t="str">
        <f t="shared" si="1"/>
        <v>PP1000-202-BH</v>
      </c>
    </row>
    <row r="49">
      <c r="A49" s="188" t="s">
        <v>1483</v>
      </c>
      <c r="B49" s="186" t="s">
        <v>960</v>
      </c>
      <c r="C49" s="186" t="s">
        <v>431</v>
      </c>
      <c r="D49" s="186" t="s">
        <v>432</v>
      </c>
      <c r="E49" s="186" t="str">
        <f t="shared" si="1"/>
        <v>PP1000-202-FB</v>
      </c>
    </row>
    <row r="50">
      <c r="A50" s="188" t="s">
        <v>1484</v>
      </c>
      <c r="B50" s="189" t="s">
        <v>892</v>
      </c>
      <c r="C50" s="186" t="s">
        <v>431</v>
      </c>
      <c r="D50" s="186" t="s">
        <v>432</v>
      </c>
      <c r="E50" s="186" t="str">
        <f t="shared" si="1"/>
        <v>PP1000-202-PR1</v>
      </c>
    </row>
    <row r="51">
      <c r="A51" s="188" t="s">
        <v>1485</v>
      </c>
      <c r="B51" s="189" t="s">
        <v>944</v>
      </c>
      <c r="C51" s="186" t="s">
        <v>431</v>
      </c>
      <c r="D51" s="186" t="s">
        <v>432</v>
      </c>
      <c r="E51" s="186" t="str">
        <f t="shared" si="1"/>
        <v>PP1000-202-PR2</v>
      </c>
    </row>
    <row r="52">
      <c r="A52" s="188" t="s">
        <v>1486</v>
      </c>
      <c r="B52" s="186" t="s">
        <v>912</v>
      </c>
      <c r="C52" s="186" t="s">
        <v>431</v>
      </c>
      <c r="D52" s="186" t="s">
        <v>432</v>
      </c>
      <c r="E52" s="186" t="str">
        <f t="shared" si="1"/>
        <v>PP1000-202-CL</v>
      </c>
    </row>
    <row r="53">
      <c r="A53" s="188" t="s">
        <v>1488</v>
      </c>
      <c r="B53" s="189" t="s">
        <v>1489</v>
      </c>
      <c r="C53" s="186" t="s">
        <v>431</v>
      </c>
      <c r="D53" s="186" t="s">
        <v>432</v>
      </c>
      <c r="E53" s="186" t="str">
        <f t="shared" si="1"/>
        <v>PP1000-202-IFR</v>
      </c>
    </row>
    <row r="54">
      <c r="A54" s="188" t="s">
        <v>1492</v>
      </c>
      <c r="B54" s="186" t="s">
        <v>918</v>
      </c>
      <c r="C54" s="186" t="s">
        <v>431</v>
      </c>
      <c r="D54" s="186" t="s">
        <v>432</v>
      </c>
      <c r="E54" s="186" t="str">
        <f t="shared" si="1"/>
        <v>PP1000-202-FC</v>
      </c>
    </row>
    <row r="55">
      <c r="A55" s="185" t="s">
        <v>1494</v>
      </c>
      <c r="B55" s="189" t="s">
        <v>1495</v>
      </c>
      <c r="C55" s="186" t="s">
        <v>431</v>
      </c>
      <c r="D55" s="186" t="s">
        <v>432</v>
      </c>
      <c r="E55" s="186" t="str">
        <f t="shared" si="1"/>
        <v>PP1000-202-CBC</v>
      </c>
    </row>
    <row r="56">
      <c r="A56" s="185" t="s">
        <v>1453</v>
      </c>
      <c r="B56" s="186" t="s">
        <v>1372</v>
      </c>
      <c r="C56" s="186" t="s">
        <v>433</v>
      </c>
      <c r="D56" s="186" t="s">
        <v>434</v>
      </c>
      <c r="E56" s="186" t="str">
        <f t="shared" si="1"/>
        <v>PP0400-202-BD</v>
      </c>
    </row>
    <row r="57">
      <c r="A57" s="185" t="s">
        <v>663</v>
      </c>
      <c r="B57" s="186" t="s">
        <v>889</v>
      </c>
      <c r="C57" s="186" t="s">
        <v>433</v>
      </c>
      <c r="D57" s="186" t="s">
        <v>434</v>
      </c>
      <c r="E57" s="186" t="str">
        <f t="shared" si="1"/>
        <v>PP0400-202-CC</v>
      </c>
    </row>
    <row r="58">
      <c r="A58" s="188" t="s">
        <v>1454</v>
      </c>
      <c r="B58" s="186" t="s">
        <v>1086</v>
      </c>
      <c r="C58" s="186" t="s">
        <v>433</v>
      </c>
      <c r="D58" s="186" t="s">
        <v>434</v>
      </c>
      <c r="E58" s="186" t="str">
        <f t="shared" si="1"/>
        <v>PP0400-202-FA</v>
      </c>
    </row>
    <row r="59">
      <c r="A59" s="188" t="s">
        <v>1455</v>
      </c>
      <c r="B59" s="186" t="s">
        <v>899</v>
      </c>
      <c r="C59" s="186" t="s">
        <v>433</v>
      </c>
      <c r="D59" s="186" t="s">
        <v>434</v>
      </c>
      <c r="E59" s="186" t="str">
        <f t="shared" si="1"/>
        <v>PP0400-202-CU</v>
      </c>
    </row>
    <row r="60">
      <c r="A60" s="188" t="s">
        <v>1456</v>
      </c>
      <c r="B60" s="186" t="s">
        <v>902</v>
      </c>
      <c r="C60" s="186" t="s">
        <v>433</v>
      </c>
      <c r="D60" s="186" t="s">
        <v>434</v>
      </c>
      <c r="E60" s="186" t="str">
        <f t="shared" si="1"/>
        <v>PP0400-202-GB</v>
      </c>
    </row>
    <row r="61">
      <c r="A61" s="188" t="s">
        <v>1457</v>
      </c>
      <c r="B61" s="186" t="s">
        <v>931</v>
      </c>
      <c r="C61" s="186" t="s">
        <v>433</v>
      </c>
      <c r="D61" s="186" t="s">
        <v>434</v>
      </c>
      <c r="E61" s="186" t="str">
        <f t="shared" si="1"/>
        <v>PP0400-202-PF</v>
      </c>
    </row>
    <row r="62">
      <c r="A62" s="188" t="s">
        <v>1458</v>
      </c>
      <c r="B62" s="186" t="s">
        <v>928</v>
      </c>
      <c r="C62" s="186" t="s">
        <v>433</v>
      </c>
      <c r="D62" s="186" t="s">
        <v>434</v>
      </c>
      <c r="E62" s="186" t="str">
        <f t="shared" si="1"/>
        <v>PP0400-202-PPO</v>
      </c>
    </row>
    <row r="63">
      <c r="A63" s="188" t="s">
        <v>1459</v>
      </c>
      <c r="B63" s="186" t="s">
        <v>908</v>
      </c>
      <c r="C63" s="186" t="s">
        <v>433</v>
      </c>
      <c r="D63" s="186" t="s">
        <v>434</v>
      </c>
      <c r="E63" s="186" t="str">
        <f t="shared" si="1"/>
        <v>PP0400-202-POL</v>
      </c>
    </row>
    <row r="64">
      <c r="A64" s="185" t="s">
        <v>1460</v>
      </c>
      <c r="B64" s="189" t="s">
        <v>1461</v>
      </c>
      <c r="C64" s="186" t="s">
        <v>433</v>
      </c>
      <c r="D64" s="186" t="s">
        <v>434</v>
      </c>
      <c r="E64" s="186" t="str">
        <f t="shared" si="1"/>
        <v>PP0400-202-PR</v>
      </c>
    </row>
    <row r="65">
      <c r="A65" s="188" t="s">
        <v>1462</v>
      </c>
      <c r="B65" s="186" t="s">
        <v>629</v>
      </c>
      <c r="C65" s="186" t="s">
        <v>433</v>
      </c>
      <c r="D65" s="186" t="s">
        <v>434</v>
      </c>
      <c r="E65" s="186" t="str">
        <f t="shared" si="1"/>
        <v>PP0400-202-QC</v>
      </c>
    </row>
    <row r="66">
      <c r="A66" s="188" t="s">
        <v>1463</v>
      </c>
      <c r="B66" s="186" t="s">
        <v>1464</v>
      </c>
      <c r="C66" s="186" t="s">
        <v>433</v>
      </c>
      <c r="D66" s="186" t="s">
        <v>434</v>
      </c>
      <c r="E66" s="186" t="str">
        <f t="shared" si="1"/>
        <v>PP0400-202-RP1</v>
      </c>
    </row>
    <row r="67">
      <c r="A67" s="188" t="s">
        <v>1466</v>
      </c>
      <c r="B67" s="189" t="s">
        <v>1467</v>
      </c>
      <c r="C67" s="186" t="s">
        <v>433</v>
      </c>
      <c r="D67" s="186" t="s">
        <v>434</v>
      </c>
      <c r="E67" s="186" t="str">
        <f t="shared" si="1"/>
        <v>PP0400-202-RP2</v>
      </c>
    </row>
    <row r="68">
      <c r="A68" s="188" t="s">
        <v>1469</v>
      </c>
      <c r="B68" s="186" t="s">
        <v>1086</v>
      </c>
      <c r="C68" s="186" t="s">
        <v>433</v>
      </c>
      <c r="D68" s="186" t="s">
        <v>434</v>
      </c>
      <c r="E68" s="186" t="str">
        <f t="shared" si="1"/>
        <v>PP0400-202-FA</v>
      </c>
    </row>
    <row r="69">
      <c r="A69" s="188" t="s">
        <v>1470</v>
      </c>
      <c r="B69" s="186" t="s">
        <v>904</v>
      </c>
      <c r="C69" s="186" t="s">
        <v>433</v>
      </c>
      <c r="D69" s="186" t="s">
        <v>434</v>
      </c>
      <c r="E69" s="186" t="str">
        <f t="shared" si="1"/>
        <v>PP0400-202-SI</v>
      </c>
    </row>
    <row r="70">
      <c r="A70" s="188" t="s">
        <v>1471</v>
      </c>
      <c r="B70" s="186" t="s">
        <v>946</v>
      </c>
      <c r="C70" s="186" t="s">
        <v>433</v>
      </c>
      <c r="D70" s="186" t="s">
        <v>434</v>
      </c>
      <c r="E70" s="186" t="str">
        <f t="shared" si="1"/>
        <v>PP0400-202-SD</v>
      </c>
    </row>
    <row r="71">
      <c r="A71" s="188" t="s">
        <v>1472</v>
      </c>
      <c r="B71" s="186" t="s">
        <v>896</v>
      </c>
      <c r="C71" s="186" t="s">
        <v>433</v>
      </c>
      <c r="D71" s="186" t="s">
        <v>434</v>
      </c>
      <c r="E71" s="186" t="str">
        <f t="shared" si="1"/>
        <v>PP0400-202-SX</v>
      </c>
    </row>
    <row r="72">
      <c r="A72" s="188" t="s">
        <v>1474</v>
      </c>
      <c r="B72" s="186" t="s">
        <v>948</v>
      </c>
      <c r="C72" s="186" t="s">
        <v>433</v>
      </c>
      <c r="D72" s="186" t="s">
        <v>434</v>
      </c>
      <c r="E72" s="186" t="str">
        <f t="shared" si="1"/>
        <v>PP0400-202-SF</v>
      </c>
    </row>
    <row r="73">
      <c r="A73" s="188" t="s">
        <v>1476</v>
      </c>
      <c r="B73" s="186" t="s">
        <v>1477</v>
      </c>
      <c r="C73" s="186" t="s">
        <v>433</v>
      </c>
      <c r="D73" s="186" t="s">
        <v>434</v>
      </c>
      <c r="E73" s="186" t="str">
        <f t="shared" si="1"/>
        <v>PP0400-202-PC</v>
      </c>
    </row>
    <row r="74">
      <c r="A74" s="188" t="s">
        <v>1479</v>
      </c>
      <c r="B74" s="186" t="s">
        <v>914</v>
      </c>
      <c r="C74" s="186" t="s">
        <v>433</v>
      </c>
      <c r="D74" s="186" t="s">
        <v>434</v>
      </c>
      <c r="E74" s="186" t="str">
        <f t="shared" si="1"/>
        <v>PP0400-202-HH</v>
      </c>
    </row>
    <row r="75">
      <c r="A75" s="185" t="s">
        <v>1481</v>
      </c>
      <c r="B75" s="186" t="s">
        <v>916</v>
      </c>
      <c r="C75" s="186" t="s">
        <v>433</v>
      </c>
      <c r="D75" s="186" t="s">
        <v>434</v>
      </c>
      <c r="E75" s="186" t="str">
        <f t="shared" si="1"/>
        <v>PP0400-202-BH</v>
      </c>
    </row>
    <row r="76">
      <c r="A76" s="188" t="s">
        <v>1483</v>
      </c>
      <c r="B76" s="186" t="s">
        <v>960</v>
      </c>
      <c r="C76" s="186" t="s">
        <v>433</v>
      </c>
      <c r="D76" s="186" t="s">
        <v>434</v>
      </c>
      <c r="E76" s="186" t="str">
        <f t="shared" si="1"/>
        <v>PP0400-202-FB</v>
      </c>
    </row>
    <row r="77">
      <c r="A77" s="188" t="s">
        <v>1484</v>
      </c>
      <c r="B77" s="189" t="s">
        <v>892</v>
      </c>
      <c r="C77" s="186" t="s">
        <v>433</v>
      </c>
      <c r="D77" s="186" t="s">
        <v>434</v>
      </c>
      <c r="E77" s="186" t="str">
        <f t="shared" si="1"/>
        <v>PP0400-202-PR1</v>
      </c>
    </row>
    <row r="78">
      <c r="A78" s="188" t="s">
        <v>1485</v>
      </c>
      <c r="B78" s="189" t="s">
        <v>944</v>
      </c>
      <c r="C78" s="186" t="s">
        <v>433</v>
      </c>
      <c r="D78" s="186" t="s">
        <v>434</v>
      </c>
      <c r="E78" s="186" t="str">
        <f t="shared" si="1"/>
        <v>PP0400-202-PR2</v>
      </c>
    </row>
    <row r="79">
      <c r="A79" s="188" t="s">
        <v>1486</v>
      </c>
      <c r="B79" s="186" t="s">
        <v>912</v>
      </c>
      <c r="C79" s="186" t="s">
        <v>433</v>
      </c>
      <c r="D79" s="186" t="s">
        <v>434</v>
      </c>
      <c r="E79" s="186" t="str">
        <f t="shared" si="1"/>
        <v>PP0400-202-CL</v>
      </c>
    </row>
    <row r="80">
      <c r="A80" s="188" t="s">
        <v>1488</v>
      </c>
      <c r="B80" s="189" t="s">
        <v>1489</v>
      </c>
      <c r="C80" s="186" t="s">
        <v>433</v>
      </c>
      <c r="D80" s="186" t="s">
        <v>434</v>
      </c>
      <c r="E80" s="186" t="str">
        <f t="shared" si="1"/>
        <v>PP0400-202-IFR</v>
      </c>
    </row>
    <row r="81">
      <c r="A81" s="188" t="s">
        <v>1492</v>
      </c>
      <c r="B81" s="186" t="s">
        <v>918</v>
      </c>
      <c r="C81" s="186" t="s">
        <v>433</v>
      </c>
      <c r="D81" s="186" t="s">
        <v>434</v>
      </c>
      <c r="E81" s="186" t="str">
        <f t="shared" si="1"/>
        <v>PP0400-202-FC</v>
      </c>
    </row>
    <row r="82">
      <c r="A82" s="185" t="s">
        <v>1494</v>
      </c>
      <c r="B82" s="189" t="s">
        <v>1495</v>
      </c>
      <c r="C82" s="186" t="s">
        <v>433</v>
      </c>
      <c r="D82" s="186" t="s">
        <v>434</v>
      </c>
      <c r="E82" s="186" t="str">
        <f t="shared" si="1"/>
        <v>PP0400-202-CBC</v>
      </c>
    </row>
    <row r="83">
      <c r="A83" s="185" t="s">
        <v>1453</v>
      </c>
      <c r="B83" s="186" t="s">
        <v>1372</v>
      </c>
      <c r="C83" s="186" t="s">
        <v>441</v>
      </c>
      <c r="D83" s="186" t="s">
        <v>442</v>
      </c>
      <c r="E83" s="186" t="str">
        <f t="shared" si="1"/>
        <v>VA1500-202-BD</v>
      </c>
    </row>
    <row r="84">
      <c r="A84" s="185" t="s">
        <v>663</v>
      </c>
      <c r="B84" s="186" t="s">
        <v>889</v>
      </c>
      <c r="C84" s="186" t="s">
        <v>441</v>
      </c>
      <c r="D84" s="186" t="s">
        <v>442</v>
      </c>
      <c r="E84" s="186" t="str">
        <f t="shared" si="1"/>
        <v>VA1500-202-CC</v>
      </c>
    </row>
    <row r="85">
      <c r="A85" s="188" t="s">
        <v>1454</v>
      </c>
      <c r="B85" s="186" t="s">
        <v>1086</v>
      </c>
      <c r="C85" s="186" t="s">
        <v>441</v>
      </c>
      <c r="D85" s="186" t="s">
        <v>442</v>
      </c>
      <c r="E85" s="186" t="str">
        <f t="shared" si="1"/>
        <v>VA1500-202-FA</v>
      </c>
    </row>
    <row r="86">
      <c r="A86" s="188" t="s">
        <v>1455</v>
      </c>
      <c r="B86" s="186" t="s">
        <v>899</v>
      </c>
      <c r="C86" s="186" t="s">
        <v>441</v>
      </c>
      <c r="D86" s="186" t="s">
        <v>442</v>
      </c>
      <c r="E86" s="186" t="str">
        <f t="shared" si="1"/>
        <v>VA1500-202-CU</v>
      </c>
    </row>
    <row r="87">
      <c r="A87" s="188" t="s">
        <v>1456</v>
      </c>
      <c r="B87" s="186" t="s">
        <v>902</v>
      </c>
      <c r="C87" s="186" t="s">
        <v>441</v>
      </c>
      <c r="D87" s="186" t="s">
        <v>442</v>
      </c>
      <c r="E87" s="186" t="str">
        <f t="shared" si="1"/>
        <v>VA1500-202-GB</v>
      </c>
    </row>
    <row r="88">
      <c r="A88" s="188" t="s">
        <v>1457</v>
      </c>
      <c r="B88" s="186" t="s">
        <v>931</v>
      </c>
      <c r="C88" s="186" t="s">
        <v>441</v>
      </c>
      <c r="D88" s="186" t="s">
        <v>442</v>
      </c>
      <c r="E88" s="186" t="str">
        <f t="shared" si="1"/>
        <v>VA1500-202-PF</v>
      </c>
    </row>
    <row r="89">
      <c r="A89" s="188" t="s">
        <v>1458</v>
      </c>
      <c r="B89" s="186" t="s">
        <v>928</v>
      </c>
      <c r="C89" s="186" t="s">
        <v>441</v>
      </c>
      <c r="D89" s="186" t="s">
        <v>442</v>
      </c>
      <c r="E89" s="186" t="str">
        <f t="shared" si="1"/>
        <v>VA1500-202-PPO</v>
      </c>
    </row>
    <row r="90">
      <c r="A90" s="188" t="s">
        <v>1459</v>
      </c>
      <c r="B90" s="186" t="s">
        <v>908</v>
      </c>
      <c r="C90" s="186" t="s">
        <v>441</v>
      </c>
      <c r="D90" s="186" t="s">
        <v>442</v>
      </c>
      <c r="E90" s="186" t="str">
        <f t="shared" si="1"/>
        <v>VA1500-202-POL</v>
      </c>
    </row>
    <row r="91">
      <c r="A91" s="185" t="s">
        <v>1460</v>
      </c>
      <c r="B91" s="189" t="s">
        <v>1461</v>
      </c>
      <c r="C91" s="186" t="s">
        <v>441</v>
      </c>
      <c r="D91" s="186" t="s">
        <v>442</v>
      </c>
      <c r="E91" s="186" t="str">
        <f t="shared" si="1"/>
        <v>VA1500-202-PR</v>
      </c>
    </row>
    <row r="92">
      <c r="A92" s="188" t="s">
        <v>1462</v>
      </c>
      <c r="B92" s="186" t="s">
        <v>629</v>
      </c>
      <c r="C92" s="186" t="s">
        <v>441</v>
      </c>
      <c r="D92" s="186" t="s">
        <v>442</v>
      </c>
      <c r="E92" s="186" t="str">
        <f t="shared" si="1"/>
        <v>VA1500-202-QC</v>
      </c>
    </row>
    <row r="93">
      <c r="A93" s="188" t="s">
        <v>1463</v>
      </c>
      <c r="B93" s="186" t="s">
        <v>1464</v>
      </c>
      <c r="C93" s="186" t="s">
        <v>441</v>
      </c>
      <c r="D93" s="186" t="s">
        <v>442</v>
      </c>
      <c r="E93" s="186" t="str">
        <f t="shared" si="1"/>
        <v>VA1500-202-RP1</v>
      </c>
    </row>
    <row r="94">
      <c r="A94" s="188" t="s">
        <v>1466</v>
      </c>
      <c r="B94" s="189" t="s">
        <v>1467</v>
      </c>
      <c r="C94" s="186" t="s">
        <v>441</v>
      </c>
      <c r="D94" s="186" t="s">
        <v>442</v>
      </c>
      <c r="E94" s="186" t="str">
        <f t="shared" si="1"/>
        <v>VA1500-202-RP2</v>
      </c>
    </row>
    <row r="95">
      <c r="A95" s="188" t="s">
        <v>1469</v>
      </c>
      <c r="B95" s="186" t="s">
        <v>1086</v>
      </c>
      <c r="C95" s="186" t="s">
        <v>441</v>
      </c>
      <c r="D95" s="186" t="s">
        <v>442</v>
      </c>
      <c r="E95" s="186" t="str">
        <f t="shared" si="1"/>
        <v>VA1500-202-FA</v>
      </c>
    </row>
    <row r="96">
      <c r="A96" s="188" t="s">
        <v>1470</v>
      </c>
      <c r="B96" s="186" t="s">
        <v>904</v>
      </c>
      <c r="C96" s="186" t="s">
        <v>441</v>
      </c>
      <c r="D96" s="186" t="s">
        <v>442</v>
      </c>
      <c r="E96" s="186" t="str">
        <f t="shared" si="1"/>
        <v>VA1500-202-SI</v>
      </c>
    </row>
    <row r="97">
      <c r="A97" s="188" t="s">
        <v>1471</v>
      </c>
      <c r="B97" s="186" t="s">
        <v>946</v>
      </c>
      <c r="C97" s="186" t="s">
        <v>441</v>
      </c>
      <c r="D97" s="186" t="s">
        <v>442</v>
      </c>
      <c r="E97" s="186" t="str">
        <f t="shared" si="1"/>
        <v>VA1500-202-SD</v>
      </c>
    </row>
    <row r="98">
      <c r="A98" s="188" t="s">
        <v>1472</v>
      </c>
      <c r="B98" s="186" t="s">
        <v>896</v>
      </c>
      <c r="C98" s="186" t="s">
        <v>441</v>
      </c>
      <c r="D98" s="186" t="s">
        <v>442</v>
      </c>
      <c r="E98" s="186" t="str">
        <f t="shared" si="1"/>
        <v>VA1500-202-SX</v>
      </c>
    </row>
    <row r="99">
      <c r="A99" s="188" t="s">
        <v>1474</v>
      </c>
      <c r="B99" s="186" t="s">
        <v>948</v>
      </c>
      <c r="C99" s="186" t="s">
        <v>441</v>
      </c>
      <c r="D99" s="186" t="s">
        <v>442</v>
      </c>
      <c r="E99" s="186" t="str">
        <f t="shared" si="1"/>
        <v>VA1500-202-SF</v>
      </c>
    </row>
    <row r="100">
      <c r="A100" s="188" t="s">
        <v>1476</v>
      </c>
      <c r="B100" s="186" t="s">
        <v>1477</v>
      </c>
      <c r="C100" s="186" t="s">
        <v>441</v>
      </c>
      <c r="D100" s="186" t="s">
        <v>442</v>
      </c>
      <c r="E100" s="186" t="str">
        <f t="shared" si="1"/>
        <v>VA1500-202-PC</v>
      </c>
    </row>
    <row r="101">
      <c r="A101" s="188" t="s">
        <v>1479</v>
      </c>
      <c r="B101" s="186" t="s">
        <v>914</v>
      </c>
      <c r="C101" s="186" t="s">
        <v>441</v>
      </c>
      <c r="D101" s="186" t="s">
        <v>442</v>
      </c>
      <c r="E101" s="186" t="str">
        <f t="shared" si="1"/>
        <v>VA1500-202-HH</v>
      </c>
    </row>
    <row r="102">
      <c r="A102" s="185" t="s">
        <v>1481</v>
      </c>
      <c r="B102" s="186" t="s">
        <v>916</v>
      </c>
      <c r="C102" s="186" t="s">
        <v>441</v>
      </c>
      <c r="D102" s="186" t="s">
        <v>442</v>
      </c>
      <c r="E102" s="186" t="str">
        <f t="shared" si="1"/>
        <v>VA1500-202-BH</v>
      </c>
    </row>
    <row r="103">
      <c r="A103" s="188" t="s">
        <v>1483</v>
      </c>
      <c r="B103" s="186" t="s">
        <v>960</v>
      </c>
      <c r="C103" s="186" t="s">
        <v>441</v>
      </c>
      <c r="D103" s="186" t="s">
        <v>442</v>
      </c>
      <c r="E103" s="186" t="str">
        <f t="shared" si="1"/>
        <v>VA1500-202-FB</v>
      </c>
    </row>
    <row r="104">
      <c r="A104" s="188" t="s">
        <v>1484</v>
      </c>
      <c r="B104" s="189" t="s">
        <v>892</v>
      </c>
      <c r="C104" s="186" t="s">
        <v>441</v>
      </c>
      <c r="D104" s="186" t="s">
        <v>442</v>
      </c>
      <c r="E104" s="186" t="str">
        <f t="shared" si="1"/>
        <v>VA1500-202-PR1</v>
      </c>
    </row>
    <row r="105">
      <c r="A105" s="188" t="s">
        <v>1485</v>
      </c>
      <c r="B105" s="189" t="s">
        <v>944</v>
      </c>
      <c r="C105" s="186" t="s">
        <v>441</v>
      </c>
      <c r="D105" s="186" t="s">
        <v>442</v>
      </c>
      <c r="E105" s="186" t="str">
        <f t="shared" si="1"/>
        <v>VA1500-202-PR2</v>
      </c>
    </row>
    <row r="106">
      <c r="A106" s="188" t="s">
        <v>1486</v>
      </c>
      <c r="B106" s="186" t="s">
        <v>912</v>
      </c>
      <c r="C106" s="186" t="s">
        <v>441</v>
      </c>
      <c r="D106" s="186" t="s">
        <v>442</v>
      </c>
      <c r="E106" s="186" t="str">
        <f t="shared" si="1"/>
        <v>VA1500-202-CL</v>
      </c>
    </row>
    <row r="107">
      <c r="A107" s="188" t="s">
        <v>1488</v>
      </c>
      <c r="B107" s="189" t="s">
        <v>1489</v>
      </c>
      <c r="C107" s="186" t="s">
        <v>441</v>
      </c>
      <c r="D107" s="186" t="s">
        <v>442</v>
      </c>
      <c r="E107" s="186" t="str">
        <f t="shared" si="1"/>
        <v>VA1500-202-IFR</v>
      </c>
    </row>
    <row r="108">
      <c r="A108" s="188" t="s">
        <v>1492</v>
      </c>
      <c r="B108" s="186" t="s">
        <v>918</v>
      </c>
      <c r="C108" s="186" t="s">
        <v>441</v>
      </c>
      <c r="D108" s="186" t="s">
        <v>442</v>
      </c>
      <c r="E108" s="186" t="str">
        <f t="shared" si="1"/>
        <v>VA1500-202-FC</v>
      </c>
    </row>
    <row r="109">
      <c r="A109" s="185" t="s">
        <v>1494</v>
      </c>
      <c r="B109" s="189" t="s">
        <v>1495</v>
      </c>
      <c r="C109" s="186" t="s">
        <v>441</v>
      </c>
      <c r="D109" s="186" t="s">
        <v>442</v>
      </c>
      <c r="E109" s="186" t="str">
        <f t="shared" si="1"/>
        <v>VA1500-202-CBC</v>
      </c>
    </row>
    <row r="110">
      <c r="A110" s="185" t="s">
        <v>1453</v>
      </c>
      <c r="B110" s="186" t="s">
        <v>1372</v>
      </c>
      <c r="C110" s="186" t="s">
        <v>443</v>
      </c>
      <c r="D110" s="186" t="s">
        <v>444</v>
      </c>
      <c r="E110" s="186" t="str">
        <f t="shared" si="1"/>
        <v>VA1000-202-BD</v>
      </c>
    </row>
    <row r="111">
      <c r="A111" s="185" t="s">
        <v>663</v>
      </c>
      <c r="B111" s="186" t="s">
        <v>889</v>
      </c>
      <c r="C111" s="186" t="s">
        <v>443</v>
      </c>
      <c r="D111" s="186" t="s">
        <v>444</v>
      </c>
      <c r="E111" s="186" t="str">
        <f t="shared" si="1"/>
        <v>VA1000-202-CC</v>
      </c>
    </row>
    <row r="112">
      <c r="A112" s="188" t="s">
        <v>1454</v>
      </c>
      <c r="B112" s="186" t="s">
        <v>1086</v>
      </c>
      <c r="C112" s="186" t="s">
        <v>443</v>
      </c>
      <c r="D112" s="186" t="s">
        <v>444</v>
      </c>
      <c r="E112" s="186" t="str">
        <f t="shared" si="1"/>
        <v>VA1000-202-FA</v>
      </c>
    </row>
    <row r="113">
      <c r="A113" s="188" t="s">
        <v>1455</v>
      </c>
      <c r="B113" s="186" t="s">
        <v>899</v>
      </c>
      <c r="C113" s="186" t="s">
        <v>443</v>
      </c>
      <c r="D113" s="186" t="s">
        <v>444</v>
      </c>
      <c r="E113" s="186" t="str">
        <f t="shared" si="1"/>
        <v>VA1000-202-CU</v>
      </c>
    </row>
    <row r="114">
      <c r="A114" s="188" t="s">
        <v>1456</v>
      </c>
      <c r="B114" s="186" t="s">
        <v>902</v>
      </c>
      <c r="C114" s="186" t="s">
        <v>443</v>
      </c>
      <c r="D114" s="186" t="s">
        <v>444</v>
      </c>
      <c r="E114" s="186" t="str">
        <f t="shared" si="1"/>
        <v>VA1000-202-GB</v>
      </c>
    </row>
    <row r="115">
      <c r="A115" s="188" t="s">
        <v>1457</v>
      </c>
      <c r="B115" s="186" t="s">
        <v>931</v>
      </c>
      <c r="C115" s="186" t="s">
        <v>443</v>
      </c>
      <c r="D115" s="186" t="s">
        <v>444</v>
      </c>
      <c r="E115" s="186" t="str">
        <f t="shared" si="1"/>
        <v>VA1000-202-PF</v>
      </c>
    </row>
    <row r="116">
      <c r="A116" s="188" t="s">
        <v>1458</v>
      </c>
      <c r="B116" s="186" t="s">
        <v>928</v>
      </c>
      <c r="C116" s="186" t="s">
        <v>443</v>
      </c>
      <c r="D116" s="186" t="s">
        <v>444</v>
      </c>
      <c r="E116" s="186" t="str">
        <f t="shared" si="1"/>
        <v>VA1000-202-PPO</v>
      </c>
    </row>
    <row r="117">
      <c r="A117" s="188" t="s">
        <v>1459</v>
      </c>
      <c r="B117" s="186" t="s">
        <v>908</v>
      </c>
      <c r="C117" s="186" t="s">
        <v>443</v>
      </c>
      <c r="D117" s="186" t="s">
        <v>444</v>
      </c>
      <c r="E117" s="186" t="str">
        <f t="shared" si="1"/>
        <v>VA1000-202-POL</v>
      </c>
    </row>
    <row r="118">
      <c r="A118" s="185" t="s">
        <v>1460</v>
      </c>
      <c r="B118" s="189" t="s">
        <v>1461</v>
      </c>
      <c r="C118" s="186" t="s">
        <v>443</v>
      </c>
      <c r="D118" s="186" t="s">
        <v>444</v>
      </c>
      <c r="E118" s="186" t="str">
        <f t="shared" si="1"/>
        <v>VA1000-202-PR</v>
      </c>
    </row>
    <row r="119">
      <c r="A119" s="188" t="s">
        <v>1462</v>
      </c>
      <c r="B119" s="186" t="s">
        <v>629</v>
      </c>
      <c r="C119" s="186" t="s">
        <v>443</v>
      </c>
      <c r="D119" s="186" t="s">
        <v>444</v>
      </c>
      <c r="E119" s="186" t="str">
        <f t="shared" si="1"/>
        <v>VA1000-202-QC</v>
      </c>
    </row>
    <row r="120">
      <c r="A120" s="188" t="s">
        <v>1463</v>
      </c>
      <c r="B120" s="186" t="s">
        <v>1464</v>
      </c>
      <c r="C120" s="186" t="s">
        <v>443</v>
      </c>
      <c r="D120" s="186" t="s">
        <v>444</v>
      </c>
      <c r="E120" s="186" t="str">
        <f t="shared" si="1"/>
        <v>VA1000-202-RP1</v>
      </c>
    </row>
    <row r="121">
      <c r="A121" s="188" t="s">
        <v>1466</v>
      </c>
      <c r="B121" s="189" t="s">
        <v>1467</v>
      </c>
      <c r="C121" s="186" t="s">
        <v>443</v>
      </c>
      <c r="D121" s="186" t="s">
        <v>444</v>
      </c>
      <c r="E121" s="186" t="str">
        <f t="shared" si="1"/>
        <v>VA1000-202-RP2</v>
      </c>
    </row>
    <row r="122">
      <c r="A122" s="188" t="s">
        <v>1469</v>
      </c>
      <c r="B122" s="186" t="s">
        <v>1086</v>
      </c>
      <c r="C122" s="186" t="s">
        <v>443</v>
      </c>
      <c r="D122" s="186" t="s">
        <v>444</v>
      </c>
      <c r="E122" s="186" t="str">
        <f t="shared" si="1"/>
        <v>VA1000-202-FA</v>
      </c>
    </row>
    <row r="123">
      <c r="A123" s="188" t="s">
        <v>1470</v>
      </c>
      <c r="B123" s="186" t="s">
        <v>904</v>
      </c>
      <c r="C123" s="186" t="s">
        <v>443</v>
      </c>
      <c r="D123" s="186" t="s">
        <v>444</v>
      </c>
      <c r="E123" s="186" t="str">
        <f t="shared" si="1"/>
        <v>VA1000-202-SI</v>
      </c>
    </row>
    <row r="124">
      <c r="A124" s="188" t="s">
        <v>1471</v>
      </c>
      <c r="B124" s="186" t="s">
        <v>946</v>
      </c>
      <c r="C124" s="186" t="s">
        <v>443</v>
      </c>
      <c r="D124" s="186" t="s">
        <v>444</v>
      </c>
      <c r="E124" s="186" t="str">
        <f t="shared" si="1"/>
        <v>VA1000-202-SD</v>
      </c>
    </row>
    <row r="125">
      <c r="A125" s="188" t="s">
        <v>1472</v>
      </c>
      <c r="B125" s="186" t="s">
        <v>896</v>
      </c>
      <c r="C125" s="186" t="s">
        <v>443</v>
      </c>
      <c r="D125" s="186" t="s">
        <v>444</v>
      </c>
      <c r="E125" s="186" t="str">
        <f t="shared" si="1"/>
        <v>VA1000-202-SX</v>
      </c>
    </row>
    <row r="126">
      <c r="A126" s="188" t="s">
        <v>1474</v>
      </c>
      <c r="B126" s="186" t="s">
        <v>948</v>
      </c>
      <c r="C126" s="186" t="s">
        <v>443</v>
      </c>
      <c r="D126" s="186" t="s">
        <v>444</v>
      </c>
      <c r="E126" s="186" t="str">
        <f t="shared" si="1"/>
        <v>VA1000-202-SF</v>
      </c>
    </row>
    <row r="127">
      <c r="A127" s="188" t="s">
        <v>1476</v>
      </c>
      <c r="B127" s="186" t="s">
        <v>1477</v>
      </c>
      <c r="C127" s="186" t="s">
        <v>443</v>
      </c>
      <c r="D127" s="186" t="s">
        <v>444</v>
      </c>
      <c r="E127" s="186" t="str">
        <f t="shared" si="1"/>
        <v>VA1000-202-PC</v>
      </c>
    </row>
    <row r="128">
      <c r="A128" s="188" t="s">
        <v>1479</v>
      </c>
      <c r="B128" s="186" t="s">
        <v>914</v>
      </c>
      <c r="C128" s="186" t="s">
        <v>443</v>
      </c>
      <c r="D128" s="186" t="s">
        <v>444</v>
      </c>
      <c r="E128" s="186" t="str">
        <f t="shared" si="1"/>
        <v>VA1000-202-HH</v>
      </c>
    </row>
    <row r="129">
      <c r="A129" s="185" t="s">
        <v>1481</v>
      </c>
      <c r="B129" s="186" t="s">
        <v>916</v>
      </c>
      <c r="C129" s="186" t="s">
        <v>443</v>
      </c>
      <c r="D129" s="186" t="s">
        <v>444</v>
      </c>
      <c r="E129" s="186" t="str">
        <f t="shared" si="1"/>
        <v>VA1000-202-BH</v>
      </c>
    </row>
    <row r="130">
      <c r="A130" s="188" t="s">
        <v>1483</v>
      </c>
      <c r="B130" s="186" t="s">
        <v>960</v>
      </c>
      <c r="C130" s="186" t="s">
        <v>443</v>
      </c>
      <c r="D130" s="186" t="s">
        <v>444</v>
      </c>
      <c r="E130" s="186" t="str">
        <f t="shared" si="1"/>
        <v>VA1000-202-FB</v>
      </c>
    </row>
    <row r="131">
      <c r="A131" s="188" t="s">
        <v>1484</v>
      </c>
      <c r="B131" s="189" t="s">
        <v>892</v>
      </c>
      <c r="C131" s="186" t="s">
        <v>443</v>
      </c>
      <c r="D131" s="186" t="s">
        <v>444</v>
      </c>
      <c r="E131" s="186" t="str">
        <f t="shared" si="1"/>
        <v>VA1000-202-PR1</v>
      </c>
    </row>
    <row r="132">
      <c r="A132" s="188" t="s">
        <v>1485</v>
      </c>
      <c r="B132" s="189" t="s">
        <v>944</v>
      </c>
      <c r="C132" s="186" t="s">
        <v>443</v>
      </c>
      <c r="D132" s="186" t="s">
        <v>444</v>
      </c>
      <c r="E132" s="186" t="str">
        <f t="shared" si="1"/>
        <v>VA1000-202-PR2</v>
      </c>
    </row>
    <row r="133">
      <c r="A133" s="188" t="s">
        <v>1486</v>
      </c>
      <c r="B133" s="186" t="s">
        <v>912</v>
      </c>
      <c r="C133" s="186" t="s">
        <v>443</v>
      </c>
      <c r="D133" s="186" t="s">
        <v>444</v>
      </c>
      <c r="E133" s="186" t="str">
        <f t="shared" si="1"/>
        <v>VA1000-202-CL</v>
      </c>
    </row>
    <row r="134">
      <c r="A134" s="188" t="s">
        <v>1488</v>
      </c>
      <c r="B134" s="189" t="s">
        <v>1489</v>
      </c>
      <c r="C134" s="186" t="s">
        <v>443</v>
      </c>
      <c r="D134" s="186" t="s">
        <v>444</v>
      </c>
      <c r="E134" s="186" t="str">
        <f t="shared" si="1"/>
        <v>VA1000-202-IFR</v>
      </c>
    </row>
    <row r="135">
      <c r="A135" s="188" t="s">
        <v>1492</v>
      </c>
      <c r="B135" s="186" t="s">
        <v>918</v>
      </c>
      <c r="C135" s="186" t="s">
        <v>443</v>
      </c>
      <c r="D135" s="186" t="s">
        <v>444</v>
      </c>
      <c r="E135" s="186" t="str">
        <f t="shared" si="1"/>
        <v>VA1000-202-FC</v>
      </c>
    </row>
    <row r="136">
      <c r="A136" s="185" t="s">
        <v>1494</v>
      </c>
      <c r="B136" s="189" t="s">
        <v>1495</v>
      </c>
      <c r="C136" s="186" t="s">
        <v>443</v>
      </c>
      <c r="D136" s="186" t="s">
        <v>444</v>
      </c>
      <c r="E136" s="186" t="str">
        <f t="shared" si="1"/>
        <v>VA1000-202-CBC</v>
      </c>
    </row>
    <row r="137">
      <c r="A137" s="185" t="s">
        <v>1453</v>
      </c>
      <c r="B137" s="186" t="s">
        <v>1372</v>
      </c>
      <c r="C137" s="186" t="s">
        <v>445</v>
      </c>
      <c r="D137" s="186" t="s">
        <v>446</v>
      </c>
      <c r="E137" s="186" t="str">
        <f t="shared" si="1"/>
        <v>VA0400-202-BD</v>
      </c>
    </row>
    <row r="138">
      <c r="A138" s="185" t="s">
        <v>663</v>
      </c>
      <c r="B138" s="186" t="s">
        <v>889</v>
      </c>
      <c r="C138" s="186" t="s">
        <v>445</v>
      </c>
      <c r="D138" s="186" t="s">
        <v>446</v>
      </c>
      <c r="E138" s="186" t="str">
        <f t="shared" si="1"/>
        <v>VA0400-202-CC</v>
      </c>
    </row>
    <row r="139">
      <c r="A139" s="188" t="s">
        <v>1454</v>
      </c>
      <c r="B139" s="186" t="s">
        <v>1086</v>
      </c>
      <c r="C139" s="186" t="s">
        <v>445</v>
      </c>
      <c r="D139" s="186" t="s">
        <v>446</v>
      </c>
      <c r="E139" s="186" t="str">
        <f t="shared" si="1"/>
        <v>VA0400-202-FA</v>
      </c>
    </row>
    <row r="140">
      <c r="A140" s="188" t="s">
        <v>1455</v>
      </c>
      <c r="B140" s="186" t="s">
        <v>899</v>
      </c>
      <c r="C140" s="186" t="s">
        <v>445</v>
      </c>
      <c r="D140" s="186" t="s">
        <v>446</v>
      </c>
      <c r="E140" s="186" t="str">
        <f t="shared" si="1"/>
        <v>VA0400-202-CU</v>
      </c>
    </row>
    <row r="141">
      <c r="A141" s="188" t="s">
        <v>1456</v>
      </c>
      <c r="B141" s="186" t="s">
        <v>902</v>
      </c>
      <c r="C141" s="186" t="s">
        <v>445</v>
      </c>
      <c r="D141" s="186" t="s">
        <v>446</v>
      </c>
      <c r="E141" s="186" t="str">
        <f t="shared" si="1"/>
        <v>VA0400-202-GB</v>
      </c>
    </row>
    <row r="142">
      <c r="A142" s="188" t="s">
        <v>1457</v>
      </c>
      <c r="B142" s="186" t="s">
        <v>931</v>
      </c>
      <c r="C142" s="186" t="s">
        <v>445</v>
      </c>
      <c r="D142" s="186" t="s">
        <v>446</v>
      </c>
      <c r="E142" s="186" t="str">
        <f t="shared" si="1"/>
        <v>VA0400-202-PF</v>
      </c>
    </row>
    <row r="143">
      <c r="A143" s="188" t="s">
        <v>1458</v>
      </c>
      <c r="B143" s="186" t="s">
        <v>928</v>
      </c>
      <c r="C143" s="186" t="s">
        <v>445</v>
      </c>
      <c r="D143" s="186" t="s">
        <v>446</v>
      </c>
      <c r="E143" s="186" t="str">
        <f t="shared" si="1"/>
        <v>VA0400-202-PPO</v>
      </c>
    </row>
    <row r="144">
      <c r="A144" s="188" t="s">
        <v>1459</v>
      </c>
      <c r="B144" s="186" t="s">
        <v>908</v>
      </c>
      <c r="C144" s="186" t="s">
        <v>445</v>
      </c>
      <c r="D144" s="186" t="s">
        <v>446</v>
      </c>
      <c r="E144" s="186" t="str">
        <f t="shared" si="1"/>
        <v>VA0400-202-POL</v>
      </c>
    </row>
    <row r="145">
      <c r="A145" s="185" t="s">
        <v>1460</v>
      </c>
      <c r="B145" s="189" t="s">
        <v>1461</v>
      </c>
      <c r="C145" s="186" t="s">
        <v>445</v>
      </c>
      <c r="D145" s="186" t="s">
        <v>446</v>
      </c>
      <c r="E145" s="186" t="str">
        <f t="shared" si="1"/>
        <v>VA0400-202-PR</v>
      </c>
    </row>
    <row r="146">
      <c r="A146" s="188" t="s">
        <v>1462</v>
      </c>
      <c r="B146" s="186" t="s">
        <v>629</v>
      </c>
      <c r="C146" s="186" t="s">
        <v>445</v>
      </c>
      <c r="D146" s="186" t="s">
        <v>446</v>
      </c>
      <c r="E146" s="186" t="str">
        <f t="shared" si="1"/>
        <v>VA0400-202-QC</v>
      </c>
    </row>
    <row r="147">
      <c r="A147" s="188" t="s">
        <v>1463</v>
      </c>
      <c r="B147" s="186" t="s">
        <v>1464</v>
      </c>
      <c r="C147" s="186" t="s">
        <v>445</v>
      </c>
      <c r="D147" s="186" t="s">
        <v>446</v>
      </c>
      <c r="E147" s="186" t="str">
        <f t="shared" si="1"/>
        <v>VA0400-202-RP1</v>
      </c>
    </row>
    <row r="148">
      <c r="A148" s="188" t="s">
        <v>1466</v>
      </c>
      <c r="B148" s="189" t="s">
        <v>1467</v>
      </c>
      <c r="C148" s="186" t="s">
        <v>445</v>
      </c>
      <c r="D148" s="186" t="s">
        <v>446</v>
      </c>
      <c r="E148" s="186" t="str">
        <f t="shared" si="1"/>
        <v>VA0400-202-RP2</v>
      </c>
    </row>
    <row r="149">
      <c r="A149" s="188" t="s">
        <v>1469</v>
      </c>
      <c r="B149" s="186" t="s">
        <v>1086</v>
      </c>
      <c r="C149" s="186" t="s">
        <v>445</v>
      </c>
      <c r="D149" s="186" t="s">
        <v>446</v>
      </c>
      <c r="E149" s="186" t="str">
        <f t="shared" si="1"/>
        <v>VA0400-202-FA</v>
      </c>
    </row>
    <row r="150">
      <c r="A150" s="188" t="s">
        <v>1470</v>
      </c>
      <c r="B150" s="186" t="s">
        <v>904</v>
      </c>
      <c r="C150" s="186" t="s">
        <v>445</v>
      </c>
      <c r="D150" s="186" t="s">
        <v>446</v>
      </c>
      <c r="E150" s="186" t="str">
        <f t="shared" si="1"/>
        <v>VA0400-202-SI</v>
      </c>
    </row>
    <row r="151">
      <c r="A151" s="188" t="s">
        <v>1471</v>
      </c>
      <c r="B151" s="186" t="s">
        <v>946</v>
      </c>
      <c r="C151" s="186" t="s">
        <v>445</v>
      </c>
      <c r="D151" s="186" t="s">
        <v>446</v>
      </c>
      <c r="E151" s="186" t="str">
        <f t="shared" si="1"/>
        <v>VA0400-202-SD</v>
      </c>
    </row>
    <row r="152">
      <c r="A152" s="188" t="s">
        <v>1472</v>
      </c>
      <c r="B152" s="186" t="s">
        <v>896</v>
      </c>
      <c r="C152" s="186" t="s">
        <v>445</v>
      </c>
      <c r="D152" s="186" t="s">
        <v>446</v>
      </c>
      <c r="E152" s="186" t="str">
        <f t="shared" si="1"/>
        <v>VA0400-202-SX</v>
      </c>
    </row>
    <row r="153">
      <c r="A153" s="188" t="s">
        <v>1474</v>
      </c>
      <c r="B153" s="186" t="s">
        <v>948</v>
      </c>
      <c r="C153" s="186" t="s">
        <v>445</v>
      </c>
      <c r="D153" s="186" t="s">
        <v>446</v>
      </c>
      <c r="E153" s="186" t="str">
        <f t="shared" si="1"/>
        <v>VA0400-202-SF</v>
      </c>
    </row>
    <row r="154">
      <c r="A154" s="188" t="s">
        <v>1476</v>
      </c>
      <c r="B154" s="186" t="s">
        <v>1477</v>
      </c>
      <c r="C154" s="186" t="s">
        <v>445</v>
      </c>
      <c r="D154" s="186" t="s">
        <v>446</v>
      </c>
      <c r="E154" s="186" t="str">
        <f t="shared" si="1"/>
        <v>VA0400-202-PC</v>
      </c>
    </row>
    <row r="155">
      <c r="A155" s="188" t="s">
        <v>1479</v>
      </c>
      <c r="B155" s="186" t="s">
        <v>914</v>
      </c>
      <c r="C155" s="186" t="s">
        <v>445</v>
      </c>
      <c r="D155" s="186" t="s">
        <v>446</v>
      </c>
      <c r="E155" s="186" t="str">
        <f t="shared" si="1"/>
        <v>VA0400-202-HH</v>
      </c>
    </row>
    <row r="156">
      <c r="A156" s="185" t="s">
        <v>1481</v>
      </c>
      <c r="B156" s="186" t="s">
        <v>916</v>
      </c>
      <c r="C156" s="186" t="s">
        <v>445</v>
      </c>
      <c r="D156" s="186" t="s">
        <v>446</v>
      </c>
      <c r="E156" s="186" t="str">
        <f t="shared" si="1"/>
        <v>VA0400-202-BH</v>
      </c>
    </row>
    <row r="157">
      <c r="A157" s="188" t="s">
        <v>1483</v>
      </c>
      <c r="B157" s="186" t="s">
        <v>960</v>
      </c>
      <c r="C157" s="186" t="s">
        <v>445</v>
      </c>
      <c r="D157" s="186" t="s">
        <v>446</v>
      </c>
      <c r="E157" s="186" t="str">
        <f t="shared" si="1"/>
        <v>VA0400-202-FB</v>
      </c>
    </row>
    <row r="158">
      <c r="A158" s="188" t="s">
        <v>1484</v>
      </c>
      <c r="B158" s="189" t="s">
        <v>892</v>
      </c>
      <c r="C158" s="186" t="s">
        <v>445</v>
      </c>
      <c r="D158" s="186" t="s">
        <v>446</v>
      </c>
      <c r="E158" s="186" t="str">
        <f t="shared" si="1"/>
        <v>VA0400-202-PR1</v>
      </c>
    </row>
    <row r="159">
      <c r="A159" s="188" t="s">
        <v>1485</v>
      </c>
      <c r="B159" s="189" t="s">
        <v>944</v>
      </c>
      <c r="C159" s="186" t="s">
        <v>445</v>
      </c>
      <c r="D159" s="186" t="s">
        <v>446</v>
      </c>
      <c r="E159" s="186" t="str">
        <f t="shared" si="1"/>
        <v>VA0400-202-PR2</v>
      </c>
    </row>
    <row r="160">
      <c r="A160" s="188" t="s">
        <v>1486</v>
      </c>
      <c r="B160" s="186" t="s">
        <v>912</v>
      </c>
      <c r="C160" s="186" t="s">
        <v>445</v>
      </c>
      <c r="D160" s="186" t="s">
        <v>446</v>
      </c>
      <c r="E160" s="186" t="str">
        <f t="shared" si="1"/>
        <v>VA0400-202-CL</v>
      </c>
    </row>
    <row r="161">
      <c r="A161" s="188" t="s">
        <v>1488</v>
      </c>
      <c r="B161" s="189" t="s">
        <v>1489</v>
      </c>
      <c r="C161" s="186" t="s">
        <v>445</v>
      </c>
      <c r="D161" s="186" t="s">
        <v>446</v>
      </c>
      <c r="E161" s="186" t="str">
        <f t="shared" si="1"/>
        <v>VA0400-202-IFR</v>
      </c>
    </row>
    <row r="162">
      <c r="A162" s="188" t="s">
        <v>1492</v>
      </c>
      <c r="B162" s="186" t="s">
        <v>918</v>
      </c>
      <c r="C162" s="186" t="s">
        <v>445</v>
      </c>
      <c r="D162" s="186" t="s">
        <v>446</v>
      </c>
      <c r="E162" s="186" t="str">
        <f t="shared" si="1"/>
        <v>VA0400-202-FC</v>
      </c>
    </row>
    <row r="163">
      <c r="A163" s="185" t="s">
        <v>1494</v>
      </c>
      <c r="B163" s="189" t="s">
        <v>1495</v>
      </c>
      <c r="C163" s="186" t="s">
        <v>445</v>
      </c>
      <c r="D163" s="186" t="s">
        <v>446</v>
      </c>
      <c r="E163" s="186" t="str">
        <f t="shared" si="1"/>
        <v>VA0400-202-CBC</v>
      </c>
    </row>
    <row r="164">
      <c r="A164" s="185" t="s">
        <v>1453</v>
      </c>
      <c r="B164" s="186" t="s">
        <v>1372</v>
      </c>
      <c r="C164" s="186" t="s">
        <v>453</v>
      </c>
      <c r="D164" s="186" t="s">
        <v>454</v>
      </c>
      <c r="E164" s="186" t="str">
        <f t="shared" si="1"/>
        <v>ST1500-202-BD</v>
      </c>
    </row>
    <row r="165">
      <c r="A165" s="185" t="s">
        <v>663</v>
      </c>
      <c r="B165" s="186" t="s">
        <v>889</v>
      </c>
      <c r="C165" s="186" t="s">
        <v>453</v>
      </c>
      <c r="D165" s="186" t="s">
        <v>454</v>
      </c>
      <c r="E165" s="186" t="str">
        <f t="shared" si="1"/>
        <v>ST1500-202-CC</v>
      </c>
    </row>
    <row r="166">
      <c r="A166" s="188" t="s">
        <v>1454</v>
      </c>
      <c r="B166" s="186" t="s">
        <v>1086</v>
      </c>
      <c r="C166" s="186" t="s">
        <v>453</v>
      </c>
      <c r="D166" s="186" t="s">
        <v>454</v>
      </c>
      <c r="E166" s="186" t="str">
        <f t="shared" si="1"/>
        <v>ST1500-202-FA</v>
      </c>
    </row>
    <row r="167">
      <c r="A167" s="188" t="s">
        <v>1455</v>
      </c>
      <c r="B167" s="186" t="s">
        <v>899</v>
      </c>
      <c r="C167" s="186" t="s">
        <v>453</v>
      </c>
      <c r="D167" s="186" t="s">
        <v>454</v>
      </c>
      <c r="E167" s="186" t="str">
        <f t="shared" si="1"/>
        <v>ST1500-202-CU</v>
      </c>
    </row>
    <row r="168">
      <c r="A168" s="188" t="s">
        <v>1456</v>
      </c>
      <c r="B168" s="186" t="s">
        <v>902</v>
      </c>
      <c r="C168" s="186" t="s">
        <v>453</v>
      </c>
      <c r="D168" s="186" t="s">
        <v>454</v>
      </c>
      <c r="E168" s="186" t="str">
        <f t="shared" si="1"/>
        <v>ST1500-202-GB</v>
      </c>
    </row>
    <row r="169">
      <c r="A169" s="188" t="s">
        <v>1457</v>
      </c>
      <c r="B169" s="186" t="s">
        <v>931</v>
      </c>
      <c r="C169" s="186" t="s">
        <v>453</v>
      </c>
      <c r="D169" s="186" t="s">
        <v>454</v>
      </c>
      <c r="E169" s="186" t="str">
        <f t="shared" si="1"/>
        <v>ST1500-202-PF</v>
      </c>
    </row>
    <row r="170">
      <c r="A170" s="188" t="s">
        <v>1458</v>
      </c>
      <c r="B170" s="186" t="s">
        <v>928</v>
      </c>
      <c r="C170" s="186" t="s">
        <v>453</v>
      </c>
      <c r="D170" s="186" t="s">
        <v>454</v>
      </c>
      <c r="E170" s="186" t="str">
        <f t="shared" si="1"/>
        <v>ST1500-202-PPO</v>
      </c>
    </row>
    <row r="171">
      <c r="A171" s="188" t="s">
        <v>1459</v>
      </c>
      <c r="B171" s="186" t="s">
        <v>908</v>
      </c>
      <c r="C171" s="186" t="s">
        <v>453</v>
      </c>
      <c r="D171" s="186" t="s">
        <v>454</v>
      </c>
      <c r="E171" s="186" t="str">
        <f t="shared" si="1"/>
        <v>ST1500-202-POL</v>
      </c>
    </row>
    <row r="172">
      <c r="A172" s="185" t="s">
        <v>1460</v>
      </c>
      <c r="B172" s="189" t="s">
        <v>1461</v>
      </c>
      <c r="C172" s="186" t="s">
        <v>453</v>
      </c>
      <c r="D172" s="186" t="s">
        <v>454</v>
      </c>
      <c r="E172" s="186" t="str">
        <f t="shared" si="1"/>
        <v>ST1500-202-PR</v>
      </c>
    </row>
    <row r="173">
      <c r="A173" s="188" t="s">
        <v>1462</v>
      </c>
      <c r="B173" s="186" t="s">
        <v>629</v>
      </c>
      <c r="C173" s="186" t="s">
        <v>453</v>
      </c>
      <c r="D173" s="186" t="s">
        <v>454</v>
      </c>
      <c r="E173" s="186" t="str">
        <f t="shared" si="1"/>
        <v>ST1500-202-QC</v>
      </c>
    </row>
    <row r="174">
      <c r="A174" s="188" t="s">
        <v>1463</v>
      </c>
      <c r="B174" s="186" t="s">
        <v>1464</v>
      </c>
      <c r="C174" s="186" t="s">
        <v>453</v>
      </c>
      <c r="D174" s="186" t="s">
        <v>454</v>
      </c>
      <c r="E174" s="186" t="str">
        <f t="shared" si="1"/>
        <v>ST1500-202-RP1</v>
      </c>
    </row>
    <row r="175">
      <c r="A175" s="188" t="s">
        <v>1466</v>
      </c>
      <c r="B175" s="189" t="s">
        <v>1467</v>
      </c>
      <c r="C175" s="186" t="s">
        <v>453</v>
      </c>
      <c r="D175" s="186" t="s">
        <v>454</v>
      </c>
      <c r="E175" s="186" t="str">
        <f t="shared" si="1"/>
        <v>ST1500-202-RP2</v>
      </c>
    </row>
    <row r="176">
      <c r="A176" s="188" t="s">
        <v>1469</v>
      </c>
      <c r="B176" s="186" t="s">
        <v>1086</v>
      </c>
      <c r="C176" s="186" t="s">
        <v>453</v>
      </c>
      <c r="D176" s="186" t="s">
        <v>454</v>
      </c>
      <c r="E176" s="186" t="str">
        <f t="shared" si="1"/>
        <v>ST1500-202-FA</v>
      </c>
    </row>
    <row r="177">
      <c r="A177" s="188" t="s">
        <v>1470</v>
      </c>
      <c r="B177" s="186" t="s">
        <v>904</v>
      </c>
      <c r="C177" s="186" t="s">
        <v>453</v>
      </c>
      <c r="D177" s="186" t="s">
        <v>454</v>
      </c>
      <c r="E177" s="186" t="str">
        <f t="shared" si="1"/>
        <v>ST1500-202-SI</v>
      </c>
    </row>
    <row r="178">
      <c r="A178" s="188" t="s">
        <v>1471</v>
      </c>
      <c r="B178" s="186" t="s">
        <v>946</v>
      </c>
      <c r="C178" s="186" t="s">
        <v>453</v>
      </c>
      <c r="D178" s="186" t="s">
        <v>454</v>
      </c>
      <c r="E178" s="186" t="str">
        <f t="shared" si="1"/>
        <v>ST1500-202-SD</v>
      </c>
    </row>
    <row r="179">
      <c r="A179" s="188" t="s">
        <v>1472</v>
      </c>
      <c r="B179" s="186" t="s">
        <v>896</v>
      </c>
      <c r="C179" s="186" t="s">
        <v>453</v>
      </c>
      <c r="D179" s="186" t="s">
        <v>454</v>
      </c>
      <c r="E179" s="186" t="str">
        <f t="shared" si="1"/>
        <v>ST1500-202-SX</v>
      </c>
    </row>
    <row r="180">
      <c r="A180" s="188" t="s">
        <v>1474</v>
      </c>
      <c r="B180" s="186" t="s">
        <v>948</v>
      </c>
      <c r="C180" s="186" t="s">
        <v>453</v>
      </c>
      <c r="D180" s="186" t="s">
        <v>454</v>
      </c>
      <c r="E180" s="186" t="str">
        <f t="shared" si="1"/>
        <v>ST1500-202-SF</v>
      </c>
    </row>
    <row r="181">
      <c r="A181" s="188" t="s">
        <v>1476</v>
      </c>
      <c r="B181" s="186" t="s">
        <v>1477</v>
      </c>
      <c r="C181" s="186" t="s">
        <v>453</v>
      </c>
      <c r="D181" s="186" t="s">
        <v>454</v>
      </c>
      <c r="E181" s="186" t="str">
        <f t="shared" si="1"/>
        <v>ST1500-202-PC</v>
      </c>
    </row>
    <row r="182">
      <c r="A182" s="188" t="s">
        <v>1479</v>
      </c>
      <c r="B182" s="186" t="s">
        <v>914</v>
      </c>
      <c r="C182" s="186" t="s">
        <v>453</v>
      </c>
      <c r="D182" s="186" t="s">
        <v>454</v>
      </c>
      <c r="E182" s="186" t="str">
        <f t="shared" si="1"/>
        <v>ST1500-202-HH</v>
      </c>
    </row>
    <row r="183">
      <c r="A183" s="185" t="s">
        <v>1481</v>
      </c>
      <c r="B183" s="186" t="s">
        <v>916</v>
      </c>
      <c r="C183" s="186" t="s">
        <v>453</v>
      </c>
      <c r="D183" s="186" t="s">
        <v>454</v>
      </c>
      <c r="E183" s="186" t="str">
        <f t="shared" si="1"/>
        <v>ST1500-202-BH</v>
      </c>
    </row>
    <row r="184">
      <c r="A184" s="188" t="s">
        <v>1483</v>
      </c>
      <c r="B184" s="186" t="s">
        <v>960</v>
      </c>
      <c r="C184" s="186" t="s">
        <v>453</v>
      </c>
      <c r="D184" s="186" t="s">
        <v>454</v>
      </c>
      <c r="E184" s="186" t="str">
        <f t="shared" si="1"/>
        <v>ST1500-202-FB</v>
      </c>
    </row>
    <row r="185">
      <c r="A185" s="188" t="s">
        <v>1484</v>
      </c>
      <c r="B185" s="189" t="s">
        <v>892</v>
      </c>
      <c r="C185" s="186" t="s">
        <v>453</v>
      </c>
      <c r="D185" s="186" t="s">
        <v>454</v>
      </c>
      <c r="E185" s="186" t="str">
        <f t="shared" si="1"/>
        <v>ST1500-202-PR1</v>
      </c>
    </row>
    <row r="186">
      <c r="A186" s="188" t="s">
        <v>1485</v>
      </c>
      <c r="B186" s="189" t="s">
        <v>944</v>
      </c>
      <c r="C186" s="186" t="s">
        <v>453</v>
      </c>
      <c r="D186" s="186" t="s">
        <v>454</v>
      </c>
      <c r="E186" s="186" t="str">
        <f t="shared" si="1"/>
        <v>ST1500-202-PR2</v>
      </c>
    </row>
    <row r="187">
      <c r="A187" s="188" t="s">
        <v>1486</v>
      </c>
      <c r="B187" s="186" t="s">
        <v>912</v>
      </c>
      <c r="C187" s="186" t="s">
        <v>453</v>
      </c>
      <c r="D187" s="186" t="s">
        <v>454</v>
      </c>
      <c r="E187" s="186" t="str">
        <f t="shared" si="1"/>
        <v>ST1500-202-CL</v>
      </c>
    </row>
    <row r="188">
      <c r="A188" s="188" t="s">
        <v>1488</v>
      </c>
      <c r="B188" s="189" t="s">
        <v>1489</v>
      </c>
      <c r="C188" s="186" t="s">
        <v>453</v>
      </c>
      <c r="D188" s="186" t="s">
        <v>454</v>
      </c>
      <c r="E188" s="186" t="str">
        <f t="shared" si="1"/>
        <v>ST1500-202-IFR</v>
      </c>
    </row>
    <row r="189">
      <c r="A189" s="188" t="s">
        <v>1492</v>
      </c>
      <c r="B189" s="186" t="s">
        <v>918</v>
      </c>
      <c r="C189" s="186" t="s">
        <v>453</v>
      </c>
      <c r="D189" s="186" t="s">
        <v>454</v>
      </c>
      <c r="E189" s="186" t="str">
        <f t="shared" si="1"/>
        <v>ST1500-202-FC</v>
      </c>
    </row>
    <row r="190">
      <c r="A190" s="185" t="s">
        <v>1494</v>
      </c>
      <c r="B190" s="189" t="s">
        <v>1495</v>
      </c>
      <c r="C190" s="186" t="s">
        <v>453</v>
      </c>
      <c r="D190" s="186" t="s">
        <v>454</v>
      </c>
      <c r="E190" s="186" t="str">
        <f t="shared" si="1"/>
        <v>ST1500-202-CBC</v>
      </c>
    </row>
    <row r="191">
      <c r="A191" s="185" t="s">
        <v>1453</v>
      </c>
      <c r="B191" s="186" t="s">
        <v>1372</v>
      </c>
      <c r="C191" s="186" t="s">
        <v>455</v>
      </c>
      <c r="D191" s="186" t="s">
        <v>456</v>
      </c>
      <c r="E191" s="186" t="str">
        <f t="shared" si="1"/>
        <v>ST1000-202-BD</v>
      </c>
    </row>
    <row r="192">
      <c r="A192" s="185" t="s">
        <v>663</v>
      </c>
      <c r="B192" s="186" t="s">
        <v>889</v>
      </c>
      <c r="C192" s="186" t="s">
        <v>455</v>
      </c>
      <c r="D192" s="186" t="s">
        <v>456</v>
      </c>
      <c r="E192" s="186" t="str">
        <f t="shared" si="1"/>
        <v>ST1000-202-CC</v>
      </c>
    </row>
    <row r="193">
      <c r="A193" s="188" t="s">
        <v>1454</v>
      </c>
      <c r="B193" s="186" t="s">
        <v>1086</v>
      </c>
      <c r="C193" s="186" t="s">
        <v>455</v>
      </c>
      <c r="D193" s="186" t="s">
        <v>456</v>
      </c>
      <c r="E193" s="186" t="str">
        <f t="shared" si="1"/>
        <v>ST1000-202-FA</v>
      </c>
    </row>
    <row r="194">
      <c r="A194" s="188" t="s">
        <v>1455</v>
      </c>
      <c r="B194" s="186" t="s">
        <v>899</v>
      </c>
      <c r="C194" s="186" t="s">
        <v>455</v>
      </c>
      <c r="D194" s="186" t="s">
        <v>456</v>
      </c>
      <c r="E194" s="186" t="str">
        <f t="shared" si="1"/>
        <v>ST1000-202-CU</v>
      </c>
    </row>
    <row r="195">
      <c r="A195" s="188" t="s">
        <v>1456</v>
      </c>
      <c r="B195" s="186" t="s">
        <v>902</v>
      </c>
      <c r="C195" s="186" t="s">
        <v>455</v>
      </c>
      <c r="D195" s="186" t="s">
        <v>456</v>
      </c>
      <c r="E195" s="186" t="str">
        <f t="shared" si="1"/>
        <v>ST1000-202-GB</v>
      </c>
    </row>
    <row r="196">
      <c r="A196" s="188" t="s">
        <v>1457</v>
      </c>
      <c r="B196" s="186" t="s">
        <v>931</v>
      </c>
      <c r="C196" s="186" t="s">
        <v>455</v>
      </c>
      <c r="D196" s="186" t="s">
        <v>456</v>
      </c>
      <c r="E196" s="186" t="str">
        <f t="shared" si="1"/>
        <v>ST1000-202-PF</v>
      </c>
    </row>
    <row r="197">
      <c r="A197" s="188" t="s">
        <v>1458</v>
      </c>
      <c r="B197" s="186" t="s">
        <v>928</v>
      </c>
      <c r="C197" s="186" t="s">
        <v>455</v>
      </c>
      <c r="D197" s="186" t="s">
        <v>456</v>
      </c>
      <c r="E197" s="186" t="str">
        <f t="shared" si="1"/>
        <v>ST1000-202-PPO</v>
      </c>
    </row>
    <row r="198">
      <c r="A198" s="188" t="s">
        <v>1459</v>
      </c>
      <c r="B198" s="186" t="s">
        <v>908</v>
      </c>
      <c r="C198" s="186" t="s">
        <v>455</v>
      </c>
      <c r="D198" s="186" t="s">
        <v>456</v>
      </c>
      <c r="E198" s="186" t="str">
        <f t="shared" si="1"/>
        <v>ST1000-202-POL</v>
      </c>
    </row>
    <row r="199">
      <c r="A199" s="185" t="s">
        <v>1460</v>
      </c>
      <c r="B199" s="189" t="s">
        <v>1461</v>
      </c>
      <c r="C199" s="186" t="s">
        <v>455</v>
      </c>
      <c r="D199" s="186" t="s">
        <v>456</v>
      </c>
      <c r="E199" s="186" t="str">
        <f t="shared" si="1"/>
        <v>ST1000-202-PR</v>
      </c>
    </row>
    <row r="200">
      <c r="A200" s="188" t="s">
        <v>1462</v>
      </c>
      <c r="B200" s="186" t="s">
        <v>629</v>
      </c>
      <c r="C200" s="186" t="s">
        <v>455</v>
      </c>
      <c r="D200" s="186" t="s">
        <v>456</v>
      </c>
      <c r="E200" s="186" t="str">
        <f t="shared" si="1"/>
        <v>ST1000-202-QC</v>
      </c>
    </row>
    <row r="201">
      <c r="A201" s="188" t="s">
        <v>1463</v>
      </c>
      <c r="B201" s="186" t="s">
        <v>1464</v>
      </c>
      <c r="C201" s="186" t="s">
        <v>455</v>
      </c>
      <c r="D201" s="186" t="s">
        <v>456</v>
      </c>
      <c r="E201" s="186" t="str">
        <f t="shared" si="1"/>
        <v>ST1000-202-RP1</v>
      </c>
    </row>
    <row r="202">
      <c r="A202" s="188" t="s">
        <v>1466</v>
      </c>
      <c r="B202" s="189" t="s">
        <v>1467</v>
      </c>
      <c r="C202" s="186" t="s">
        <v>455</v>
      </c>
      <c r="D202" s="186" t="s">
        <v>456</v>
      </c>
      <c r="E202" s="186" t="str">
        <f t="shared" si="1"/>
        <v>ST1000-202-RP2</v>
      </c>
    </row>
    <row r="203">
      <c r="A203" s="188" t="s">
        <v>1469</v>
      </c>
      <c r="B203" s="186" t="s">
        <v>1086</v>
      </c>
      <c r="C203" s="186" t="s">
        <v>455</v>
      </c>
      <c r="D203" s="186" t="s">
        <v>456</v>
      </c>
      <c r="E203" s="186" t="str">
        <f t="shared" si="1"/>
        <v>ST1000-202-FA</v>
      </c>
    </row>
    <row r="204">
      <c r="A204" s="188" t="s">
        <v>1470</v>
      </c>
      <c r="B204" s="186" t="s">
        <v>904</v>
      </c>
      <c r="C204" s="186" t="s">
        <v>455</v>
      </c>
      <c r="D204" s="186" t="s">
        <v>456</v>
      </c>
      <c r="E204" s="186" t="str">
        <f t="shared" si="1"/>
        <v>ST1000-202-SI</v>
      </c>
    </row>
    <row r="205">
      <c r="A205" s="188" t="s">
        <v>1471</v>
      </c>
      <c r="B205" s="186" t="s">
        <v>946</v>
      </c>
      <c r="C205" s="186" t="s">
        <v>455</v>
      </c>
      <c r="D205" s="186" t="s">
        <v>456</v>
      </c>
      <c r="E205" s="186" t="str">
        <f t="shared" si="1"/>
        <v>ST1000-202-SD</v>
      </c>
    </row>
    <row r="206">
      <c r="A206" s="188" t="s">
        <v>1472</v>
      </c>
      <c r="B206" s="186" t="s">
        <v>896</v>
      </c>
      <c r="C206" s="186" t="s">
        <v>455</v>
      </c>
      <c r="D206" s="186" t="s">
        <v>456</v>
      </c>
      <c r="E206" s="186" t="str">
        <f t="shared" si="1"/>
        <v>ST1000-202-SX</v>
      </c>
    </row>
    <row r="207">
      <c r="A207" s="188" t="s">
        <v>1474</v>
      </c>
      <c r="B207" s="186" t="s">
        <v>948</v>
      </c>
      <c r="C207" s="186" t="s">
        <v>455</v>
      </c>
      <c r="D207" s="186" t="s">
        <v>456</v>
      </c>
      <c r="E207" s="186" t="str">
        <f t="shared" si="1"/>
        <v>ST1000-202-SF</v>
      </c>
    </row>
    <row r="208">
      <c r="A208" s="188" t="s">
        <v>1476</v>
      </c>
      <c r="B208" s="186" t="s">
        <v>1477</v>
      </c>
      <c r="C208" s="186" t="s">
        <v>455</v>
      </c>
      <c r="D208" s="186" t="s">
        <v>456</v>
      </c>
      <c r="E208" s="186" t="str">
        <f t="shared" si="1"/>
        <v>ST1000-202-PC</v>
      </c>
    </row>
    <row r="209">
      <c r="A209" s="188" t="s">
        <v>1479</v>
      </c>
      <c r="B209" s="186" t="s">
        <v>914</v>
      </c>
      <c r="C209" s="186" t="s">
        <v>455</v>
      </c>
      <c r="D209" s="186" t="s">
        <v>456</v>
      </c>
      <c r="E209" s="186" t="str">
        <f t="shared" si="1"/>
        <v>ST1000-202-HH</v>
      </c>
    </row>
    <row r="210">
      <c r="A210" s="185" t="s">
        <v>1481</v>
      </c>
      <c r="B210" s="186" t="s">
        <v>916</v>
      </c>
      <c r="C210" s="186" t="s">
        <v>455</v>
      </c>
      <c r="D210" s="186" t="s">
        <v>456</v>
      </c>
      <c r="E210" s="186" t="str">
        <f t="shared" si="1"/>
        <v>ST1000-202-BH</v>
      </c>
    </row>
    <row r="211">
      <c r="A211" s="188" t="s">
        <v>1483</v>
      </c>
      <c r="B211" s="186" t="s">
        <v>960</v>
      </c>
      <c r="C211" s="186" t="s">
        <v>455</v>
      </c>
      <c r="D211" s="186" t="s">
        <v>456</v>
      </c>
      <c r="E211" s="186" t="str">
        <f t="shared" si="1"/>
        <v>ST1000-202-FB</v>
      </c>
    </row>
    <row r="212">
      <c r="A212" s="188" t="s">
        <v>1484</v>
      </c>
      <c r="B212" s="189" t="s">
        <v>892</v>
      </c>
      <c r="C212" s="186" t="s">
        <v>455</v>
      </c>
      <c r="D212" s="186" t="s">
        <v>456</v>
      </c>
      <c r="E212" s="186" t="str">
        <f t="shared" si="1"/>
        <v>ST1000-202-PR1</v>
      </c>
    </row>
    <row r="213">
      <c r="A213" s="188" t="s">
        <v>1485</v>
      </c>
      <c r="B213" s="189" t="s">
        <v>944</v>
      </c>
      <c r="C213" s="186" t="s">
        <v>455</v>
      </c>
      <c r="D213" s="186" t="s">
        <v>456</v>
      </c>
      <c r="E213" s="186" t="str">
        <f t="shared" si="1"/>
        <v>ST1000-202-PR2</v>
      </c>
    </row>
    <row r="214">
      <c r="A214" s="188" t="s">
        <v>1486</v>
      </c>
      <c r="B214" s="186" t="s">
        <v>912</v>
      </c>
      <c r="C214" s="186" t="s">
        <v>455</v>
      </c>
      <c r="D214" s="186" t="s">
        <v>456</v>
      </c>
      <c r="E214" s="186" t="str">
        <f t="shared" si="1"/>
        <v>ST1000-202-CL</v>
      </c>
    </row>
    <row r="215">
      <c r="A215" s="188" t="s">
        <v>1488</v>
      </c>
      <c r="B215" s="189" t="s">
        <v>1489</v>
      </c>
      <c r="C215" s="186" t="s">
        <v>455</v>
      </c>
      <c r="D215" s="186" t="s">
        <v>456</v>
      </c>
      <c r="E215" s="186" t="str">
        <f t="shared" si="1"/>
        <v>ST1000-202-IFR</v>
      </c>
    </row>
    <row r="216">
      <c r="A216" s="188" t="s">
        <v>1492</v>
      </c>
      <c r="B216" s="186" t="s">
        <v>918</v>
      </c>
      <c r="C216" s="186" t="s">
        <v>455</v>
      </c>
      <c r="D216" s="186" t="s">
        <v>456</v>
      </c>
      <c r="E216" s="186" t="str">
        <f t="shared" si="1"/>
        <v>ST1000-202-FC</v>
      </c>
    </row>
    <row r="217">
      <c r="A217" s="185" t="s">
        <v>1494</v>
      </c>
      <c r="B217" s="189" t="s">
        <v>1495</v>
      </c>
      <c r="C217" s="186" t="s">
        <v>455</v>
      </c>
      <c r="D217" s="186" t="s">
        <v>456</v>
      </c>
      <c r="E217" s="186" t="str">
        <f t="shared" si="1"/>
        <v>ST1000-202-CBC</v>
      </c>
    </row>
    <row r="218">
      <c r="A218" s="185" t="s">
        <v>1453</v>
      </c>
      <c r="B218" s="186" t="s">
        <v>1372</v>
      </c>
      <c r="C218" s="186" t="s">
        <v>457</v>
      </c>
      <c r="D218" s="186" t="s">
        <v>458</v>
      </c>
      <c r="E218" s="186" t="str">
        <f t="shared" si="1"/>
        <v>GX1500-202-BD</v>
      </c>
    </row>
    <row r="219">
      <c r="A219" s="185" t="s">
        <v>663</v>
      </c>
      <c r="B219" s="186" t="s">
        <v>889</v>
      </c>
      <c r="C219" s="186" t="s">
        <v>457</v>
      </c>
      <c r="D219" s="186" t="s">
        <v>458</v>
      </c>
      <c r="E219" s="186" t="str">
        <f t="shared" si="1"/>
        <v>GX1500-202-CC</v>
      </c>
    </row>
    <row r="220">
      <c r="A220" s="188" t="s">
        <v>1454</v>
      </c>
      <c r="B220" s="186" t="s">
        <v>1086</v>
      </c>
      <c r="C220" s="186" t="s">
        <v>457</v>
      </c>
      <c r="D220" s="186" t="s">
        <v>458</v>
      </c>
      <c r="E220" s="186" t="str">
        <f t="shared" si="1"/>
        <v>GX1500-202-FA</v>
      </c>
    </row>
    <row r="221">
      <c r="A221" s="188" t="s">
        <v>1455</v>
      </c>
      <c r="B221" s="186" t="s">
        <v>899</v>
      </c>
      <c r="C221" s="186" t="s">
        <v>457</v>
      </c>
      <c r="D221" s="186" t="s">
        <v>458</v>
      </c>
      <c r="E221" s="186" t="str">
        <f t="shared" si="1"/>
        <v>GX1500-202-CU</v>
      </c>
    </row>
    <row r="222">
      <c r="A222" s="188" t="s">
        <v>1456</v>
      </c>
      <c r="B222" s="186" t="s">
        <v>902</v>
      </c>
      <c r="C222" s="186" t="s">
        <v>457</v>
      </c>
      <c r="D222" s="186" t="s">
        <v>458</v>
      </c>
      <c r="E222" s="186" t="str">
        <f t="shared" si="1"/>
        <v>GX1500-202-GB</v>
      </c>
    </row>
    <row r="223">
      <c r="A223" s="188" t="s">
        <v>1457</v>
      </c>
      <c r="B223" s="186" t="s">
        <v>931</v>
      </c>
      <c r="C223" s="186" t="s">
        <v>457</v>
      </c>
      <c r="D223" s="186" t="s">
        <v>458</v>
      </c>
      <c r="E223" s="186" t="str">
        <f t="shared" si="1"/>
        <v>GX1500-202-PF</v>
      </c>
    </row>
    <row r="224">
      <c r="A224" s="188" t="s">
        <v>1458</v>
      </c>
      <c r="B224" s="186" t="s">
        <v>928</v>
      </c>
      <c r="C224" s="186" t="s">
        <v>457</v>
      </c>
      <c r="D224" s="186" t="s">
        <v>458</v>
      </c>
      <c r="E224" s="186" t="str">
        <f t="shared" si="1"/>
        <v>GX1500-202-PPO</v>
      </c>
    </row>
    <row r="225">
      <c r="A225" s="188" t="s">
        <v>1459</v>
      </c>
      <c r="B225" s="186" t="s">
        <v>908</v>
      </c>
      <c r="C225" s="186" t="s">
        <v>457</v>
      </c>
      <c r="D225" s="186" t="s">
        <v>458</v>
      </c>
      <c r="E225" s="186" t="str">
        <f t="shared" si="1"/>
        <v>GX1500-202-POL</v>
      </c>
    </row>
    <row r="226">
      <c r="A226" s="185" t="s">
        <v>1460</v>
      </c>
      <c r="B226" s="189" t="s">
        <v>1461</v>
      </c>
      <c r="C226" s="186" t="s">
        <v>457</v>
      </c>
      <c r="D226" s="186" t="s">
        <v>458</v>
      </c>
      <c r="E226" s="186" t="str">
        <f t="shared" si="1"/>
        <v>GX1500-202-PR</v>
      </c>
    </row>
    <row r="227">
      <c r="A227" s="188" t="s">
        <v>1462</v>
      </c>
      <c r="B227" s="186" t="s">
        <v>629</v>
      </c>
      <c r="C227" s="186" t="s">
        <v>457</v>
      </c>
      <c r="D227" s="186" t="s">
        <v>458</v>
      </c>
      <c r="E227" s="186" t="str">
        <f t="shared" si="1"/>
        <v>GX1500-202-QC</v>
      </c>
    </row>
    <row r="228">
      <c r="A228" s="188" t="s">
        <v>1463</v>
      </c>
      <c r="B228" s="186" t="s">
        <v>1464</v>
      </c>
      <c r="C228" s="186" t="s">
        <v>457</v>
      </c>
      <c r="D228" s="186" t="s">
        <v>458</v>
      </c>
      <c r="E228" s="186" t="str">
        <f t="shared" si="1"/>
        <v>GX1500-202-RP1</v>
      </c>
    </row>
    <row r="229">
      <c r="A229" s="188" t="s">
        <v>1466</v>
      </c>
      <c r="B229" s="189" t="s">
        <v>1467</v>
      </c>
      <c r="C229" s="186" t="s">
        <v>457</v>
      </c>
      <c r="D229" s="186" t="s">
        <v>458</v>
      </c>
      <c r="E229" s="186" t="str">
        <f t="shared" si="1"/>
        <v>GX1500-202-RP2</v>
      </c>
    </row>
    <row r="230">
      <c r="A230" s="188" t="s">
        <v>1469</v>
      </c>
      <c r="B230" s="186" t="s">
        <v>1086</v>
      </c>
      <c r="C230" s="186" t="s">
        <v>457</v>
      </c>
      <c r="D230" s="186" t="s">
        <v>458</v>
      </c>
      <c r="E230" s="186" t="str">
        <f t="shared" si="1"/>
        <v>GX1500-202-FA</v>
      </c>
    </row>
    <row r="231">
      <c r="A231" s="188" t="s">
        <v>1470</v>
      </c>
      <c r="B231" s="186" t="s">
        <v>904</v>
      </c>
      <c r="C231" s="186" t="s">
        <v>457</v>
      </c>
      <c r="D231" s="186" t="s">
        <v>458</v>
      </c>
      <c r="E231" s="186" t="str">
        <f t="shared" si="1"/>
        <v>GX1500-202-SI</v>
      </c>
    </row>
    <row r="232">
      <c r="A232" s="188" t="s">
        <v>1471</v>
      </c>
      <c r="B232" s="186" t="s">
        <v>946</v>
      </c>
      <c r="C232" s="186" t="s">
        <v>457</v>
      </c>
      <c r="D232" s="186" t="s">
        <v>458</v>
      </c>
      <c r="E232" s="186" t="str">
        <f t="shared" si="1"/>
        <v>GX1500-202-SD</v>
      </c>
    </row>
    <row r="233">
      <c r="A233" s="188" t="s">
        <v>1472</v>
      </c>
      <c r="B233" s="186" t="s">
        <v>896</v>
      </c>
      <c r="C233" s="186" t="s">
        <v>457</v>
      </c>
      <c r="D233" s="186" t="s">
        <v>458</v>
      </c>
      <c r="E233" s="186" t="str">
        <f t="shared" si="1"/>
        <v>GX1500-202-SX</v>
      </c>
    </row>
    <row r="234">
      <c r="A234" s="188" t="s">
        <v>1474</v>
      </c>
      <c r="B234" s="186" t="s">
        <v>948</v>
      </c>
      <c r="C234" s="186" t="s">
        <v>457</v>
      </c>
      <c r="D234" s="186" t="s">
        <v>458</v>
      </c>
      <c r="E234" s="186" t="str">
        <f t="shared" si="1"/>
        <v>GX1500-202-SF</v>
      </c>
    </row>
    <row r="235">
      <c r="A235" s="188" t="s">
        <v>1476</v>
      </c>
      <c r="B235" s="186" t="s">
        <v>1477</v>
      </c>
      <c r="C235" s="186" t="s">
        <v>457</v>
      </c>
      <c r="D235" s="186" t="s">
        <v>458</v>
      </c>
      <c r="E235" s="186" t="str">
        <f t="shared" si="1"/>
        <v>GX1500-202-PC</v>
      </c>
    </row>
    <row r="236">
      <c r="A236" s="188" t="s">
        <v>1479</v>
      </c>
      <c r="B236" s="186" t="s">
        <v>914</v>
      </c>
      <c r="C236" s="186" t="s">
        <v>457</v>
      </c>
      <c r="D236" s="186" t="s">
        <v>458</v>
      </c>
      <c r="E236" s="186" t="str">
        <f t="shared" si="1"/>
        <v>GX1500-202-HH</v>
      </c>
    </row>
    <row r="237">
      <c r="A237" s="185" t="s">
        <v>1481</v>
      </c>
      <c r="B237" s="186" t="s">
        <v>916</v>
      </c>
      <c r="C237" s="186" t="s">
        <v>457</v>
      </c>
      <c r="D237" s="186" t="s">
        <v>458</v>
      </c>
      <c r="E237" s="186" t="str">
        <f t="shared" si="1"/>
        <v>GX1500-202-BH</v>
      </c>
    </row>
    <row r="238">
      <c r="A238" s="188" t="s">
        <v>1483</v>
      </c>
      <c r="B238" s="186" t="s">
        <v>960</v>
      </c>
      <c r="C238" s="186" t="s">
        <v>457</v>
      </c>
      <c r="D238" s="186" t="s">
        <v>458</v>
      </c>
      <c r="E238" s="186" t="str">
        <f t="shared" si="1"/>
        <v>GX1500-202-FB</v>
      </c>
    </row>
    <row r="239">
      <c r="A239" s="188" t="s">
        <v>1484</v>
      </c>
      <c r="B239" s="189" t="s">
        <v>892</v>
      </c>
      <c r="C239" s="186" t="s">
        <v>457</v>
      </c>
      <c r="D239" s="186" t="s">
        <v>458</v>
      </c>
      <c r="E239" s="186" t="str">
        <f t="shared" si="1"/>
        <v>GX1500-202-PR1</v>
      </c>
    </row>
    <row r="240">
      <c r="A240" s="188" t="s">
        <v>1485</v>
      </c>
      <c r="B240" s="189" t="s">
        <v>944</v>
      </c>
      <c r="C240" s="186" t="s">
        <v>457</v>
      </c>
      <c r="D240" s="186" t="s">
        <v>458</v>
      </c>
      <c r="E240" s="186" t="str">
        <f t="shared" si="1"/>
        <v>GX1500-202-PR2</v>
      </c>
    </row>
    <row r="241">
      <c r="A241" s="188" t="s">
        <v>1486</v>
      </c>
      <c r="B241" s="186" t="s">
        <v>912</v>
      </c>
      <c r="C241" s="186" t="s">
        <v>457</v>
      </c>
      <c r="D241" s="186" t="s">
        <v>458</v>
      </c>
      <c r="E241" s="186" t="str">
        <f t="shared" si="1"/>
        <v>GX1500-202-CL</v>
      </c>
    </row>
    <row r="242">
      <c r="A242" s="188" t="s">
        <v>1488</v>
      </c>
      <c r="B242" s="189" t="s">
        <v>1489</v>
      </c>
      <c r="C242" s="186" t="s">
        <v>457</v>
      </c>
      <c r="D242" s="186" t="s">
        <v>458</v>
      </c>
      <c r="E242" s="186" t="str">
        <f t="shared" si="1"/>
        <v>GX1500-202-IFR</v>
      </c>
    </row>
    <row r="243">
      <c r="A243" s="188" t="s">
        <v>1492</v>
      </c>
      <c r="B243" s="186" t="s">
        <v>918</v>
      </c>
      <c r="C243" s="186" t="s">
        <v>457</v>
      </c>
      <c r="D243" s="186" t="s">
        <v>458</v>
      </c>
      <c r="E243" s="186" t="str">
        <f t="shared" si="1"/>
        <v>GX1500-202-FC</v>
      </c>
    </row>
    <row r="244">
      <c r="A244" s="185" t="s">
        <v>1494</v>
      </c>
      <c r="B244" s="189" t="s">
        <v>1495</v>
      </c>
      <c r="C244" s="186" t="s">
        <v>457</v>
      </c>
      <c r="D244" s="186" t="s">
        <v>458</v>
      </c>
      <c r="E244" s="186" t="str">
        <f t="shared" si="1"/>
        <v>GX1500-202-CBC</v>
      </c>
    </row>
    <row r="245">
      <c r="A245" s="185" t="s">
        <v>1453</v>
      </c>
      <c r="B245" s="186" t="s">
        <v>1372</v>
      </c>
      <c r="C245" s="186" t="s">
        <v>459</v>
      </c>
      <c r="D245" s="186" t="s">
        <v>460</v>
      </c>
      <c r="E245" s="186" t="str">
        <f t="shared" si="1"/>
        <v>GX1000-202-BD</v>
      </c>
    </row>
    <row r="246">
      <c r="A246" s="185" t="s">
        <v>663</v>
      </c>
      <c r="B246" s="186" t="s">
        <v>889</v>
      </c>
      <c r="C246" s="186" t="s">
        <v>459</v>
      </c>
      <c r="D246" s="186" t="s">
        <v>460</v>
      </c>
      <c r="E246" s="186" t="str">
        <f t="shared" si="1"/>
        <v>GX1000-202-CC</v>
      </c>
    </row>
    <row r="247">
      <c r="A247" s="188" t="s">
        <v>1454</v>
      </c>
      <c r="B247" s="186" t="s">
        <v>1086</v>
      </c>
      <c r="C247" s="186" t="s">
        <v>459</v>
      </c>
      <c r="D247" s="186" t="s">
        <v>460</v>
      </c>
      <c r="E247" s="186" t="str">
        <f t="shared" si="1"/>
        <v>GX1000-202-FA</v>
      </c>
    </row>
    <row r="248">
      <c r="A248" s="188" t="s">
        <v>1455</v>
      </c>
      <c r="B248" s="186" t="s">
        <v>899</v>
      </c>
      <c r="C248" s="186" t="s">
        <v>459</v>
      </c>
      <c r="D248" s="186" t="s">
        <v>460</v>
      </c>
      <c r="E248" s="186" t="str">
        <f t="shared" si="1"/>
        <v>GX1000-202-CU</v>
      </c>
    </row>
    <row r="249">
      <c r="A249" s="188" t="s">
        <v>1456</v>
      </c>
      <c r="B249" s="186" t="s">
        <v>902</v>
      </c>
      <c r="C249" s="186" t="s">
        <v>459</v>
      </c>
      <c r="D249" s="186" t="s">
        <v>460</v>
      </c>
      <c r="E249" s="186" t="str">
        <f t="shared" si="1"/>
        <v>GX1000-202-GB</v>
      </c>
    </row>
    <row r="250">
      <c r="A250" s="188" t="s">
        <v>1457</v>
      </c>
      <c r="B250" s="186" t="s">
        <v>931</v>
      </c>
      <c r="C250" s="186" t="s">
        <v>459</v>
      </c>
      <c r="D250" s="186" t="s">
        <v>460</v>
      </c>
      <c r="E250" s="186" t="str">
        <f t="shared" si="1"/>
        <v>GX1000-202-PF</v>
      </c>
    </row>
    <row r="251">
      <c r="A251" s="188" t="s">
        <v>1458</v>
      </c>
      <c r="B251" s="186" t="s">
        <v>928</v>
      </c>
      <c r="C251" s="186" t="s">
        <v>459</v>
      </c>
      <c r="D251" s="186" t="s">
        <v>460</v>
      </c>
      <c r="E251" s="186" t="str">
        <f t="shared" si="1"/>
        <v>GX1000-202-PPO</v>
      </c>
    </row>
    <row r="252">
      <c r="A252" s="188" t="s">
        <v>1459</v>
      </c>
      <c r="B252" s="186" t="s">
        <v>908</v>
      </c>
      <c r="C252" s="186" t="s">
        <v>459</v>
      </c>
      <c r="D252" s="186" t="s">
        <v>460</v>
      </c>
      <c r="E252" s="186" t="str">
        <f t="shared" si="1"/>
        <v>GX1000-202-POL</v>
      </c>
    </row>
    <row r="253">
      <c r="A253" s="185" t="s">
        <v>1460</v>
      </c>
      <c r="B253" s="189" t="s">
        <v>1461</v>
      </c>
      <c r="C253" s="186" t="s">
        <v>459</v>
      </c>
      <c r="D253" s="186" t="s">
        <v>460</v>
      </c>
      <c r="E253" s="186" t="str">
        <f t="shared" si="1"/>
        <v>GX1000-202-PR</v>
      </c>
    </row>
    <row r="254">
      <c r="A254" s="188" t="s">
        <v>1462</v>
      </c>
      <c r="B254" s="186" t="s">
        <v>629</v>
      </c>
      <c r="C254" s="186" t="s">
        <v>459</v>
      </c>
      <c r="D254" s="186" t="s">
        <v>460</v>
      </c>
      <c r="E254" s="186" t="str">
        <f t="shared" si="1"/>
        <v>GX1000-202-QC</v>
      </c>
    </row>
    <row r="255">
      <c r="A255" s="188" t="s">
        <v>1463</v>
      </c>
      <c r="B255" s="186" t="s">
        <v>1464</v>
      </c>
      <c r="C255" s="186" t="s">
        <v>459</v>
      </c>
      <c r="D255" s="186" t="s">
        <v>460</v>
      </c>
      <c r="E255" s="186" t="str">
        <f t="shared" si="1"/>
        <v>GX1000-202-RP1</v>
      </c>
    </row>
    <row r="256">
      <c r="A256" s="188" t="s">
        <v>1466</v>
      </c>
      <c r="B256" s="189" t="s">
        <v>1467</v>
      </c>
      <c r="C256" s="186" t="s">
        <v>459</v>
      </c>
      <c r="D256" s="186" t="s">
        <v>460</v>
      </c>
      <c r="E256" s="186" t="str">
        <f t="shared" si="1"/>
        <v>GX1000-202-RP2</v>
      </c>
    </row>
    <row r="257">
      <c r="A257" s="188" t="s">
        <v>1469</v>
      </c>
      <c r="B257" s="186" t="s">
        <v>1086</v>
      </c>
      <c r="C257" s="186" t="s">
        <v>459</v>
      </c>
      <c r="D257" s="186" t="s">
        <v>460</v>
      </c>
      <c r="E257" s="186" t="str">
        <f t="shared" si="1"/>
        <v>GX1000-202-FA</v>
      </c>
    </row>
    <row r="258">
      <c r="A258" s="188" t="s">
        <v>1470</v>
      </c>
      <c r="B258" s="186" t="s">
        <v>904</v>
      </c>
      <c r="C258" s="186" t="s">
        <v>459</v>
      </c>
      <c r="D258" s="186" t="s">
        <v>460</v>
      </c>
      <c r="E258" s="186" t="str">
        <f t="shared" si="1"/>
        <v>GX1000-202-SI</v>
      </c>
    </row>
    <row r="259">
      <c r="A259" s="188" t="s">
        <v>1471</v>
      </c>
      <c r="B259" s="186" t="s">
        <v>946</v>
      </c>
      <c r="C259" s="186" t="s">
        <v>459</v>
      </c>
      <c r="D259" s="186" t="s">
        <v>460</v>
      </c>
      <c r="E259" s="186" t="str">
        <f t="shared" si="1"/>
        <v>GX1000-202-SD</v>
      </c>
    </row>
    <row r="260">
      <c r="A260" s="188" t="s">
        <v>1472</v>
      </c>
      <c r="B260" s="186" t="s">
        <v>896</v>
      </c>
      <c r="C260" s="186" t="s">
        <v>459</v>
      </c>
      <c r="D260" s="186" t="s">
        <v>460</v>
      </c>
      <c r="E260" s="186" t="str">
        <f t="shared" si="1"/>
        <v>GX1000-202-SX</v>
      </c>
    </row>
    <row r="261">
      <c r="A261" s="188" t="s">
        <v>1474</v>
      </c>
      <c r="B261" s="186" t="s">
        <v>948</v>
      </c>
      <c r="C261" s="186" t="s">
        <v>459</v>
      </c>
      <c r="D261" s="186" t="s">
        <v>460</v>
      </c>
      <c r="E261" s="186" t="str">
        <f t="shared" si="1"/>
        <v>GX1000-202-SF</v>
      </c>
    </row>
    <row r="262">
      <c r="A262" s="188" t="s">
        <v>1476</v>
      </c>
      <c r="B262" s="186" t="s">
        <v>1477</v>
      </c>
      <c r="C262" s="186" t="s">
        <v>459</v>
      </c>
      <c r="D262" s="186" t="s">
        <v>460</v>
      </c>
      <c r="E262" s="186" t="str">
        <f t="shared" si="1"/>
        <v>GX1000-202-PC</v>
      </c>
    </row>
    <row r="263">
      <c r="A263" s="188" t="s">
        <v>1479</v>
      </c>
      <c r="B263" s="186" t="s">
        <v>914</v>
      </c>
      <c r="C263" s="186" t="s">
        <v>459</v>
      </c>
      <c r="D263" s="186" t="s">
        <v>460</v>
      </c>
      <c r="E263" s="186" t="str">
        <f t="shared" si="1"/>
        <v>GX1000-202-HH</v>
      </c>
    </row>
    <row r="264">
      <c r="A264" s="185" t="s">
        <v>1481</v>
      </c>
      <c r="B264" s="186" t="s">
        <v>916</v>
      </c>
      <c r="C264" s="186" t="s">
        <v>459</v>
      </c>
      <c r="D264" s="186" t="s">
        <v>460</v>
      </c>
      <c r="E264" s="186" t="str">
        <f t="shared" si="1"/>
        <v>GX1000-202-BH</v>
      </c>
    </row>
    <row r="265">
      <c r="A265" s="188" t="s">
        <v>1483</v>
      </c>
      <c r="B265" s="186" t="s">
        <v>960</v>
      </c>
      <c r="C265" s="186" t="s">
        <v>459</v>
      </c>
      <c r="D265" s="186" t="s">
        <v>460</v>
      </c>
      <c r="E265" s="186" t="str">
        <f t="shared" si="1"/>
        <v>GX1000-202-FB</v>
      </c>
    </row>
    <row r="266">
      <c r="A266" s="188" t="s">
        <v>1484</v>
      </c>
      <c r="B266" s="189" t="s">
        <v>892</v>
      </c>
      <c r="C266" s="186" t="s">
        <v>459</v>
      </c>
      <c r="D266" s="186" t="s">
        <v>460</v>
      </c>
      <c r="E266" s="186" t="str">
        <f t="shared" si="1"/>
        <v>GX1000-202-PR1</v>
      </c>
    </row>
    <row r="267">
      <c r="A267" s="188" t="s">
        <v>1485</v>
      </c>
      <c r="B267" s="189" t="s">
        <v>944</v>
      </c>
      <c r="C267" s="186" t="s">
        <v>459</v>
      </c>
      <c r="D267" s="186" t="s">
        <v>460</v>
      </c>
      <c r="E267" s="186" t="str">
        <f t="shared" si="1"/>
        <v>GX1000-202-PR2</v>
      </c>
    </row>
    <row r="268">
      <c r="A268" s="188" t="s">
        <v>1486</v>
      </c>
      <c r="B268" s="186" t="s">
        <v>912</v>
      </c>
      <c r="C268" s="186" t="s">
        <v>459</v>
      </c>
      <c r="D268" s="186" t="s">
        <v>460</v>
      </c>
      <c r="E268" s="186" t="str">
        <f t="shared" si="1"/>
        <v>GX1000-202-CL</v>
      </c>
    </row>
    <row r="269">
      <c r="A269" s="188" t="s">
        <v>1488</v>
      </c>
      <c r="B269" s="189" t="s">
        <v>1489</v>
      </c>
      <c r="C269" s="186" t="s">
        <v>459</v>
      </c>
      <c r="D269" s="186" t="s">
        <v>460</v>
      </c>
      <c r="E269" s="186" t="str">
        <f t="shared" si="1"/>
        <v>GX1000-202-IFR</v>
      </c>
    </row>
    <row r="270">
      <c r="A270" s="188" t="s">
        <v>1492</v>
      </c>
      <c r="B270" s="186" t="s">
        <v>918</v>
      </c>
      <c r="C270" s="186" t="s">
        <v>459</v>
      </c>
      <c r="D270" s="186" t="s">
        <v>460</v>
      </c>
      <c r="E270" s="186" t="str">
        <f t="shared" si="1"/>
        <v>GX1000-202-FC</v>
      </c>
    </row>
    <row r="271">
      <c r="A271" s="185" t="s">
        <v>1494</v>
      </c>
      <c r="B271" s="189" t="s">
        <v>1495</v>
      </c>
      <c r="C271" s="186" t="s">
        <v>459</v>
      </c>
      <c r="D271" s="186" t="s">
        <v>460</v>
      </c>
      <c r="E271" s="186" t="str">
        <f t="shared" si="1"/>
        <v>GX1000-202-CBC</v>
      </c>
    </row>
    <row r="272">
      <c r="A272" s="185" t="s">
        <v>1453</v>
      </c>
      <c r="B272" s="186" t="s">
        <v>1372</v>
      </c>
      <c r="C272" s="186" t="s">
        <v>461</v>
      </c>
      <c r="D272" s="186" t="s">
        <v>462</v>
      </c>
      <c r="E272" s="186" t="str">
        <f t="shared" si="1"/>
        <v>CK0600-204-BD</v>
      </c>
    </row>
    <row r="273">
      <c r="A273" s="185" t="s">
        <v>663</v>
      </c>
      <c r="B273" s="186" t="s">
        <v>889</v>
      </c>
      <c r="C273" s="186" t="s">
        <v>461</v>
      </c>
      <c r="D273" s="186" t="s">
        <v>462</v>
      </c>
      <c r="E273" s="186" t="str">
        <f t="shared" si="1"/>
        <v>CK0600-204-CC</v>
      </c>
    </row>
    <row r="274">
      <c r="A274" s="188" t="s">
        <v>1454</v>
      </c>
      <c r="B274" s="186" t="s">
        <v>1086</v>
      </c>
      <c r="C274" s="186" t="s">
        <v>461</v>
      </c>
      <c r="D274" s="186" t="s">
        <v>462</v>
      </c>
      <c r="E274" s="186" t="str">
        <f t="shared" si="1"/>
        <v>CK0600-204-FA</v>
      </c>
    </row>
    <row r="275">
      <c r="A275" s="188" t="s">
        <v>1455</v>
      </c>
      <c r="B275" s="186" t="s">
        <v>899</v>
      </c>
      <c r="C275" s="186" t="s">
        <v>461</v>
      </c>
      <c r="D275" s="186" t="s">
        <v>462</v>
      </c>
      <c r="E275" s="186" t="str">
        <f t="shared" si="1"/>
        <v>CK0600-204-CU</v>
      </c>
    </row>
    <row r="276">
      <c r="A276" s="188" t="s">
        <v>1456</v>
      </c>
      <c r="B276" s="186" t="s">
        <v>902</v>
      </c>
      <c r="C276" s="186" t="s">
        <v>461</v>
      </c>
      <c r="D276" s="186" t="s">
        <v>462</v>
      </c>
      <c r="E276" s="186" t="str">
        <f t="shared" si="1"/>
        <v>CK0600-204-GB</v>
      </c>
    </row>
    <row r="277">
      <c r="A277" s="188" t="s">
        <v>1457</v>
      </c>
      <c r="B277" s="186" t="s">
        <v>931</v>
      </c>
      <c r="C277" s="186" t="s">
        <v>461</v>
      </c>
      <c r="D277" s="186" t="s">
        <v>462</v>
      </c>
      <c r="E277" s="186" t="str">
        <f t="shared" si="1"/>
        <v>CK0600-204-PF</v>
      </c>
    </row>
    <row r="278">
      <c r="A278" s="188" t="s">
        <v>1458</v>
      </c>
      <c r="B278" s="186" t="s">
        <v>928</v>
      </c>
      <c r="C278" s="186" t="s">
        <v>461</v>
      </c>
      <c r="D278" s="186" t="s">
        <v>462</v>
      </c>
      <c r="E278" s="186" t="str">
        <f t="shared" si="1"/>
        <v>CK0600-204-PPO</v>
      </c>
    </row>
    <row r="279">
      <c r="A279" s="188" t="s">
        <v>1459</v>
      </c>
      <c r="B279" s="186" t="s">
        <v>908</v>
      </c>
      <c r="C279" s="186" t="s">
        <v>461</v>
      </c>
      <c r="D279" s="186" t="s">
        <v>462</v>
      </c>
      <c r="E279" s="186" t="str">
        <f t="shared" si="1"/>
        <v>CK0600-204-POL</v>
      </c>
    </row>
    <row r="280">
      <c r="A280" s="185" t="s">
        <v>1460</v>
      </c>
      <c r="B280" s="189" t="s">
        <v>1461</v>
      </c>
      <c r="C280" s="186" t="s">
        <v>461</v>
      </c>
      <c r="D280" s="186" t="s">
        <v>462</v>
      </c>
      <c r="E280" s="186" t="str">
        <f t="shared" si="1"/>
        <v>CK0600-204-PR</v>
      </c>
    </row>
    <row r="281">
      <c r="A281" s="188" t="s">
        <v>1462</v>
      </c>
      <c r="B281" s="186" t="s">
        <v>629</v>
      </c>
      <c r="C281" s="186" t="s">
        <v>461</v>
      </c>
      <c r="D281" s="186" t="s">
        <v>462</v>
      </c>
      <c r="E281" s="186" t="str">
        <f t="shared" si="1"/>
        <v>CK0600-204-QC</v>
      </c>
    </row>
    <row r="282">
      <c r="A282" s="188" t="s">
        <v>1463</v>
      </c>
      <c r="B282" s="186" t="s">
        <v>1464</v>
      </c>
      <c r="C282" s="186" t="s">
        <v>461</v>
      </c>
      <c r="D282" s="186" t="s">
        <v>462</v>
      </c>
      <c r="E282" s="186" t="str">
        <f t="shared" si="1"/>
        <v>CK0600-204-RP1</v>
      </c>
    </row>
    <row r="283">
      <c r="A283" s="188" t="s">
        <v>1466</v>
      </c>
      <c r="B283" s="189" t="s">
        <v>1467</v>
      </c>
      <c r="C283" s="186" t="s">
        <v>461</v>
      </c>
      <c r="D283" s="186" t="s">
        <v>462</v>
      </c>
      <c r="E283" s="186" t="str">
        <f t="shared" si="1"/>
        <v>CK0600-204-RP2</v>
      </c>
    </row>
    <row r="284">
      <c r="A284" s="188" t="s">
        <v>1469</v>
      </c>
      <c r="B284" s="186" t="s">
        <v>1086</v>
      </c>
      <c r="C284" s="186" t="s">
        <v>461</v>
      </c>
      <c r="D284" s="186" t="s">
        <v>462</v>
      </c>
      <c r="E284" s="186" t="str">
        <f t="shared" si="1"/>
        <v>CK0600-204-FA</v>
      </c>
    </row>
    <row r="285">
      <c r="A285" s="188" t="s">
        <v>1470</v>
      </c>
      <c r="B285" s="186" t="s">
        <v>904</v>
      </c>
      <c r="C285" s="186" t="s">
        <v>461</v>
      </c>
      <c r="D285" s="186" t="s">
        <v>462</v>
      </c>
      <c r="E285" s="186" t="str">
        <f t="shared" si="1"/>
        <v>CK0600-204-SI</v>
      </c>
    </row>
    <row r="286">
      <c r="A286" s="188" t="s">
        <v>1471</v>
      </c>
      <c r="B286" s="186" t="s">
        <v>946</v>
      </c>
      <c r="C286" s="186" t="s">
        <v>461</v>
      </c>
      <c r="D286" s="186" t="s">
        <v>462</v>
      </c>
      <c r="E286" s="186" t="str">
        <f t="shared" si="1"/>
        <v>CK0600-204-SD</v>
      </c>
    </row>
    <row r="287">
      <c r="A287" s="188" t="s">
        <v>1472</v>
      </c>
      <c r="B287" s="186" t="s">
        <v>896</v>
      </c>
      <c r="C287" s="186" t="s">
        <v>461</v>
      </c>
      <c r="D287" s="186" t="s">
        <v>462</v>
      </c>
      <c r="E287" s="186" t="str">
        <f t="shared" si="1"/>
        <v>CK0600-204-SX</v>
      </c>
    </row>
    <row r="288">
      <c r="A288" s="188" t="s">
        <v>1474</v>
      </c>
      <c r="B288" s="186" t="s">
        <v>948</v>
      </c>
      <c r="C288" s="186" t="s">
        <v>461</v>
      </c>
      <c r="D288" s="186" t="s">
        <v>462</v>
      </c>
      <c r="E288" s="186" t="str">
        <f t="shared" si="1"/>
        <v>CK0600-204-SF</v>
      </c>
    </row>
    <row r="289">
      <c r="A289" s="188" t="s">
        <v>1476</v>
      </c>
      <c r="B289" s="186" t="s">
        <v>1477</v>
      </c>
      <c r="C289" s="186" t="s">
        <v>461</v>
      </c>
      <c r="D289" s="186" t="s">
        <v>462</v>
      </c>
      <c r="E289" s="186" t="str">
        <f t="shared" si="1"/>
        <v>CK0600-204-PC</v>
      </c>
    </row>
    <row r="290">
      <c r="A290" s="188" t="s">
        <v>1479</v>
      </c>
      <c r="B290" s="186" t="s">
        <v>914</v>
      </c>
      <c r="C290" s="186" t="s">
        <v>461</v>
      </c>
      <c r="D290" s="186" t="s">
        <v>462</v>
      </c>
      <c r="E290" s="186" t="str">
        <f t="shared" si="1"/>
        <v>CK0600-204-HH</v>
      </c>
    </row>
    <row r="291">
      <c r="A291" s="185" t="s">
        <v>1481</v>
      </c>
      <c r="B291" s="186" t="s">
        <v>916</v>
      </c>
      <c r="C291" s="186" t="s">
        <v>461</v>
      </c>
      <c r="D291" s="186" t="s">
        <v>462</v>
      </c>
      <c r="E291" s="186" t="str">
        <f t="shared" si="1"/>
        <v>CK0600-204-BH</v>
      </c>
    </row>
    <row r="292">
      <c r="A292" s="188" t="s">
        <v>1483</v>
      </c>
      <c r="B292" s="186" t="s">
        <v>960</v>
      </c>
      <c r="C292" s="186" t="s">
        <v>461</v>
      </c>
      <c r="D292" s="186" t="s">
        <v>462</v>
      </c>
      <c r="E292" s="186" t="str">
        <f t="shared" si="1"/>
        <v>CK0600-204-FB</v>
      </c>
    </row>
    <row r="293">
      <c r="A293" s="188" t="s">
        <v>1484</v>
      </c>
      <c r="B293" s="189" t="s">
        <v>892</v>
      </c>
      <c r="C293" s="186" t="s">
        <v>461</v>
      </c>
      <c r="D293" s="186" t="s">
        <v>462</v>
      </c>
      <c r="E293" s="186" t="str">
        <f t="shared" si="1"/>
        <v>CK0600-204-PR1</v>
      </c>
    </row>
    <row r="294">
      <c r="A294" s="188" t="s">
        <v>1485</v>
      </c>
      <c r="B294" s="189" t="s">
        <v>944</v>
      </c>
      <c r="C294" s="186" t="s">
        <v>461</v>
      </c>
      <c r="D294" s="186" t="s">
        <v>462</v>
      </c>
      <c r="E294" s="186" t="str">
        <f t="shared" si="1"/>
        <v>CK0600-204-PR2</v>
      </c>
    </row>
    <row r="295">
      <c r="A295" s="188" t="s">
        <v>1486</v>
      </c>
      <c r="B295" s="186" t="s">
        <v>912</v>
      </c>
      <c r="C295" s="186" t="s">
        <v>461</v>
      </c>
      <c r="D295" s="186" t="s">
        <v>462</v>
      </c>
      <c r="E295" s="186" t="str">
        <f t="shared" si="1"/>
        <v>CK0600-204-CL</v>
      </c>
    </row>
    <row r="296">
      <c r="A296" s="188" t="s">
        <v>1488</v>
      </c>
      <c r="B296" s="189" t="s">
        <v>1489</v>
      </c>
      <c r="C296" s="186" t="s">
        <v>461</v>
      </c>
      <c r="D296" s="186" t="s">
        <v>462</v>
      </c>
      <c r="E296" s="186" t="str">
        <f t="shared" si="1"/>
        <v>CK0600-204-IFR</v>
      </c>
    </row>
    <row r="297">
      <c r="A297" s="188" t="s">
        <v>1492</v>
      </c>
      <c r="B297" s="186" t="s">
        <v>918</v>
      </c>
      <c r="C297" s="186" t="s">
        <v>461</v>
      </c>
      <c r="D297" s="186" t="s">
        <v>462</v>
      </c>
      <c r="E297" s="186" t="str">
        <f t="shared" si="1"/>
        <v>CK0600-204-FC</v>
      </c>
    </row>
    <row r="298">
      <c r="A298" s="185" t="s">
        <v>1494</v>
      </c>
      <c r="B298" s="189" t="s">
        <v>1495</v>
      </c>
      <c r="C298" s="186" t="s">
        <v>461</v>
      </c>
      <c r="D298" s="186" t="s">
        <v>462</v>
      </c>
      <c r="E298" s="186" t="str">
        <f t="shared" si="1"/>
        <v>CK0600-204-CBC</v>
      </c>
    </row>
    <row r="299">
      <c r="A299" s="185" t="s">
        <v>1453</v>
      </c>
      <c r="B299" s="186" t="s">
        <v>1372</v>
      </c>
      <c r="C299" s="186" t="s">
        <v>463</v>
      </c>
      <c r="D299" s="186" t="s">
        <v>464</v>
      </c>
      <c r="E299" s="186" t="str">
        <f t="shared" si="1"/>
        <v>GJ1000-204-BD</v>
      </c>
    </row>
    <row r="300">
      <c r="A300" s="185" t="s">
        <v>663</v>
      </c>
      <c r="B300" s="186" t="s">
        <v>889</v>
      </c>
      <c r="C300" s="186" t="s">
        <v>463</v>
      </c>
      <c r="D300" s="186" t="s">
        <v>464</v>
      </c>
      <c r="E300" s="186" t="str">
        <f t="shared" si="1"/>
        <v>GJ1000-204-CC</v>
      </c>
    </row>
    <row r="301">
      <c r="A301" s="188" t="s">
        <v>1454</v>
      </c>
      <c r="B301" s="186" t="s">
        <v>1086</v>
      </c>
      <c r="C301" s="186" t="s">
        <v>463</v>
      </c>
      <c r="D301" s="186" t="s">
        <v>464</v>
      </c>
      <c r="E301" s="186" t="str">
        <f t="shared" si="1"/>
        <v>GJ1000-204-FA</v>
      </c>
    </row>
    <row r="302">
      <c r="A302" s="188" t="s">
        <v>1455</v>
      </c>
      <c r="B302" s="186" t="s">
        <v>899</v>
      </c>
      <c r="C302" s="186" t="s">
        <v>463</v>
      </c>
      <c r="D302" s="186" t="s">
        <v>464</v>
      </c>
      <c r="E302" s="186" t="str">
        <f t="shared" si="1"/>
        <v>GJ1000-204-CU</v>
      </c>
    </row>
    <row r="303">
      <c r="A303" s="188" t="s">
        <v>1456</v>
      </c>
      <c r="B303" s="186" t="s">
        <v>902</v>
      </c>
      <c r="C303" s="186" t="s">
        <v>463</v>
      </c>
      <c r="D303" s="186" t="s">
        <v>464</v>
      </c>
      <c r="E303" s="186" t="str">
        <f t="shared" si="1"/>
        <v>GJ1000-204-GB</v>
      </c>
    </row>
    <row r="304">
      <c r="A304" s="188" t="s">
        <v>1457</v>
      </c>
      <c r="B304" s="186" t="s">
        <v>931</v>
      </c>
      <c r="C304" s="186" t="s">
        <v>463</v>
      </c>
      <c r="D304" s="186" t="s">
        <v>464</v>
      </c>
      <c r="E304" s="186" t="str">
        <f t="shared" si="1"/>
        <v>GJ1000-204-PF</v>
      </c>
    </row>
    <row r="305">
      <c r="A305" s="188" t="s">
        <v>1458</v>
      </c>
      <c r="B305" s="186" t="s">
        <v>928</v>
      </c>
      <c r="C305" s="186" t="s">
        <v>463</v>
      </c>
      <c r="D305" s="186" t="s">
        <v>464</v>
      </c>
      <c r="E305" s="186" t="str">
        <f t="shared" si="1"/>
        <v>GJ1000-204-PPO</v>
      </c>
    </row>
    <row r="306">
      <c r="A306" s="188" t="s">
        <v>1459</v>
      </c>
      <c r="B306" s="186" t="s">
        <v>908</v>
      </c>
      <c r="C306" s="186" t="s">
        <v>463</v>
      </c>
      <c r="D306" s="186" t="s">
        <v>464</v>
      </c>
      <c r="E306" s="186" t="str">
        <f t="shared" si="1"/>
        <v>GJ1000-204-POL</v>
      </c>
    </row>
    <row r="307">
      <c r="A307" s="185" t="s">
        <v>1460</v>
      </c>
      <c r="B307" s="189" t="s">
        <v>1461</v>
      </c>
      <c r="C307" s="186" t="s">
        <v>463</v>
      </c>
      <c r="D307" s="186" t="s">
        <v>464</v>
      </c>
      <c r="E307" s="186" t="str">
        <f t="shared" si="1"/>
        <v>GJ1000-204-PR</v>
      </c>
    </row>
    <row r="308">
      <c r="A308" s="188" t="s">
        <v>1462</v>
      </c>
      <c r="B308" s="186" t="s">
        <v>629</v>
      </c>
      <c r="C308" s="186" t="s">
        <v>463</v>
      </c>
      <c r="D308" s="186" t="s">
        <v>464</v>
      </c>
      <c r="E308" s="186" t="str">
        <f t="shared" si="1"/>
        <v>GJ1000-204-QC</v>
      </c>
    </row>
    <row r="309">
      <c r="A309" s="188" t="s">
        <v>1463</v>
      </c>
      <c r="B309" s="186" t="s">
        <v>1464</v>
      </c>
      <c r="C309" s="186" t="s">
        <v>463</v>
      </c>
      <c r="D309" s="186" t="s">
        <v>464</v>
      </c>
      <c r="E309" s="186" t="str">
        <f t="shared" si="1"/>
        <v>GJ1000-204-RP1</v>
      </c>
    </row>
    <row r="310">
      <c r="A310" s="188" t="s">
        <v>1466</v>
      </c>
      <c r="B310" s="189" t="s">
        <v>1467</v>
      </c>
      <c r="C310" s="186" t="s">
        <v>463</v>
      </c>
      <c r="D310" s="186" t="s">
        <v>464</v>
      </c>
      <c r="E310" s="186" t="str">
        <f t="shared" si="1"/>
        <v>GJ1000-204-RP2</v>
      </c>
    </row>
    <row r="311">
      <c r="A311" s="188" t="s">
        <v>1469</v>
      </c>
      <c r="B311" s="186" t="s">
        <v>1086</v>
      </c>
      <c r="C311" s="186" t="s">
        <v>463</v>
      </c>
      <c r="D311" s="186" t="s">
        <v>464</v>
      </c>
      <c r="E311" s="186" t="str">
        <f t="shared" si="1"/>
        <v>GJ1000-204-FA</v>
      </c>
    </row>
    <row r="312">
      <c r="A312" s="188" t="s">
        <v>1470</v>
      </c>
      <c r="B312" s="186" t="s">
        <v>904</v>
      </c>
      <c r="C312" s="186" t="s">
        <v>463</v>
      </c>
      <c r="D312" s="186" t="s">
        <v>464</v>
      </c>
      <c r="E312" s="186" t="str">
        <f t="shared" si="1"/>
        <v>GJ1000-204-SI</v>
      </c>
    </row>
    <row r="313">
      <c r="A313" s="188" t="s">
        <v>1471</v>
      </c>
      <c r="B313" s="186" t="s">
        <v>946</v>
      </c>
      <c r="C313" s="186" t="s">
        <v>463</v>
      </c>
      <c r="D313" s="186" t="s">
        <v>464</v>
      </c>
      <c r="E313" s="186" t="str">
        <f t="shared" si="1"/>
        <v>GJ1000-204-SD</v>
      </c>
    </row>
    <row r="314">
      <c r="A314" s="188" t="s">
        <v>1472</v>
      </c>
      <c r="B314" s="186" t="s">
        <v>896</v>
      </c>
      <c r="C314" s="186" t="s">
        <v>463</v>
      </c>
      <c r="D314" s="186" t="s">
        <v>464</v>
      </c>
      <c r="E314" s="186" t="str">
        <f t="shared" si="1"/>
        <v>GJ1000-204-SX</v>
      </c>
    </row>
    <row r="315">
      <c r="A315" s="188" t="s">
        <v>1474</v>
      </c>
      <c r="B315" s="186" t="s">
        <v>948</v>
      </c>
      <c r="C315" s="186" t="s">
        <v>463</v>
      </c>
      <c r="D315" s="186" t="s">
        <v>464</v>
      </c>
      <c r="E315" s="186" t="str">
        <f t="shared" si="1"/>
        <v>GJ1000-204-SF</v>
      </c>
    </row>
    <row r="316">
      <c r="A316" s="188" t="s">
        <v>1476</v>
      </c>
      <c r="B316" s="186" t="s">
        <v>1477</v>
      </c>
      <c r="C316" s="186" t="s">
        <v>463</v>
      </c>
      <c r="D316" s="186" t="s">
        <v>464</v>
      </c>
      <c r="E316" s="186" t="str">
        <f t="shared" si="1"/>
        <v>GJ1000-204-PC</v>
      </c>
    </row>
    <row r="317">
      <c r="A317" s="188" t="s">
        <v>1479</v>
      </c>
      <c r="B317" s="186" t="s">
        <v>914</v>
      </c>
      <c r="C317" s="186" t="s">
        <v>463</v>
      </c>
      <c r="D317" s="186" t="s">
        <v>464</v>
      </c>
      <c r="E317" s="186" t="str">
        <f t="shared" si="1"/>
        <v>GJ1000-204-HH</v>
      </c>
    </row>
    <row r="318">
      <c r="A318" s="185" t="s">
        <v>1481</v>
      </c>
      <c r="B318" s="186" t="s">
        <v>916</v>
      </c>
      <c r="C318" s="186" t="s">
        <v>463</v>
      </c>
      <c r="D318" s="186" t="s">
        <v>464</v>
      </c>
      <c r="E318" s="186" t="str">
        <f t="shared" si="1"/>
        <v>GJ1000-204-BH</v>
      </c>
    </row>
    <row r="319">
      <c r="A319" s="188" t="s">
        <v>1483</v>
      </c>
      <c r="B319" s="186" t="s">
        <v>960</v>
      </c>
      <c r="C319" s="186" t="s">
        <v>463</v>
      </c>
      <c r="D319" s="186" t="s">
        <v>464</v>
      </c>
      <c r="E319" s="186" t="str">
        <f t="shared" si="1"/>
        <v>GJ1000-204-FB</v>
      </c>
    </row>
    <row r="320">
      <c r="A320" s="188" t="s">
        <v>1484</v>
      </c>
      <c r="B320" s="189" t="s">
        <v>892</v>
      </c>
      <c r="C320" s="186" t="s">
        <v>463</v>
      </c>
      <c r="D320" s="186" t="s">
        <v>464</v>
      </c>
      <c r="E320" s="186" t="str">
        <f t="shared" si="1"/>
        <v>GJ1000-204-PR1</v>
      </c>
    </row>
    <row r="321">
      <c r="A321" s="188" t="s">
        <v>1485</v>
      </c>
      <c r="B321" s="189" t="s">
        <v>944</v>
      </c>
      <c r="C321" s="186" t="s">
        <v>463</v>
      </c>
      <c r="D321" s="186" t="s">
        <v>464</v>
      </c>
      <c r="E321" s="186" t="str">
        <f t="shared" si="1"/>
        <v>GJ1000-204-PR2</v>
      </c>
    </row>
    <row r="322">
      <c r="A322" s="188" t="s">
        <v>1486</v>
      </c>
      <c r="B322" s="186" t="s">
        <v>912</v>
      </c>
      <c r="C322" s="186" t="s">
        <v>463</v>
      </c>
      <c r="D322" s="186" t="s">
        <v>464</v>
      </c>
      <c r="E322" s="186" t="str">
        <f t="shared" si="1"/>
        <v>GJ1000-204-CL</v>
      </c>
    </row>
    <row r="323">
      <c r="A323" s="188" t="s">
        <v>1488</v>
      </c>
      <c r="B323" s="189" t="s">
        <v>1489</v>
      </c>
      <c r="C323" s="186" t="s">
        <v>463</v>
      </c>
      <c r="D323" s="186" t="s">
        <v>464</v>
      </c>
      <c r="E323" s="186" t="str">
        <f t="shared" si="1"/>
        <v>GJ1000-204-IFR</v>
      </c>
    </row>
    <row r="324">
      <c r="A324" s="188" t="s">
        <v>1492</v>
      </c>
      <c r="B324" s="186" t="s">
        <v>918</v>
      </c>
      <c r="C324" s="186" t="s">
        <v>463</v>
      </c>
      <c r="D324" s="186" t="s">
        <v>464</v>
      </c>
      <c r="E324" s="186" t="str">
        <f t="shared" si="1"/>
        <v>GJ1000-204-FC</v>
      </c>
    </row>
    <row r="325">
      <c r="A325" s="185" t="s">
        <v>1494</v>
      </c>
      <c r="B325" s="189" t="s">
        <v>1495</v>
      </c>
      <c r="C325" s="186" t="s">
        <v>463</v>
      </c>
      <c r="D325" s="186" t="s">
        <v>464</v>
      </c>
      <c r="E325" s="186" t="str">
        <f t="shared" si="1"/>
        <v>GJ1000-204-CBC</v>
      </c>
    </row>
    <row r="326">
      <c r="A326" s="185" t="s">
        <v>1453</v>
      </c>
      <c r="B326" s="186" t="s">
        <v>1372</v>
      </c>
      <c r="C326" s="186" t="s">
        <v>465</v>
      </c>
      <c r="D326" s="186" t="s">
        <v>466</v>
      </c>
      <c r="E326" s="186" t="str">
        <f t="shared" si="1"/>
        <v>GJ1000-202-BD</v>
      </c>
    </row>
    <row r="327">
      <c r="A327" s="185" t="s">
        <v>663</v>
      </c>
      <c r="B327" s="186" t="s">
        <v>889</v>
      </c>
      <c r="C327" s="186" t="s">
        <v>465</v>
      </c>
      <c r="D327" s="186" t="s">
        <v>466</v>
      </c>
      <c r="E327" s="186" t="str">
        <f t="shared" si="1"/>
        <v>GJ1000-202-CC</v>
      </c>
    </row>
    <row r="328">
      <c r="A328" s="188" t="s">
        <v>1454</v>
      </c>
      <c r="B328" s="186" t="s">
        <v>1086</v>
      </c>
      <c r="C328" s="186" t="s">
        <v>465</v>
      </c>
      <c r="D328" s="186" t="s">
        <v>466</v>
      </c>
      <c r="E328" s="186" t="str">
        <f t="shared" si="1"/>
        <v>GJ1000-202-FA</v>
      </c>
    </row>
    <row r="329">
      <c r="A329" s="188" t="s">
        <v>1455</v>
      </c>
      <c r="B329" s="186" t="s">
        <v>899</v>
      </c>
      <c r="C329" s="186" t="s">
        <v>465</v>
      </c>
      <c r="D329" s="186" t="s">
        <v>466</v>
      </c>
      <c r="E329" s="186" t="str">
        <f t="shared" si="1"/>
        <v>GJ1000-202-CU</v>
      </c>
    </row>
    <row r="330">
      <c r="A330" s="188" t="s">
        <v>1456</v>
      </c>
      <c r="B330" s="186" t="s">
        <v>902</v>
      </c>
      <c r="C330" s="186" t="s">
        <v>465</v>
      </c>
      <c r="D330" s="186" t="s">
        <v>466</v>
      </c>
      <c r="E330" s="186" t="str">
        <f t="shared" si="1"/>
        <v>GJ1000-202-GB</v>
      </c>
    </row>
    <row r="331">
      <c r="A331" s="188" t="s">
        <v>1457</v>
      </c>
      <c r="B331" s="186" t="s">
        <v>931</v>
      </c>
      <c r="C331" s="186" t="s">
        <v>465</v>
      </c>
      <c r="D331" s="186" t="s">
        <v>466</v>
      </c>
      <c r="E331" s="186" t="str">
        <f t="shared" si="1"/>
        <v>GJ1000-202-PF</v>
      </c>
    </row>
    <row r="332">
      <c r="A332" s="188" t="s">
        <v>1458</v>
      </c>
      <c r="B332" s="186" t="s">
        <v>928</v>
      </c>
      <c r="C332" s="186" t="s">
        <v>465</v>
      </c>
      <c r="D332" s="186" t="s">
        <v>466</v>
      </c>
      <c r="E332" s="186" t="str">
        <f t="shared" si="1"/>
        <v>GJ1000-202-PPO</v>
      </c>
    </row>
    <row r="333">
      <c r="A333" s="188" t="s">
        <v>1459</v>
      </c>
      <c r="B333" s="186" t="s">
        <v>908</v>
      </c>
      <c r="C333" s="186" t="s">
        <v>465</v>
      </c>
      <c r="D333" s="186" t="s">
        <v>466</v>
      </c>
      <c r="E333" s="186" t="str">
        <f t="shared" si="1"/>
        <v>GJ1000-202-POL</v>
      </c>
    </row>
    <row r="334">
      <c r="A334" s="185" t="s">
        <v>1460</v>
      </c>
      <c r="B334" s="189" t="s">
        <v>1461</v>
      </c>
      <c r="C334" s="186" t="s">
        <v>465</v>
      </c>
      <c r="D334" s="186" t="s">
        <v>466</v>
      </c>
      <c r="E334" s="186" t="str">
        <f t="shared" si="1"/>
        <v>GJ1000-202-PR</v>
      </c>
    </row>
    <row r="335">
      <c r="A335" s="188" t="s">
        <v>1462</v>
      </c>
      <c r="B335" s="186" t="s">
        <v>629</v>
      </c>
      <c r="C335" s="186" t="s">
        <v>465</v>
      </c>
      <c r="D335" s="186" t="s">
        <v>466</v>
      </c>
      <c r="E335" s="186" t="str">
        <f t="shared" si="1"/>
        <v>GJ1000-202-QC</v>
      </c>
    </row>
    <row r="336">
      <c r="A336" s="188" t="s">
        <v>1463</v>
      </c>
      <c r="B336" s="186" t="s">
        <v>1464</v>
      </c>
      <c r="C336" s="186" t="s">
        <v>465</v>
      </c>
      <c r="D336" s="186" t="s">
        <v>466</v>
      </c>
      <c r="E336" s="186" t="str">
        <f t="shared" si="1"/>
        <v>GJ1000-202-RP1</v>
      </c>
    </row>
    <row r="337">
      <c r="A337" s="188" t="s">
        <v>1466</v>
      </c>
      <c r="B337" s="189" t="s">
        <v>1467</v>
      </c>
      <c r="C337" s="186" t="s">
        <v>465</v>
      </c>
      <c r="D337" s="186" t="s">
        <v>466</v>
      </c>
      <c r="E337" s="186" t="str">
        <f t="shared" si="1"/>
        <v>GJ1000-202-RP2</v>
      </c>
    </row>
    <row r="338">
      <c r="A338" s="188" t="s">
        <v>1469</v>
      </c>
      <c r="B338" s="186" t="s">
        <v>1086</v>
      </c>
      <c r="C338" s="186" t="s">
        <v>465</v>
      </c>
      <c r="D338" s="186" t="s">
        <v>466</v>
      </c>
      <c r="E338" s="186" t="str">
        <f t="shared" si="1"/>
        <v>GJ1000-202-FA</v>
      </c>
    </row>
    <row r="339">
      <c r="A339" s="188" t="s">
        <v>1470</v>
      </c>
      <c r="B339" s="186" t="s">
        <v>904</v>
      </c>
      <c r="C339" s="186" t="s">
        <v>465</v>
      </c>
      <c r="D339" s="186" t="s">
        <v>466</v>
      </c>
      <c r="E339" s="186" t="str">
        <f t="shared" si="1"/>
        <v>GJ1000-202-SI</v>
      </c>
    </row>
    <row r="340">
      <c r="A340" s="188" t="s">
        <v>1471</v>
      </c>
      <c r="B340" s="186" t="s">
        <v>946</v>
      </c>
      <c r="C340" s="186" t="s">
        <v>465</v>
      </c>
      <c r="D340" s="186" t="s">
        <v>466</v>
      </c>
      <c r="E340" s="186" t="str">
        <f t="shared" si="1"/>
        <v>GJ1000-202-SD</v>
      </c>
    </row>
    <row r="341">
      <c r="A341" s="188" t="s">
        <v>1472</v>
      </c>
      <c r="B341" s="186" t="s">
        <v>896</v>
      </c>
      <c r="C341" s="186" t="s">
        <v>465</v>
      </c>
      <c r="D341" s="186" t="s">
        <v>466</v>
      </c>
      <c r="E341" s="186" t="str">
        <f t="shared" si="1"/>
        <v>GJ1000-202-SX</v>
      </c>
    </row>
    <row r="342">
      <c r="A342" s="188" t="s">
        <v>1474</v>
      </c>
      <c r="B342" s="186" t="s">
        <v>948</v>
      </c>
      <c r="C342" s="186" t="s">
        <v>465</v>
      </c>
      <c r="D342" s="186" t="s">
        <v>466</v>
      </c>
      <c r="E342" s="186" t="str">
        <f t="shared" si="1"/>
        <v>GJ1000-202-SF</v>
      </c>
    </row>
    <row r="343">
      <c r="A343" s="188" t="s">
        <v>1476</v>
      </c>
      <c r="B343" s="186" t="s">
        <v>1477</v>
      </c>
      <c r="C343" s="186" t="s">
        <v>465</v>
      </c>
      <c r="D343" s="186" t="s">
        <v>466</v>
      </c>
      <c r="E343" s="186" t="str">
        <f t="shared" si="1"/>
        <v>GJ1000-202-PC</v>
      </c>
    </row>
    <row r="344">
      <c r="A344" s="188" t="s">
        <v>1479</v>
      </c>
      <c r="B344" s="186" t="s">
        <v>914</v>
      </c>
      <c r="C344" s="186" t="s">
        <v>465</v>
      </c>
      <c r="D344" s="186" t="s">
        <v>466</v>
      </c>
      <c r="E344" s="186" t="str">
        <f t="shared" si="1"/>
        <v>GJ1000-202-HH</v>
      </c>
    </row>
    <row r="345">
      <c r="A345" s="185" t="s">
        <v>1481</v>
      </c>
      <c r="B345" s="186" t="s">
        <v>916</v>
      </c>
      <c r="C345" s="186" t="s">
        <v>465</v>
      </c>
      <c r="D345" s="186" t="s">
        <v>466</v>
      </c>
      <c r="E345" s="186" t="str">
        <f t="shared" si="1"/>
        <v>GJ1000-202-BH</v>
      </c>
    </row>
    <row r="346">
      <c r="A346" s="188" t="s">
        <v>1483</v>
      </c>
      <c r="B346" s="186" t="s">
        <v>960</v>
      </c>
      <c r="C346" s="186" t="s">
        <v>465</v>
      </c>
      <c r="D346" s="186" t="s">
        <v>466</v>
      </c>
      <c r="E346" s="186" t="str">
        <f t="shared" si="1"/>
        <v>GJ1000-202-FB</v>
      </c>
    </row>
    <row r="347">
      <c r="A347" s="188" t="s">
        <v>1484</v>
      </c>
      <c r="B347" s="189" t="s">
        <v>892</v>
      </c>
      <c r="C347" s="186" t="s">
        <v>465</v>
      </c>
      <c r="D347" s="186" t="s">
        <v>466</v>
      </c>
      <c r="E347" s="186" t="str">
        <f t="shared" si="1"/>
        <v>GJ1000-202-PR1</v>
      </c>
    </row>
    <row r="348">
      <c r="A348" s="188" t="s">
        <v>1485</v>
      </c>
      <c r="B348" s="189" t="s">
        <v>944</v>
      </c>
      <c r="C348" s="186" t="s">
        <v>465</v>
      </c>
      <c r="D348" s="186" t="s">
        <v>466</v>
      </c>
      <c r="E348" s="186" t="str">
        <f t="shared" si="1"/>
        <v>GJ1000-202-PR2</v>
      </c>
    </row>
    <row r="349">
      <c r="A349" s="188" t="s">
        <v>1486</v>
      </c>
      <c r="B349" s="186" t="s">
        <v>912</v>
      </c>
      <c r="C349" s="186" t="s">
        <v>465</v>
      </c>
      <c r="D349" s="186" t="s">
        <v>466</v>
      </c>
      <c r="E349" s="186" t="str">
        <f t="shared" si="1"/>
        <v>GJ1000-202-CL</v>
      </c>
    </row>
    <row r="350">
      <c r="A350" s="188" t="s">
        <v>1488</v>
      </c>
      <c r="B350" s="189" t="s">
        <v>1489</v>
      </c>
      <c r="C350" s="186" t="s">
        <v>465</v>
      </c>
      <c r="D350" s="186" t="s">
        <v>466</v>
      </c>
      <c r="E350" s="186" t="str">
        <f t="shared" si="1"/>
        <v>GJ1000-202-IFR</v>
      </c>
    </row>
    <row r="351">
      <c r="A351" s="188" t="s">
        <v>1492</v>
      </c>
      <c r="B351" s="186" t="s">
        <v>918</v>
      </c>
      <c r="C351" s="186" t="s">
        <v>465</v>
      </c>
      <c r="D351" s="186" t="s">
        <v>466</v>
      </c>
      <c r="E351" s="186" t="str">
        <f t="shared" si="1"/>
        <v>GJ1000-202-FC</v>
      </c>
    </row>
    <row r="352">
      <c r="A352" s="185" t="s">
        <v>1494</v>
      </c>
      <c r="B352" s="189" t="s">
        <v>1495</v>
      </c>
      <c r="C352" s="186" t="s">
        <v>465</v>
      </c>
      <c r="D352" s="186" t="s">
        <v>466</v>
      </c>
      <c r="E352" s="186" t="str">
        <f t="shared" si="1"/>
        <v>GJ1000-202-CBC</v>
      </c>
    </row>
    <row r="353">
      <c r="A353" s="185" t="s">
        <v>1453</v>
      </c>
      <c r="B353" s="186" t="s">
        <v>1372</v>
      </c>
      <c r="C353" s="186" t="s">
        <v>467</v>
      </c>
      <c r="D353" s="186" t="s">
        <v>468</v>
      </c>
      <c r="E353" s="186" t="str">
        <f t="shared" si="1"/>
        <v>DJ1500-204-BD</v>
      </c>
    </row>
    <row r="354">
      <c r="A354" s="185" t="s">
        <v>663</v>
      </c>
      <c r="B354" s="186" t="s">
        <v>889</v>
      </c>
      <c r="C354" s="186" t="s">
        <v>467</v>
      </c>
      <c r="D354" s="186" t="s">
        <v>468</v>
      </c>
      <c r="E354" s="186" t="str">
        <f t="shared" si="1"/>
        <v>DJ1500-204-CC</v>
      </c>
    </row>
    <row r="355">
      <c r="A355" s="188" t="s">
        <v>1454</v>
      </c>
      <c r="B355" s="186" t="s">
        <v>1086</v>
      </c>
      <c r="C355" s="186" t="s">
        <v>467</v>
      </c>
      <c r="D355" s="186" t="s">
        <v>468</v>
      </c>
      <c r="E355" s="186" t="str">
        <f t="shared" si="1"/>
        <v>DJ1500-204-FA</v>
      </c>
    </row>
    <row r="356">
      <c r="A356" s="188" t="s">
        <v>1455</v>
      </c>
      <c r="B356" s="186" t="s">
        <v>899</v>
      </c>
      <c r="C356" s="186" t="s">
        <v>467</v>
      </c>
      <c r="D356" s="186" t="s">
        <v>468</v>
      </c>
      <c r="E356" s="186" t="str">
        <f t="shared" si="1"/>
        <v>DJ1500-204-CU</v>
      </c>
    </row>
    <row r="357">
      <c r="A357" s="188" t="s">
        <v>1456</v>
      </c>
      <c r="B357" s="186" t="s">
        <v>902</v>
      </c>
      <c r="C357" s="186" t="s">
        <v>467</v>
      </c>
      <c r="D357" s="186" t="s">
        <v>468</v>
      </c>
      <c r="E357" s="186" t="str">
        <f t="shared" si="1"/>
        <v>DJ1500-204-GB</v>
      </c>
    </row>
    <row r="358">
      <c r="A358" s="188" t="s">
        <v>1457</v>
      </c>
      <c r="B358" s="186" t="s">
        <v>931</v>
      </c>
      <c r="C358" s="186" t="s">
        <v>467</v>
      </c>
      <c r="D358" s="186" t="s">
        <v>468</v>
      </c>
      <c r="E358" s="186" t="str">
        <f t="shared" si="1"/>
        <v>DJ1500-204-PF</v>
      </c>
    </row>
    <row r="359">
      <c r="A359" s="188" t="s">
        <v>1458</v>
      </c>
      <c r="B359" s="186" t="s">
        <v>928</v>
      </c>
      <c r="C359" s="186" t="s">
        <v>467</v>
      </c>
      <c r="D359" s="186" t="s">
        <v>468</v>
      </c>
      <c r="E359" s="186" t="str">
        <f t="shared" si="1"/>
        <v>DJ1500-204-PPO</v>
      </c>
    </row>
    <row r="360">
      <c r="A360" s="188" t="s">
        <v>1459</v>
      </c>
      <c r="B360" s="186" t="s">
        <v>908</v>
      </c>
      <c r="C360" s="186" t="s">
        <v>467</v>
      </c>
      <c r="D360" s="186" t="s">
        <v>468</v>
      </c>
      <c r="E360" s="186" t="str">
        <f t="shared" si="1"/>
        <v>DJ1500-204-POL</v>
      </c>
    </row>
    <row r="361">
      <c r="A361" s="185" t="s">
        <v>1460</v>
      </c>
      <c r="B361" s="189" t="s">
        <v>1461</v>
      </c>
      <c r="C361" s="186" t="s">
        <v>467</v>
      </c>
      <c r="D361" s="186" t="s">
        <v>468</v>
      </c>
      <c r="E361" s="186" t="str">
        <f t="shared" si="1"/>
        <v>DJ1500-204-PR</v>
      </c>
    </row>
    <row r="362">
      <c r="A362" s="188" t="s">
        <v>1462</v>
      </c>
      <c r="B362" s="186" t="s">
        <v>629</v>
      </c>
      <c r="C362" s="186" t="s">
        <v>467</v>
      </c>
      <c r="D362" s="186" t="s">
        <v>468</v>
      </c>
      <c r="E362" s="186" t="str">
        <f t="shared" si="1"/>
        <v>DJ1500-204-QC</v>
      </c>
    </row>
    <row r="363">
      <c r="A363" s="188" t="s">
        <v>1463</v>
      </c>
      <c r="B363" s="186" t="s">
        <v>1464</v>
      </c>
      <c r="C363" s="186" t="s">
        <v>467</v>
      </c>
      <c r="D363" s="186" t="s">
        <v>468</v>
      </c>
      <c r="E363" s="186" t="str">
        <f t="shared" si="1"/>
        <v>DJ1500-204-RP1</v>
      </c>
    </row>
    <row r="364">
      <c r="A364" s="188" t="s">
        <v>1466</v>
      </c>
      <c r="B364" s="189" t="s">
        <v>1467</v>
      </c>
      <c r="C364" s="186" t="s">
        <v>467</v>
      </c>
      <c r="D364" s="186" t="s">
        <v>468</v>
      </c>
      <c r="E364" s="186" t="str">
        <f t="shared" si="1"/>
        <v>DJ1500-204-RP2</v>
      </c>
    </row>
    <row r="365">
      <c r="A365" s="188" t="s">
        <v>1469</v>
      </c>
      <c r="B365" s="186" t="s">
        <v>1086</v>
      </c>
      <c r="C365" s="186" t="s">
        <v>467</v>
      </c>
      <c r="D365" s="186" t="s">
        <v>468</v>
      </c>
      <c r="E365" s="186" t="str">
        <f t="shared" si="1"/>
        <v>DJ1500-204-FA</v>
      </c>
    </row>
    <row r="366">
      <c r="A366" s="188" t="s">
        <v>1470</v>
      </c>
      <c r="B366" s="186" t="s">
        <v>904</v>
      </c>
      <c r="C366" s="186" t="s">
        <v>467</v>
      </c>
      <c r="D366" s="186" t="s">
        <v>468</v>
      </c>
      <c r="E366" s="186" t="str">
        <f t="shared" si="1"/>
        <v>DJ1500-204-SI</v>
      </c>
    </row>
    <row r="367">
      <c r="A367" s="188" t="s">
        <v>1471</v>
      </c>
      <c r="B367" s="186" t="s">
        <v>946</v>
      </c>
      <c r="C367" s="186" t="s">
        <v>467</v>
      </c>
      <c r="D367" s="186" t="s">
        <v>468</v>
      </c>
      <c r="E367" s="186" t="str">
        <f t="shared" si="1"/>
        <v>DJ1500-204-SD</v>
      </c>
    </row>
    <row r="368">
      <c r="A368" s="188" t="s">
        <v>1472</v>
      </c>
      <c r="B368" s="186" t="s">
        <v>896</v>
      </c>
      <c r="C368" s="186" t="s">
        <v>467</v>
      </c>
      <c r="D368" s="186" t="s">
        <v>468</v>
      </c>
      <c r="E368" s="186" t="str">
        <f t="shared" si="1"/>
        <v>DJ1500-204-SX</v>
      </c>
    </row>
    <row r="369">
      <c r="A369" s="188" t="s">
        <v>1474</v>
      </c>
      <c r="B369" s="186" t="s">
        <v>948</v>
      </c>
      <c r="C369" s="186" t="s">
        <v>467</v>
      </c>
      <c r="D369" s="186" t="s">
        <v>468</v>
      </c>
      <c r="E369" s="186" t="str">
        <f t="shared" si="1"/>
        <v>DJ1500-204-SF</v>
      </c>
    </row>
    <row r="370">
      <c r="A370" s="188" t="s">
        <v>1476</v>
      </c>
      <c r="B370" s="186" t="s">
        <v>1477</v>
      </c>
      <c r="C370" s="186" t="s">
        <v>467</v>
      </c>
      <c r="D370" s="186" t="s">
        <v>468</v>
      </c>
      <c r="E370" s="186" t="str">
        <f t="shared" si="1"/>
        <v>DJ1500-204-PC</v>
      </c>
    </row>
    <row r="371">
      <c r="A371" s="188" t="s">
        <v>1479</v>
      </c>
      <c r="B371" s="186" t="s">
        <v>914</v>
      </c>
      <c r="C371" s="186" t="s">
        <v>467</v>
      </c>
      <c r="D371" s="186" t="s">
        <v>468</v>
      </c>
      <c r="E371" s="186" t="str">
        <f t="shared" si="1"/>
        <v>DJ1500-204-HH</v>
      </c>
    </row>
    <row r="372">
      <c r="A372" s="185" t="s">
        <v>1481</v>
      </c>
      <c r="B372" s="186" t="s">
        <v>916</v>
      </c>
      <c r="C372" s="186" t="s">
        <v>467</v>
      </c>
      <c r="D372" s="186" t="s">
        <v>468</v>
      </c>
      <c r="E372" s="186" t="str">
        <f t="shared" si="1"/>
        <v>DJ1500-204-BH</v>
      </c>
    </row>
    <row r="373">
      <c r="A373" s="188" t="s">
        <v>1483</v>
      </c>
      <c r="B373" s="186" t="s">
        <v>960</v>
      </c>
      <c r="C373" s="186" t="s">
        <v>467</v>
      </c>
      <c r="D373" s="186" t="s">
        <v>468</v>
      </c>
      <c r="E373" s="186" t="str">
        <f t="shared" si="1"/>
        <v>DJ1500-204-FB</v>
      </c>
    </row>
    <row r="374">
      <c r="A374" s="188" t="s">
        <v>1484</v>
      </c>
      <c r="B374" s="189" t="s">
        <v>892</v>
      </c>
      <c r="C374" s="186" t="s">
        <v>467</v>
      </c>
      <c r="D374" s="186" t="s">
        <v>468</v>
      </c>
      <c r="E374" s="186" t="str">
        <f t="shared" si="1"/>
        <v>DJ1500-204-PR1</v>
      </c>
    </row>
    <row r="375">
      <c r="A375" s="188" t="s">
        <v>1485</v>
      </c>
      <c r="B375" s="189" t="s">
        <v>944</v>
      </c>
      <c r="C375" s="186" t="s">
        <v>467</v>
      </c>
      <c r="D375" s="186" t="s">
        <v>468</v>
      </c>
      <c r="E375" s="186" t="str">
        <f t="shared" si="1"/>
        <v>DJ1500-204-PR2</v>
      </c>
    </row>
    <row r="376">
      <c r="A376" s="188" t="s">
        <v>1486</v>
      </c>
      <c r="B376" s="186" t="s">
        <v>912</v>
      </c>
      <c r="C376" s="186" t="s">
        <v>467</v>
      </c>
      <c r="D376" s="186" t="s">
        <v>468</v>
      </c>
      <c r="E376" s="186" t="str">
        <f t="shared" si="1"/>
        <v>DJ1500-204-CL</v>
      </c>
    </row>
    <row r="377">
      <c r="A377" s="188" t="s">
        <v>1488</v>
      </c>
      <c r="B377" s="189" t="s">
        <v>1489</v>
      </c>
      <c r="C377" s="186" t="s">
        <v>467</v>
      </c>
      <c r="D377" s="186" t="s">
        <v>468</v>
      </c>
      <c r="E377" s="186" t="str">
        <f t="shared" si="1"/>
        <v>DJ1500-204-IFR</v>
      </c>
    </row>
    <row r="378">
      <c r="A378" s="188" t="s">
        <v>1492</v>
      </c>
      <c r="B378" s="186" t="s">
        <v>918</v>
      </c>
      <c r="C378" s="186" t="s">
        <v>467</v>
      </c>
      <c r="D378" s="186" t="s">
        <v>468</v>
      </c>
      <c r="E378" s="186" t="str">
        <f t="shared" si="1"/>
        <v>DJ1500-204-FC</v>
      </c>
    </row>
    <row r="379">
      <c r="A379" s="185" t="s">
        <v>1494</v>
      </c>
      <c r="B379" s="189" t="s">
        <v>1495</v>
      </c>
      <c r="C379" s="186" t="s">
        <v>467</v>
      </c>
      <c r="D379" s="186" t="s">
        <v>468</v>
      </c>
      <c r="E379" s="186" t="str">
        <f t="shared" si="1"/>
        <v>DJ1500-204-CBC</v>
      </c>
    </row>
    <row r="380">
      <c r="A380" s="185" t="s">
        <v>1453</v>
      </c>
      <c r="B380" s="186" t="s">
        <v>1372</v>
      </c>
      <c r="C380" s="186" t="s">
        <v>469</v>
      </c>
      <c r="D380" s="186" t="s">
        <v>470</v>
      </c>
      <c r="E380" s="186" t="str">
        <f t="shared" si="1"/>
        <v>FJ1000-204-BD</v>
      </c>
    </row>
    <row r="381">
      <c r="A381" s="185" t="s">
        <v>663</v>
      </c>
      <c r="B381" s="186" t="s">
        <v>889</v>
      </c>
      <c r="C381" s="186" t="s">
        <v>469</v>
      </c>
      <c r="D381" s="186" t="s">
        <v>470</v>
      </c>
      <c r="E381" s="186" t="str">
        <f t="shared" si="1"/>
        <v>FJ1000-204-CC</v>
      </c>
    </row>
    <row r="382">
      <c r="A382" s="188" t="s">
        <v>1454</v>
      </c>
      <c r="B382" s="186" t="s">
        <v>1086</v>
      </c>
      <c r="C382" s="186" t="s">
        <v>469</v>
      </c>
      <c r="D382" s="186" t="s">
        <v>470</v>
      </c>
      <c r="E382" s="186" t="str">
        <f t="shared" si="1"/>
        <v>FJ1000-204-FA</v>
      </c>
    </row>
    <row r="383">
      <c r="A383" s="188" t="s">
        <v>1455</v>
      </c>
      <c r="B383" s="186" t="s">
        <v>899</v>
      </c>
      <c r="C383" s="186" t="s">
        <v>469</v>
      </c>
      <c r="D383" s="186" t="s">
        <v>470</v>
      </c>
      <c r="E383" s="186" t="str">
        <f t="shared" si="1"/>
        <v>FJ1000-204-CU</v>
      </c>
    </row>
    <row r="384">
      <c r="A384" s="188" t="s">
        <v>1456</v>
      </c>
      <c r="B384" s="186" t="s">
        <v>902</v>
      </c>
      <c r="C384" s="186" t="s">
        <v>469</v>
      </c>
      <c r="D384" s="186" t="s">
        <v>470</v>
      </c>
      <c r="E384" s="186" t="str">
        <f t="shared" si="1"/>
        <v>FJ1000-204-GB</v>
      </c>
    </row>
    <row r="385">
      <c r="A385" s="188" t="s">
        <v>1457</v>
      </c>
      <c r="B385" s="186" t="s">
        <v>931</v>
      </c>
      <c r="C385" s="186" t="s">
        <v>469</v>
      </c>
      <c r="D385" s="186" t="s">
        <v>470</v>
      </c>
      <c r="E385" s="186" t="str">
        <f t="shared" si="1"/>
        <v>FJ1000-204-PF</v>
      </c>
    </row>
    <row r="386">
      <c r="A386" s="188" t="s">
        <v>1458</v>
      </c>
      <c r="B386" s="186" t="s">
        <v>928</v>
      </c>
      <c r="C386" s="186" t="s">
        <v>469</v>
      </c>
      <c r="D386" s="186" t="s">
        <v>470</v>
      </c>
      <c r="E386" s="186" t="str">
        <f t="shared" si="1"/>
        <v>FJ1000-204-PPO</v>
      </c>
    </row>
    <row r="387">
      <c r="A387" s="188" t="s">
        <v>1459</v>
      </c>
      <c r="B387" s="186" t="s">
        <v>908</v>
      </c>
      <c r="C387" s="186" t="s">
        <v>469</v>
      </c>
      <c r="D387" s="186" t="s">
        <v>470</v>
      </c>
      <c r="E387" s="186" t="str">
        <f t="shared" si="1"/>
        <v>FJ1000-204-POL</v>
      </c>
    </row>
    <row r="388">
      <c r="A388" s="185" t="s">
        <v>1460</v>
      </c>
      <c r="B388" s="189" t="s">
        <v>1461</v>
      </c>
      <c r="C388" s="186" t="s">
        <v>469</v>
      </c>
      <c r="D388" s="186" t="s">
        <v>470</v>
      </c>
      <c r="E388" s="186" t="str">
        <f t="shared" si="1"/>
        <v>FJ1000-204-PR</v>
      </c>
    </row>
    <row r="389">
      <c r="A389" s="188" t="s">
        <v>1462</v>
      </c>
      <c r="B389" s="186" t="s">
        <v>629</v>
      </c>
      <c r="C389" s="186" t="s">
        <v>469</v>
      </c>
      <c r="D389" s="186" t="s">
        <v>470</v>
      </c>
      <c r="E389" s="186" t="str">
        <f t="shared" si="1"/>
        <v>FJ1000-204-QC</v>
      </c>
    </row>
    <row r="390">
      <c r="A390" s="188" t="s">
        <v>1463</v>
      </c>
      <c r="B390" s="186" t="s">
        <v>1464</v>
      </c>
      <c r="C390" s="186" t="s">
        <v>469</v>
      </c>
      <c r="D390" s="186" t="s">
        <v>470</v>
      </c>
      <c r="E390" s="186" t="str">
        <f t="shared" si="1"/>
        <v>FJ1000-204-RP1</v>
      </c>
    </row>
    <row r="391">
      <c r="A391" s="188" t="s">
        <v>1466</v>
      </c>
      <c r="B391" s="189" t="s">
        <v>1467</v>
      </c>
      <c r="C391" s="186" t="s">
        <v>469</v>
      </c>
      <c r="D391" s="186" t="s">
        <v>470</v>
      </c>
      <c r="E391" s="186" t="str">
        <f t="shared" si="1"/>
        <v>FJ1000-204-RP2</v>
      </c>
    </row>
    <row r="392">
      <c r="A392" s="188" t="s">
        <v>1469</v>
      </c>
      <c r="B392" s="186" t="s">
        <v>1086</v>
      </c>
      <c r="C392" s="186" t="s">
        <v>469</v>
      </c>
      <c r="D392" s="186" t="s">
        <v>470</v>
      </c>
      <c r="E392" s="186" t="str">
        <f t="shared" si="1"/>
        <v>FJ1000-204-FA</v>
      </c>
    </row>
    <row r="393">
      <c r="A393" s="188" t="s">
        <v>1470</v>
      </c>
      <c r="B393" s="186" t="s">
        <v>904</v>
      </c>
      <c r="C393" s="186" t="s">
        <v>469</v>
      </c>
      <c r="D393" s="186" t="s">
        <v>470</v>
      </c>
      <c r="E393" s="186" t="str">
        <f t="shared" si="1"/>
        <v>FJ1000-204-SI</v>
      </c>
    </row>
    <row r="394">
      <c r="A394" s="188" t="s">
        <v>1471</v>
      </c>
      <c r="B394" s="186" t="s">
        <v>946</v>
      </c>
      <c r="C394" s="186" t="s">
        <v>469</v>
      </c>
      <c r="D394" s="186" t="s">
        <v>470</v>
      </c>
      <c r="E394" s="186" t="str">
        <f t="shared" si="1"/>
        <v>FJ1000-204-SD</v>
      </c>
    </row>
    <row r="395">
      <c r="A395" s="188" t="s">
        <v>1472</v>
      </c>
      <c r="B395" s="186" t="s">
        <v>896</v>
      </c>
      <c r="C395" s="186" t="s">
        <v>469</v>
      </c>
      <c r="D395" s="186" t="s">
        <v>470</v>
      </c>
      <c r="E395" s="186" t="str">
        <f t="shared" si="1"/>
        <v>FJ1000-204-SX</v>
      </c>
    </row>
    <row r="396">
      <c r="A396" s="188" t="s">
        <v>1474</v>
      </c>
      <c r="B396" s="186" t="s">
        <v>948</v>
      </c>
      <c r="C396" s="186" t="s">
        <v>469</v>
      </c>
      <c r="D396" s="186" t="s">
        <v>470</v>
      </c>
      <c r="E396" s="186" t="str">
        <f t="shared" si="1"/>
        <v>FJ1000-204-SF</v>
      </c>
    </row>
    <row r="397">
      <c r="A397" s="188" t="s">
        <v>1476</v>
      </c>
      <c r="B397" s="186" t="s">
        <v>1477</v>
      </c>
      <c r="C397" s="186" t="s">
        <v>469</v>
      </c>
      <c r="D397" s="186" t="s">
        <v>470</v>
      </c>
      <c r="E397" s="186" t="str">
        <f t="shared" si="1"/>
        <v>FJ1000-204-PC</v>
      </c>
    </row>
    <row r="398">
      <c r="A398" s="188" t="s">
        <v>1479</v>
      </c>
      <c r="B398" s="186" t="s">
        <v>914</v>
      </c>
      <c r="C398" s="186" t="s">
        <v>469</v>
      </c>
      <c r="D398" s="186" t="s">
        <v>470</v>
      </c>
      <c r="E398" s="186" t="str">
        <f t="shared" si="1"/>
        <v>FJ1000-204-HH</v>
      </c>
    </row>
    <row r="399">
      <c r="A399" s="185" t="s">
        <v>1481</v>
      </c>
      <c r="B399" s="186" t="s">
        <v>916</v>
      </c>
      <c r="C399" s="186" t="s">
        <v>469</v>
      </c>
      <c r="D399" s="186" t="s">
        <v>470</v>
      </c>
      <c r="E399" s="186" t="str">
        <f t="shared" si="1"/>
        <v>FJ1000-204-BH</v>
      </c>
    </row>
    <row r="400">
      <c r="A400" s="188" t="s">
        <v>1483</v>
      </c>
      <c r="B400" s="186" t="s">
        <v>960</v>
      </c>
      <c r="C400" s="186" t="s">
        <v>469</v>
      </c>
      <c r="D400" s="186" t="s">
        <v>470</v>
      </c>
      <c r="E400" s="186" t="str">
        <f t="shared" si="1"/>
        <v>FJ1000-204-FB</v>
      </c>
    </row>
    <row r="401">
      <c r="A401" s="188" t="s">
        <v>1484</v>
      </c>
      <c r="B401" s="189" t="s">
        <v>892</v>
      </c>
      <c r="C401" s="186" t="s">
        <v>469</v>
      </c>
      <c r="D401" s="186" t="s">
        <v>470</v>
      </c>
      <c r="E401" s="186" t="str">
        <f t="shared" si="1"/>
        <v>FJ1000-204-PR1</v>
      </c>
    </row>
    <row r="402">
      <c r="A402" s="188" t="s">
        <v>1485</v>
      </c>
      <c r="B402" s="189" t="s">
        <v>944</v>
      </c>
      <c r="C402" s="186" t="s">
        <v>469</v>
      </c>
      <c r="D402" s="186" t="s">
        <v>470</v>
      </c>
      <c r="E402" s="186" t="str">
        <f t="shared" si="1"/>
        <v>FJ1000-204-PR2</v>
      </c>
    </row>
    <row r="403">
      <c r="A403" s="188" t="s">
        <v>1486</v>
      </c>
      <c r="B403" s="186" t="s">
        <v>912</v>
      </c>
      <c r="C403" s="186" t="s">
        <v>469</v>
      </c>
      <c r="D403" s="186" t="s">
        <v>470</v>
      </c>
      <c r="E403" s="186" t="str">
        <f t="shared" si="1"/>
        <v>FJ1000-204-CL</v>
      </c>
    </row>
    <row r="404">
      <c r="A404" s="188" t="s">
        <v>1488</v>
      </c>
      <c r="B404" s="189" t="s">
        <v>1489</v>
      </c>
      <c r="C404" s="186" t="s">
        <v>469</v>
      </c>
      <c r="D404" s="186" t="s">
        <v>470</v>
      </c>
      <c r="E404" s="186" t="str">
        <f t="shared" si="1"/>
        <v>FJ1000-204-IFR</v>
      </c>
    </row>
    <row r="405">
      <c r="A405" s="188" t="s">
        <v>1492</v>
      </c>
      <c r="B405" s="186" t="s">
        <v>918</v>
      </c>
      <c r="C405" s="186" t="s">
        <v>469</v>
      </c>
      <c r="D405" s="186" t="s">
        <v>470</v>
      </c>
      <c r="E405" s="186" t="str">
        <f t="shared" si="1"/>
        <v>FJ1000-204-FC</v>
      </c>
    </row>
    <row r="406">
      <c r="A406" s="185" t="s">
        <v>1494</v>
      </c>
      <c r="B406" s="189" t="s">
        <v>1495</v>
      </c>
      <c r="C406" s="186" t="s">
        <v>469</v>
      </c>
      <c r="D406" s="186" t="s">
        <v>470</v>
      </c>
      <c r="E406" s="186" t="str">
        <f t="shared" si="1"/>
        <v>FJ1000-204-CBC</v>
      </c>
    </row>
    <row r="407">
      <c r="A407" s="185" t="s">
        <v>1453</v>
      </c>
      <c r="B407" s="186" t="s">
        <v>1372</v>
      </c>
      <c r="C407" s="186" t="s">
        <v>1473</v>
      </c>
      <c r="D407" s="186" t="s">
        <v>494</v>
      </c>
      <c r="E407" s="186" t="str">
        <f t="shared" si="1"/>
        <v>BO2000-202-BD</v>
      </c>
    </row>
    <row r="408">
      <c r="A408" s="185" t="s">
        <v>663</v>
      </c>
      <c r="B408" s="186" t="s">
        <v>889</v>
      </c>
      <c r="C408" s="186" t="s">
        <v>1473</v>
      </c>
      <c r="D408" s="186" t="s">
        <v>494</v>
      </c>
      <c r="E408" s="186" t="str">
        <f t="shared" si="1"/>
        <v>BO2000-202-CC</v>
      </c>
    </row>
    <row r="409">
      <c r="A409" s="188" t="s">
        <v>1454</v>
      </c>
      <c r="B409" s="186" t="s">
        <v>1086</v>
      </c>
      <c r="C409" s="186" t="s">
        <v>1473</v>
      </c>
      <c r="D409" s="186" t="s">
        <v>494</v>
      </c>
      <c r="E409" s="186" t="str">
        <f t="shared" si="1"/>
        <v>BO2000-202-FA</v>
      </c>
    </row>
    <row r="410">
      <c r="A410" s="188" t="s">
        <v>1455</v>
      </c>
      <c r="B410" s="186" t="s">
        <v>899</v>
      </c>
      <c r="C410" s="186" t="s">
        <v>1473</v>
      </c>
      <c r="D410" s="186" t="s">
        <v>494</v>
      </c>
      <c r="E410" s="186" t="str">
        <f t="shared" si="1"/>
        <v>BO2000-202-CU</v>
      </c>
    </row>
    <row r="411">
      <c r="A411" s="188" t="s">
        <v>1456</v>
      </c>
      <c r="B411" s="186" t="s">
        <v>902</v>
      </c>
      <c r="C411" s="186" t="s">
        <v>1473</v>
      </c>
      <c r="D411" s="186" t="s">
        <v>494</v>
      </c>
      <c r="E411" s="186" t="str">
        <f t="shared" si="1"/>
        <v>BO2000-202-GB</v>
      </c>
    </row>
    <row r="412">
      <c r="A412" s="188" t="s">
        <v>1457</v>
      </c>
      <c r="B412" s="186" t="s">
        <v>931</v>
      </c>
      <c r="C412" s="186" t="s">
        <v>1473</v>
      </c>
      <c r="D412" s="186" t="s">
        <v>494</v>
      </c>
      <c r="E412" s="186" t="str">
        <f t="shared" si="1"/>
        <v>BO2000-202-PF</v>
      </c>
    </row>
    <row r="413">
      <c r="A413" s="188" t="s">
        <v>1458</v>
      </c>
      <c r="B413" s="186" t="s">
        <v>928</v>
      </c>
      <c r="C413" s="186" t="s">
        <v>1473</v>
      </c>
      <c r="D413" s="186" t="s">
        <v>494</v>
      </c>
      <c r="E413" s="186" t="str">
        <f t="shared" si="1"/>
        <v>BO2000-202-PPO</v>
      </c>
    </row>
    <row r="414">
      <c r="A414" s="188" t="s">
        <v>1459</v>
      </c>
      <c r="B414" s="186" t="s">
        <v>908</v>
      </c>
      <c r="C414" s="186" t="s">
        <v>1473</v>
      </c>
      <c r="D414" s="186" t="s">
        <v>494</v>
      </c>
      <c r="E414" s="186" t="str">
        <f t="shared" si="1"/>
        <v>BO2000-202-POL</v>
      </c>
    </row>
    <row r="415">
      <c r="A415" s="185" t="s">
        <v>1460</v>
      </c>
      <c r="B415" s="189" t="s">
        <v>1461</v>
      </c>
      <c r="C415" s="186" t="s">
        <v>1473</v>
      </c>
      <c r="D415" s="186" t="s">
        <v>494</v>
      </c>
      <c r="E415" s="186" t="str">
        <f t="shared" si="1"/>
        <v>BO2000-202-PR</v>
      </c>
    </row>
    <row r="416">
      <c r="A416" s="188" t="s">
        <v>1462</v>
      </c>
      <c r="B416" s="186" t="s">
        <v>629</v>
      </c>
      <c r="C416" s="186" t="s">
        <v>1473</v>
      </c>
      <c r="D416" s="186" t="s">
        <v>494</v>
      </c>
      <c r="E416" s="186" t="str">
        <f t="shared" si="1"/>
        <v>BO2000-202-QC</v>
      </c>
    </row>
    <row r="417">
      <c r="A417" s="188" t="s">
        <v>1463</v>
      </c>
      <c r="B417" s="186" t="s">
        <v>1464</v>
      </c>
      <c r="C417" s="186" t="s">
        <v>1473</v>
      </c>
      <c r="D417" s="186" t="s">
        <v>494</v>
      </c>
      <c r="E417" s="186" t="str">
        <f t="shared" si="1"/>
        <v>BO2000-202-RP1</v>
      </c>
    </row>
    <row r="418">
      <c r="A418" s="188" t="s">
        <v>1466</v>
      </c>
      <c r="B418" s="189" t="s">
        <v>1467</v>
      </c>
      <c r="C418" s="186" t="s">
        <v>1473</v>
      </c>
      <c r="D418" s="186" t="s">
        <v>494</v>
      </c>
      <c r="E418" s="186" t="str">
        <f t="shared" si="1"/>
        <v>BO2000-202-RP2</v>
      </c>
    </row>
    <row r="419">
      <c r="A419" s="188" t="s">
        <v>1469</v>
      </c>
      <c r="B419" s="186" t="s">
        <v>1086</v>
      </c>
      <c r="C419" s="186" t="s">
        <v>1473</v>
      </c>
      <c r="D419" s="186" t="s">
        <v>494</v>
      </c>
      <c r="E419" s="186" t="str">
        <f t="shared" si="1"/>
        <v>BO2000-202-FA</v>
      </c>
    </row>
    <row r="420">
      <c r="A420" s="188" t="s">
        <v>1470</v>
      </c>
      <c r="B420" s="186" t="s">
        <v>904</v>
      </c>
      <c r="C420" s="186" t="s">
        <v>1473</v>
      </c>
      <c r="D420" s="186" t="s">
        <v>494</v>
      </c>
      <c r="E420" s="186" t="str">
        <f t="shared" si="1"/>
        <v>BO2000-202-SI</v>
      </c>
    </row>
    <row r="421">
      <c r="A421" s="188" t="s">
        <v>1471</v>
      </c>
      <c r="B421" s="186" t="s">
        <v>946</v>
      </c>
      <c r="C421" s="186" t="s">
        <v>1473</v>
      </c>
      <c r="D421" s="186" t="s">
        <v>494</v>
      </c>
      <c r="E421" s="186" t="str">
        <f t="shared" si="1"/>
        <v>BO2000-202-SD</v>
      </c>
    </row>
    <row r="422">
      <c r="A422" s="188" t="s">
        <v>1472</v>
      </c>
      <c r="B422" s="186" t="s">
        <v>896</v>
      </c>
      <c r="C422" s="186" t="s">
        <v>1473</v>
      </c>
      <c r="D422" s="186" t="s">
        <v>494</v>
      </c>
      <c r="E422" s="186" t="str">
        <f t="shared" si="1"/>
        <v>BO2000-202-SX</v>
      </c>
    </row>
    <row r="423">
      <c r="A423" s="188" t="s">
        <v>1474</v>
      </c>
      <c r="B423" s="186" t="s">
        <v>948</v>
      </c>
      <c r="C423" s="186" t="s">
        <v>1473</v>
      </c>
      <c r="D423" s="186" t="s">
        <v>494</v>
      </c>
      <c r="E423" s="186" t="str">
        <f t="shared" si="1"/>
        <v>BO2000-202-SF</v>
      </c>
    </row>
    <row r="424">
      <c r="A424" s="188" t="s">
        <v>1476</v>
      </c>
      <c r="B424" s="186" t="s">
        <v>1477</v>
      </c>
      <c r="C424" s="186" t="s">
        <v>1473</v>
      </c>
      <c r="D424" s="186" t="s">
        <v>494</v>
      </c>
      <c r="E424" s="186" t="str">
        <f t="shared" si="1"/>
        <v>BO2000-202-PC</v>
      </c>
    </row>
    <row r="425">
      <c r="A425" s="188" t="s">
        <v>1479</v>
      </c>
      <c r="B425" s="186" t="s">
        <v>914</v>
      </c>
      <c r="C425" s="186" t="s">
        <v>1473</v>
      </c>
      <c r="D425" s="186" t="s">
        <v>494</v>
      </c>
      <c r="E425" s="186" t="str">
        <f t="shared" si="1"/>
        <v>BO2000-202-HH</v>
      </c>
    </row>
    <row r="426">
      <c r="A426" s="185" t="s">
        <v>1481</v>
      </c>
      <c r="B426" s="186" t="s">
        <v>916</v>
      </c>
      <c r="C426" s="186" t="s">
        <v>1473</v>
      </c>
      <c r="D426" s="186" t="s">
        <v>494</v>
      </c>
      <c r="E426" s="186" t="str">
        <f t="shared" si="1"/>
        <v>BO2000-202-BH</v>
      </c>
    </row>
    <row r="427">
      <c r="A427" s="188" t="s">
        <v>1483</v>
      </c>
      <c r="B427" s="186" t="s">
        <v>960</v>
      </c>
      <c r="C427" s="186" t="s">
        <v>1473</v>
      </c>
      <c r="D427" s="186" t="s">
        <v>494</v>
      </c>
      <c r="E427" s="186" t="str">
        <f t="shared" si="1"/>
        <v>BO2000-202-FB</v>
      </c>
    </row>
    <row r="428">
      <c r="A428" s="188" t="s">
        <v>1484</v>
      </c>
      <c r="B428" s="189" t="s">
        <v>892</v>
      </c>
      <c r="C428" s="186" t="s">
        <v>1473</v>
      </c>
      <c r="D428" s="186" t="s">
        <v>494</v>
      </c>
      <c r="E428" s="186" t="str">
        <f t="shared" si="1"/>
        <v>BO2000-202-PR1</v>
      </c>
    </row>
    <row r="429">
      <c r="A429" s="188" t="s">
        <v>1485</v>
      </c>
      <c r="B429" s="189" t="s">
        <v>944</v>
      </c>
      <c r="C429" s="186" t="s">
        <v>1473</v>
      </c>
      <c r="D429" s="186" t="s">
        <v>494</v>
      </c>
      <c r="E429" s="186" t="str">
        <f t="shared" si="1"/>
        <v>BO2000-202-PR2</v>
      </c>
    </row>
    <row r="430">
      <c r="A430" s="188" t="s">
        <v>1486</v>
      </c>
      <c r="B430" s="186" t="s">
        <v>912</v>
      </c>
      <c r="C430" s="186" t="s">
        <v>1473</v>
      </c>
      <c r="D430" s="186" t="s">
        <v>494</v>
      </c>
      <c r="E430" s="186" t="str">
        <f t="shared" si="1"/>
        <v>BO2000-202-CL</v>
      </c>
    </row>
    <row r="431">
      <c r="A431" s="188" t="s">
        <v>1488</v>
      </c>
      <c r="B431" s="189" t="s">
        <v>1489</v>
      </c>
      <c r="C431" s="186" t="s">
        <v>1473</v>
      </c>
      <c r="D431" s="186" t="s">
        <v>494</v>
      </c>
      <c r="E431" s="186" t="str">
        <f t="shared" si="1"/>
        <v>BO2000-202-IFR</v>
      </c>
    </row>
    <row r="432">
      <c r="A432" s="188" t="s">
        <v>1492</v>
      </c>
      <c r="B432" s="186" t="s">
        <v>918</v>
      </c>
      <c r="C432" s="186" t="s">
        <v>1473</v>
      </c>
      <c r="D432" s="186" t="s">
        <v>494</v>
      </c>
      <c r="E432" s="186" t="str">
        <f t="shared" si="1"/>
        <v>BO2000-202-FC</v>
      </c>
    </row>
    <row r="433">
      <c r="A433" s="185" t="s">
        <v>1494</v>
      </c>
      <c r="B433" s="189" t="s">
        <v>1495</v>
      </c>
      <c r="C433" s="186" t="s">
        <v>1473</v>
      </c>
      <c r="D433" s="186" t="s">
        <v>494</v>
      </c>
      <c r="E433" s="186" t="str">
        <f t="shared" si="1"/>
        <v>BO2000-202-CBC</v>
      </c>
    </row>
    <row r="434">
      <c r="A434" s="185" t="s">
        <v>1453</v>
      </c>
      <c r="B434" s="186" t="s">
        <v>1372</v>
      </c>
      <c r="C434" s="186" t="s">
        <v>1475</v>
      </c>
      <c r="D434" s="186" t="s">
        <v>496</v>
      </c>
      <c r="E434" s="186" t="str">
        <f t="shared" si="1"/>
        <v>TB1500-204-BD</v>
      </c>
    </row>
    <row r="435">
      <c r="A435" s="185" t="s">
        <v>663</v>
      </c>
      <c r="B435" s="186" t="s">
        <v>889</v>
      </c>
      <c r="C435" s="186" t="s">
        <v>1475</v>
      </c>
      <c r="D435" s="186" t="s">
        <v>496</v>
      </c>
      <c r="E435" s="186" t="str">
        <f t="shared" si="1"/>
        <v>TB1500-204-CC</v>
      </c>
    </row>
    <row r="436">
      <c r="A436" s="188" t="s">
        <v>1454</v>
      </c>
      <c r="B436" s="186" t="s">
        <v>1086</v>
      </c>
      <c r="C436" s="186" t="s">
        <v>1475</v>
      </c>
      <c r="D436" s="186" t="s">
        <v>496</v>
      </c>
      <c r="E436" s="186" t="str">
        <f t="shared" si="1"/>
        <v>TB1500-204-FA</v>
      </c>
    </row>
    <row r="437">
      <c r="A437" s="188" t="s">
        <v>1455</v>
      </c>
      <c r="B437" s="186" t="s">
        <v>899</v>
      </c>
      <c r="C437" s="186" t="s">
        <v>1475</v>
      </c>
      <c r="D437" s="186" t="s">
        <v>496</v>
      </c>
      <c r="E437" s="186" t="str">
        <f t="shared" si="1"/>
        <v>TB1500-204-CU</v>
      </c>
    </row>
    <row r="438">
      <c r="A438" s="188" t="s">
        <v>1456</v>
      </c>
      <c r="B438" s="186" t="s">
        <v>902</v>
      </c>
      <c r="C438" s="186" t="s">
        <v>1475</v>
      </c>
      <c r="D438" s="186" t="s">
        <v>496</v>
      </c>
      <c r="E438" s="186" t="str">
        <f t="shared" si="1"/>
        <v>TB1500-204-GB</v>
      </c>
    </row>
    <row r="439">
      <c r="A439" s="188" t="s">
        <v>1457</v>
      </c>
      <c r="B439" s="186" t="s">
        <v>931</v>
      </c>
      <c r="C439" s="186" t="s">
        <v>1475</v>
      </c>
      <c r="D439" s="186" t="s">
        <v>496</v>
      </c>
      <c r="E439" s="186" t="str">
        <f t="shared" si="1"/>
        <v>TB1500-204-PF</v>
      </c>
    </row>
    <row r="440">
      <c r="A440" s="188" t="s">
        <v>1458</v>
      </c>
      <c r="B440" s="186" t="s">
        <v>928</v>
      </c>
      <c r="C440" s="186" t="s">
        <v>1475</v>
      </c>
      <c r="D440" s="186" t="s">
        <v>496</v>
      </c>
      <c r="E440" s="186" t="str">
        <f t="shared" si="1"/>
        <v>TB1500-204-PPO</v>
      </c>
    </row>
    <row r="441">
      <c r="A441" s="188" t="s">
        <v>1459</v>
      </c>
      <c r="B441" s="186" t="s">
        <v>908</v>
      </c>
      <c r="C441" s="186" t="s">
        <v>1475</v>
      </c>
      <c r="D441" s="186" t="s">
        <v>496</v>
      </c>
      <c r="E441" s="186" t="str">
        <f t="shared" si="1"/>
        <v>TB1500-204-POL</v>
      </c>
    </row>
    <row r="442">
      <c r="A442" s="185" t="s">
        <v>1460</v>
      </c>
      <c r="B442" s="189" t="s">
        <v>1461</v>
      </c>
      <c r="C442" s="186" t="s">
        <v>1475</v>
      </c>
      <c r="D442" s="186" t="s">
        <v>496</v>
      </c>
      <c r="E442" s="186" t="str">
        <f t="shared" si="1"/>
        <v>TB1500-204-PR</v>
      </c>
    </row>
    <row r="443">
      <c r="A443" s="188" t="s">
        <v>1462</v>
      </c>
      <c r="B443" s="186" t="s">
        <v>629</v>
      </c>
      <c r="C443" s="186" t="s">
        <v>1475</v>
      </c>
      <c r="D443" s="186" t="s">
        <v>496</v>
      </c>
      <c r="E443" s="186" t="str">
        <f t="shared" si="1"/>
        <v>TB1500-204-QC</v>
      </c>
    </row>
    <row r="444">
      <c r="A444" s="188" t="s">
        <v>1463</v>
      </c>
      <c r="B444" s="186" t="s">
        <v>1464</v>
      </c>
      <c r="C444" s="186" t="s">
        <v>1475</v>
      </c>
      <c r="D444" s="186" t="s">
        <v>496</v>
      </c>
      <c r="E444" s="186" t="str">
        <f t="shared" si="1"/>
        <v>TB1500-204-RP1</v>
      </c>
    </row>
    <row r="445">
      <c r="A445" s="188" t="s">
        <v>1466</v>
      </c>
      <c r="B445" s="189" t="s">
        <v>1467</v>
      </c>
      <c r="C445" s="186" t="s">
        <v>1475</v>
      </c>
      <c r="D445" s="186" t="s">
        <v>496</v>
      </c>
      <c r="E445" s="186" t="str">
        <f t="shared" si="1"/>
        <v>TB1500-204-RP2</v>
      </c>
    </row>
    <row r="446">
      <c r="A446" s="188" t="s">
        <v>1469</v>
      </c>
      <c r="B446" s="186" t="s">
        <v>1086</v>
      </c>
      <c r="C446" s="186" t="s">
        <v>1475</v>
      </c>
      <c r="D446" s="186" t="s">
        <v>496</v>
      </c>
      <c r="E446" s="186" t="str">
        <f t="shared" si="1"/>
        <v>TB1500-204-FA</v>
      </c>
    </row>
    <row r="447">
      <c r="A447" s="188" t="s">
        <v>1470</v>
      </c>
      <c r="B447" s="186" t="s">
        <v>904</v>
      </c>
      <c r="C447" s="186" t="s">
        <v>1475</v>
      </c>
      <c r="D447" s="186" t="s">
        <v>496</v>
      </c>
      <c r="E447" s="186" t="str">
        <f t="shared" si="1"/>
        <v>TB1500-204-SI</v>
      </c>
    </row>
    <row r="448">
      <c r="A448" s="188" t="s">
        <v>1471</v>
      </c>
      <c r="B448" s="186" t="s">
        <v>946</v>
      </c>
      <c r="C448" s="186" t="s">
        <v>1475</v>
      </c>
      <c r="D448" s="186" t="s">
        <v>496</v>
      </c>
      <c r="E448" s="186" t="str">
        <f t="shared" si="1"/>
        <v>TB1500-204-SD</v>
      </c>
    </row>
    <row r="449">
      <c r="A449" s="188" t="s">
        <v>1472</v>
      </c>
      <c r="B449" s="186" t="s">
        <v>896</v>
      </c>
      <c r="C449" s="186" t="s">
        <v>1475</v>
      </c>
      <c r="D449" s="186" t="s">
        <v>496</v>
      </c>
      <c r="E449" s="186" t="str">
        <f t="shared" si="1"/>
        <v>TB1500-204-SX</v>
      </c>
    </row>
    <row r="450">
      <c r="A450" s="188" t="s">
        <v>1474</v>
      </c>
      <c r="B450" s="186" t="s">
        <v>948</v>
      </c>
      <c r="C450" s="186" t="s">
        <v>1475</v>
      </c>
      <c r="D450" s="186" t="s">
        <v>496</v>
      </c>
      <c r="E450" s="186" t="str">
        <f t="shared" si="1"/>
        <v>TB1500-204-SF</v>
      </c>
    </row>
    <row r="451">
      <c r="A451" s="188" t="s">
        <v>1476</v>
      </c>
      <c r="B451" s="186" t="s">
        <v>1477</v>
      </c>
      <c r="C451" s="186" t="s">
        <v>1475</v>
      </c>
      <c r="D451" s="186" t="s">
        <v>496</v>
      </c>
      <c r="E451" s="186" t="str">
        <f t="shared" si="1"/>
        <v>TB1500-204-PC</v>
      </c>
    </row>
    <row r="452">
      <c r="A452" s="188" t="s">
        <v>1479</v>
      </c>
      <c r="B452" s="186" t="s">
        <v>914</v>
      </c>
      <c r="C452" s="186" t="s">
        <v>1475</v>
      </c>
      <c r="D452" s="186" t="s">
        <v>496</v>
      </c>
      <c r="E452" s="186" t="str">
        <f t="shared" si="1"/>
        <v>TB1500-204-HH</v>
      </c>
    </row>
    <row r="453">
      <c r="A453" s="185" t="s">
        <v>1481</v>
      </c>
      <c r="B453" s="186" t="s">
        <v>916</v>
      </c>
      <c r="C453" s="186" t="s">
        <v>1475</v>
      </c>
      <c r="D453" s="186" t="s">
        <v>496</v>
      </c>
      <c r="E453" s="186" t="str">
        <f t="shared" si="1"/>
        <v>TB1500-204-BH</v>
      </c>
    </row>
    <row r="454">
      <c r="A454" s="188" t="s">
        <v>1483</v>
      </c>
      <c r="B454" s="186" t="s">
        <v>960</v>
      </c>
      <c r="C454" s="186" t="s">
        <v>1475</v>
      </c>
      <c r="D454" s="186" t="s">
        <v>496</v>
      </c>
      <c r="E454" s="186" t="str">
        <f t="shared" si="1"/>
        <v>TB1500-204-FB</v>
      </c>
    </row>
    <row r="455">
      <c r="A455" s="188" t="s">
        <v>1484</v>
      </c>
      <c r="B455" s="189" t="s">
        <v>892</v>
      </c>
      <c r="C455" s="186" t="s">
        <v>1475</v>
      </c>
      <c r="D455" s="186" t="s">
        <v>496</v>
      </c>
      <c r="E455" s="186" t="str">
        <f t="shared" si="1"/>
        <v>TB1500-204-PR1</v>
      </c>
    </row>
    <row r="456">
      <c r="A456" s="188" t="s">
        <v>1485</v>
      </c>
      <c r="B456" s="189" t="s">
        <v>944</v>
      </c>
      <c r="C456" s="186" t="s">
        <v>1475</v>
      </c>
      <c r="D456" s="186" t="s">
        <v>496</v>
      </c>
      <c r="E456" s="186" t="str">
        <f t="shared" si="1"/>
        <v>TB1500-204-PR2</v>
      </c>
    </row>
    <row r="457">
      <c r="A457" s="188" t="s">
        <v>1486</v>
      </c>
      <c r="B457" s="186" t="s">
        <v>912</v>
      </c>
      <c r="C457" s="186" t="s">
        <v>1475</v>
      </c>
      <c r="D457" s="186" t="s">
        <v>496</v>
      </c>
      <c r="E457" s="186" t="str">
        <f t="shared" si="1"/>
        <v>TB1500-204-CL</v>
      </c>
    </row>
    <row r="458">
      <c r="A458" s="188" t="s">
        <v>1488</v>
      </c>
      <c r="B458" s="189" t="s">
        <v>1489</v>
      </c>
      <c r="C458" s="186" t="s">
        <v>1475</v>
      </c>
      <c r="D458" s="186" t="s">
        <v>496</v>
      </c>
      <c r="E458" s="186" t="str">
        <f t="shared" si="1"/>
        <v>TB1500-204-IFR</v>
      </c>
    </row>
    <row r="459">
      <c r="A459" s="188" t="s">
        <v>1492</v>
      </c>
      <c r="B459" s="186" t="s">
        <v>918</v>
      </c>
      <c r="C459" s="186" t="s">
        <v>1475</v>
      </c>
      <c r="D459" s="186" t="s">
        <v>496</v>
      </c>
      <c r="E459" s="186" t="str">
        <f t="shared" si="1"/>
        <v>TB1500-204-FC</v>
      </c>
    </row>
    <row r="460">
      <c r="A460" s="185" t="s">
        <v>1494</v>
      </c>
      <c r="B460" s="189" t="s">
        <v>1495</v>
      </c>
      <c r="C460" s="186" t="s">
        <v>1475</v>
      </c>
      <c r="D460" s="186" t="s">
        <v>496</v>
      </c>
      <c r="E460" s="186" t="str">
        <f t="shared" si="1"/>
        <v>TB1500-204-CBC</v>
      </c>
    </row>
    <row r="461">
      <c r="A461" s="185" t="s">
        <v>1453</v>
      </c>
      <c r="B461" s="186" t="s">
        <v>1372</v>
      </c>
      <c r="C461" s="186" t="s">
        <v>1478</v>
      </c>
      <c r="D461" s="186" t="s">
        <v>498</v>
      </c>
      <c r="E461" s="186" t="str">
        <f t="shared" si="1"/>
        <v>TB1000-204-BD</v>
      </c>
    </row>
    <row r="462">
      <c r="A462" s="185" t="s">
        <v>663</v>
      </c>
      <c r="B462" s="186" t="s">
        <v>889</v>
      </c>
      <c r="C462" s="186" t="s">
        <v>1478</v>
      </c>
      <c r="D462" s="186" t="s">
        <v>498</v>
      </c>
      <c r="E462" s="186" t="str">
        <f t="shared" si="1"/>
        <v>TB1000-204-CC</v>
      </c>
    </row>
    <row r="463">
      <c r="A463" s="188" t="s">
        <v>1454</v>
      </c>
      <c r="B463" s="186" t="s">
        <v>1086</v>
      </c>
      <c r="C463" s="186" t="s">
        <v>1478</v>
      </c>
      <c r="D463" s="186" t="s">
        <v>498</v>
      </c>
      <c r="E463" s="186" t="str">
        <f t="shared" si="1"/>
        <v>TB1000-204-FA</v>
      </c>
    </row>
    <row r="464">
      <c r="A464" s="188" t="s">
        <v>1455</v>
      </c>
      <c r="B464" s="186" t="s">
        <v>899</v>
      </c>
      <c r="C464" s="186" t="s">
        <v>1478</v>
      </c>
      <c r="D464" s="186" t="s">
        <v>498</v>
      </c>
      <c r="E464" s="186" t="str">
        <f t="shared" si="1"/>
        <v>TB1000-204-CU</v>
      </c>
    </row>
    <row r="465">
      <c r="A465" s="188" t="s">
        <v>1456</v>
      </c>
      <c r="B465" s="186" t="s">
        <v>902</v>
      </c>
      <c r="C465" s="186" t="s">
        <v>1478</v>
      </c>
      <c r="D465" s="186" t="s">
        <v>498</v>
      </c>
      <c r="E465" s="186" t="str">
        <f t="shared" si="1"/>
        <v>TB1000-204-GB</v>
      </c>
    </row>
    <row r="466">
      <c r="A466" s="188" t="s">
        <v>1457</v>
      </c>
      <c r="B466" s="186" t="s">
        <v>931</v>
      </c>
      <c r="C466" s="186" t="s">
        <v>1478</v>
      </c>
      <c r="D466" s="186" t="s">
        <v>498</v>
      </c>
      <c r="E466" s="186" t="str">
        <f t="shared" si="1"/>
        <v>TB1000-204-PF</v>
      </c>
    </row>
    <row r="467">
      <c r="A467" s="188" t="s">
        <v>1458</v>
      </c>
      <c r="B467" s="186" t="s">
        <v>928</v>
      </c>
      <c r="C467" s="186" t="s">
        <v>1478</v>
      </c>
      <c r="D467" s="186" t="s">
        <v>498</v>
      </c>
      <c r="E467" s="186" t="str">
        <f t="shared" si="1"/>
        <v>TB1000-204-PPO</v>
      </c>
    </row>
    <row r="468">
      <c r="A468" s="188" t="s">
        <v>1459</v>
      </c>
      <c r="B468" s="186" t="s">
        <v>908</v>
      </c>
      <c r="C468" s="186" t="s">
        <v>1478</v>
      </c>
      <c r="D468" s="186" t="s">
        <v>498</v>
      </c>
      <c r="E468" s="186" t="str">
        <f t="shared" si="1"/>
        <v>TB1000-204-POL</v>
      </c>
    </row>
    <row r="469">
      <c r="A469" s="185" t="s">
        <v>1460</v>
      </c>
      <c r="B469" s="189" t="s">
        <v>1461</v>
      </c>
      <c r="C469" s="186" t="s">
        <v>1478</v>
      </c>
      <c r="D469" s="186" t="s">
        <v>498</v>
      </c>
      <c r="E469" s="186" t="str">
        <f t="shared" si="1"/>
        <v>TB1000-204-PR</v>
      </c>
    </row>
    <row r="470">
      <c r="A470" s="188" t="s">
        <v>1462</v>
      </c>
      <c r="B470" s="186" t="s">
        <v>629</v>
      </c>
      <c r="C470" s="186" t="s">
        <v>1478</v>
      </c>
      <c r="D470" s="186" t="s">
        <v>498</v>
      </c>
      <c r="E470" s="186" t="str">
        <f t="shared" si="1"/>
        <v>TB1000-204-QC</v>
      </c>
    </row>
    <row r="471">
      <c r="A471" s="188" t="s">
        <v>1463</v>
      </c>
      <c r="B471" s="186" t="s">
        <v>1464</v>
      </c>
      <c r="C471" s="186" t="s">
        <v>1478</v>
      </c>
      <c r="D471" s="186" t="s">
        <v>498</v>
      </c>
      <c r="E471" s="186" t="str">
        <f t="shared" si="1"/>
        <v>TB1000-204-RP1</v>
      </c>
    </row>
    <row r="472">
      <c r="A472" s="188" t="s">
        <v>1466</v>
      </c>
      <c r="B472" s="189" t="s">
        <v>1467</v>
      </c>
      <c r="C472" s="186" t="s">
        <v>1478</v>
      </c>
      <c r="D472" s="186" t="s">
        <v>498</v>
      </c>
      <c r="E472" s="186" t="str">
        <f t="shared" si="1"/>
        <v>TB1000-204-RP2</v>
      </c>
    </row>
    <row r="473">
      <c r="A473" s="188" t="s">
        <v>1469</v>
      </c>
      <c r="B473" s="186" t="s">
        <v>1086</v>
      </c>
      <c r="C473" s="186" t="s">
        <v>1478</v>
      </c>
      <c r="D473" s="186" t="s">
        <v>498</v>
      </c>
      <c r="E473" s="186" t="str">
        <f t="shared" si="1"/>
        <v>TB1000-204-FA</v>
      </c>
    </row>
    <row r="474">
      <c r="A474" s="188" t="s">
        <v>1470</v>
      </c>
      <c r="B474" s="186" t="s">
        <v>904</v>
      </c>
      <c r="C474" s="186" t="s">
        <v>1478</v>
      </c>
      <c r="D474" s="186" t="s">
        <v>498</v>
      </c>
      <c r="E474" s="186" t="str">
        <f t="shared" si="1"/>
        <v>TB1000-204-SI</v>
      </c>
    </row>
    <row r="475">
      <c r="A475" s="188" t="s">
        <v>1471</v>
      </c>
      <c r="B475" s="186" t="s">
        <v>946</v>
      </c>
      <c r="C475" s="186" t="s">
        <v>1478</v>
      </c>
      <c r="D475" s="186" t="s">
        <v>498</v>
      </c>
      <c r="E475" s="186" t="str">
        <f t="shared" si="1"/>
        <v>TB1000-204-SD</v>
      </c>
    </row>
    <row r="476">
      <c r="A476" s="188" t="s">
        <v>1472</v>
      </c>
      <c r="B476" s="186" t="s">
        <v>896</v>
      </c>
      <c r="C476" s="186" t="s">
        <v>1478</v>
      </c>
      <c r="D476" s="186" t="s">
        <v>498</v>
      </c>
      <c r="E476" s="186" t="str">
        <f t="shared" si="1"/>
        <v>TB1000-204-SX</v>
      </c>
    </row>
    <row r="477">
      <c r="A477" s="188" t="s">
        <v>1474</v>
      </c>
      <c r="B477" s="186" t="s">
        <v>948</v>
      </c>
      <c r="C477" s="186" t="s">
        <v>1478</v>
      </c>
      <c r="D477" s="186" t="s">
        <v>498</v>
      </c>
      <c r="E477" s="186" t="str">
        <f t="shared" si="1"/>
        <v>TB1000-204-SF</v>
      </c>
    </row>
    <row r="478">
      <c r="A478" s="188" t="s">
        <v>1476</v>
      </c>
      <c r="B478" s="186" t="s">
        <v>1477</v>
      </c>
      <c r="C478" s="186" t="s">
        <v>1478</v>
      </c>
      <c r="D478" s="186" t="s">
        <v>498</v>
      </c>
      <c r="E478" s="186" t="str">
        <f t="shared" si="1"/>
        <v>TB1000-204-PC</v>
      </c>
    </row>
    <row r="479">
      <c r="A479" s="188" t="s">
        <v>1479</v>
      </c>
      <c r="B479" s="186" t="s">
        <v>914</v>
      </c>
      <c r="C479" s="186" t="s">
        <v>1478</v>
      </c>
      <c r="D479" s="186" t="s">
        <v>498</v>
      </c>
      <c r="E479" s="186" t="str">
        <f t="shared" si="1"/>
        <v>TB1000-204-HH</v>
      </c>
    </row>
    <row r="480">
      <c r="A480" s="185" t="s">
        <v>1481</v>
      </c>
      <c r="B480" s="186" t="s">
        <v>916</v>
      </c>
      <c r="C480" s="186" t="s">
        <v>1478</v>
      </c>
      <c r="D480" s="186" t="s">
        <v>498</v>
      </c>
      <c r="E480" s="186" t="str">
        <f t="shared" si="1"/>
        <v>TB1000-204-BH</v>
      </c>
    </row>
    <row r="481">
      <c r="A481" s="188" t="s">
        <v>1483</v>
      </c>
      <c r="B481" s="186" t="s">
        <v>960</v>
      </c>
      <c r="C481" s="186" t="s">
        <v>1478</v>
      </c>
      <c r="D481" s="186" t="s">
        <v>498</v>
      </c>
      <c r="E481" s="186" t="str">
        <f t="shared" si="1"/>
        <v>TB1000-204-FB</v>
      </c>
    </row>
    <row r="482">
      <c r="A482" s="188" t="s">
        <v>1484</v>
      </c>
      <c r="B482" s="189" t="s">
        <v>892</v>
      </c>
      <c r="C482" s="186" t="s">
        <v>1478</v>
      </c>
      <c r="D482" s="186" t="s">
        <v>498</v>
      </c>
      <c r="E482" s="186" t="str">
        <f t="shared" si="1"/>
        <v>TB1000-204-PR1</v>
      </c>
    </row>
    <row r="483">
      <c r="A483" s="188" t="s">
        <v>1485</v>
      </c>
      <c r="B483" s="189" t="s">
        <v>944</v>
      </c>
      <c r="C483" s="186" t="s">
        <v>1478</v>
      </c>
      <c r="D483" s="186" t="s">
        <v>498</v>
      </c>
      <c r="E483" s="186" t="str">
        <f t="shared" si="1"/>
        <v>TB1000-204-PR2</v>
      </c>
    </row>
    <row r="484">
      <c r="A484" s="188" t="s">
        <v>1486</v>
      </c>
      <c r="B484" s="186" t="s">
        <v>912</v>
      </c>
      <c r="C484" s="186" t="s">
        <v>1478</v>
      </c>
      <c r="D484" s="186" t="s">
        <v>498</v>
      </c>
      <c r="E484" s="186" t="str">
        <f t="shared" si="1"/>
        <v>TB1000-204-CL</v>
      </c>
    </row>
    <row r="485">
      <c r="A485" s="188" t="s">
        <v>1488</v>
      </c>
      <c r="B485" s="189" t="s">
        <v>1489</v>
      </c>
      <c r="C485" s="186" t="s">
        <v>1478</v>
      </c>
      <c r="D485" s="186" t="s">
        <v>498</v>
      </c>
      <c r="E485" s="186" t="str">
        <f t="shared" si="1"/>
        <v>TB1000-204-IFR</v>
      </c>
    </row>
    <row r="486">
      <c r="A486" s="188" t="s">
        <v>1492</v>
      </c>
      <c r="B486" s="186" t="s">
        <v>918</v>
      </c>
      <c r="C486" s="186" t="s">
        <v>1478</v>
      </c>
      <c r="D486" s="186" t="s">
        <v>498</v>
      </c>
      <c r="E486" s="186" t="str">
        <f t="shared" si="1"/>
        <v>TB1000-204-FC</v>
      </c>
    </row>
    <row r="487">
      <c r="A487" s="185" t="s">
        <v>1494</v>
      </c>
      <c r="B487" s="189" t="s">
        <v>1495</v>
      </c>
      <c r="C487" s="186" t="s">
        <v>1478</v>
      </c>
      <c r="D487" s="186" t="s">
        <v>498</v>
      </c>
      <c r="E487" s="186" t="str">
        <f t="shared" si="1"/>
        <v>TB1000-204-CBC</v>
      </c>
    </row>
    <row r="488">
      <c r="A488" s="185" t="s">
        <v>1453</v>
      </c>
      <c r="B488" s="186" t="s">
        <v>1372</v>
      </c>
      <c r="C488" s="186" t="s">
        <v>447</v>
      </c>
      <c r="D488" s="186" t="s">
        <v>448</v>
      </c>
      <c r="E488" s="186" t="str">
        <f t="shared" si="1"/>
        <v>VF1500-202-BD</v>
      </c>
    </row>
    <row r="489">
      <c r="A489" s="185" t="s">
        <v>663</v>
      </c>
      <c r="B489" s="186" t="s">
        <v>889</v>
      </c>
      <c r="C489" s="186" t="s">
        <v>447</v>
      </c>
      <c r="D489" s="186" t="s">
        <v>448</v>
      </c>
      <c r="E489" s="186" t="str">
        <f t="shared" si="1"/>
        <v>VF1500-202-CC</v>
      </c>
    </row>
    <row r="490">
      <c r="A490" s="188" t="s">
        <v>1454</v>
      </c>
      <c r="B490" s="186" t="s">
        <v>1086</v>
      </c>
      <c r="C490" s="186" t="s">
        <v>447</v>
      </c>
      <c r="D490" s="186" t="s">
        <v>448</v>
      </c>
      <c r="E490" s="186" t="str">
        <f t="shared" si="1"/>
        <v>VF1500-202-FA</v>
      </c>
    </row>
    <row r="491">
      <c r="A491" s="188" t="s">
        <v>1455</v>
      </c>
      <c r="B491" s="186" t="s">
        <v>899</v>
      </c>
      <c r="C491" s="186" t="s">
        <v>447</v>
      </c>
      <c r="D491" s="186" t="s">
        <v>448</v>
      </c>
      <c r="E491" s="186" t="str">
        <f t="shared" si="1"/>
        <v>VF1500-202-CU</v>
      </c>
    </row>
    <row r="492">
      <c r="A492" s="188" t="s">
        <v>1456</v>
      </c>
      <c r="B492" s="186" t="s">
        <v>902</v>
      </c>
      <c r="C492" s="186" t="s">
        <v>447</v>
      </c>
      <c r="D492" s="186" t="s">
        <v>448</v>
      </c>
      <c r="E492" s="186" t="str">
        <f t="shared" si="1"/>
        <v>VF1500-202-GB</v>
      </c>
    </row>
    <row r="493">
      <c r="A493" s="188" t="s">
        <v>1457</v>
      </c>
      <c r="B493" s="186" t="s">
        <v>931</v>
      </c>
      <c r="C493" s="186" t="s">
        <v>447</v>
      </c>
      <c r="D493" s="186" t="s">
        <v>448</v>
      </c>
      <c r="E493" s="186" t="str">
        <f t="shared" si="1"/>
        <v>VF1500-202-PF</v>
      </c>
    </row>
    <row r="494">
      <c r="A494" s="188" t="s">
        <v>1458</v>
      </c>
      <c r="B494" s="186" t="s">
        <v>928</v>
      </c>
      <c r="C494" s="186" t="s">
        <v>447</v>
      </c>
      <c r="D494" s="186" t="s">
        <v>448</v>
      </c>
      <c r="E494" s="186" t="str">
        <f t="shared" si="1"/>
        <v>VF1500-202-PPO</v>
      </c>
    </row>
    <row r="495">
      <c r="A495" s="188" t="s">
        <v>1459</v>
      </c>
      <c r="B495" s="186" t="s">
        <v>908</v>
      </c>
      <c r="C495" s="186" t="s">
        <v>447</v>
      </c>
      <c r="D495" s="186" t="s">
        <v>448</v>
      </c>
      <c r="E495" s="186" t="str">
        <f t="shared" si="1"/>
        <v>VF1500-202-POL</v>
      </c>
    </row>
    <row r="496">
      <c r="A496" s="185" t="s">
        <v>1460</v>
      </c>
      <c r="B496" s="189" t="s">
        <v>1461</v>
      </c>
      <c r="C496" s="186" t="s">
        <v>447</v>
      </c>
      <c r="D496" s="186" t="s">
        <v>448</v>
      </c>
      <c r="E496" s="186" t="str">
        <f t="shared" si="1"/>
        <v>VF1500-202-PR</v>
      </c>
    </row>
    <row r="497">
      <c r="A497" s="188" t="s">
        <v>1462</v>
      </c>
      <c r="B497" s="186" t="s">
        <v>629</v>
      </c>
      <c r="C497" s="186" t="s">
        <v>447</v>
      </c>
      <c r="D497" s="186" t="s">
        <v>448</v>
      </c>
      <c r="E497" s="186" t="str">
        <f t="shared" si="1"/>
        <v>VF1500-202-QC</v>
      </c>
    </row>
    <row r="498">
      <c r="A498" s="188" t="s">
        <v>1463</v>
      </c>
      <c r="B498" s="186" t="s">
        <v>1464</v>
      </c>
      <c r="C498" s="186" t="s">
        <v>447</v>
      </c>
      <c r="D498" s="186" t="s">
        <v>448</v>
      </c>
      <c r="E498" s="186" t="str">
        <f t="shared" si="1"/>
        <v>VF1500-202-RP1</v>
      </c>
    </row>
    <row r="499">
      <c r="A499" s="188" t="s">
        <v>1466</v>
      </c>
      <c r="B499" s="189" t="s">
        <v>1467</v>
      </c>
      <c r="C499" s="186" t="s">
        <v>447</v>
      </c>
      <c r="D499" s="186" t="s">
        <v>448</v>
      </c>
      <c r="E499" s="186" t="str">
        <f t="shared" si="1"/>
        <v>VF1500-202-RP2</v>
      </c>
    </row>
    <row r="500">
      <c r="A500" s="188" t="s">
        <v>1469</v>
      </c>
      <c r="B500" s="186" t="s">
        <v>1086</v>
      </c>
      <c r="C500" s="186" t="s">
        <v>447</v>
      </c>
      <c r="D500" s="186" t="s">
        <v>448</v>
      </c>
      <c r="E500" s="186" t="str">
        <f t="shared" si="1"/>
        <v>VF1500-202-FA</v>
      </c>
    </row>
    <row r="501">
      <c r="A501" s="188" t="s">
        <v>1470</v>
      </c>
      <c r="B501" s="186" t="s">
        <v>904</v>
      </c>
      <c r="C501" s="186" t="s">
        <v>447</v>
      </c>
      <c r="D501" s="186" t="s">
        <v>448</v>
      </c>
      <c r="E501" s="186" t="str">
        <f t="shared" si="1"/>
        <v>VF1500-202-SI</v>
      </c>
    </row>
    <row r="502">
      <c r="A502" s="188" t="s">
        <v>1471</v>
      </c>
      <c r="B502" s="186" t="s">
        <v>946</v>
      </c>
      <c r="C502" s="186" t="s">
        <v>447</v>
      </c>
      <c r="D502" s="186" t="s">
        <v>448</v>
      </c>
      <c r="E502" s="186" t="str">
        <f t="shared" si="1"/>
        <v>VF1500-202-SD</v>
      </c>
    </row>
    <row r="503">
      <c r="A503" s="188" t="s">
        <v>1472</v>
      </c>
      <c r="B503" s="186" t="s">
        <v>896</v>
      </c>
      <c r="C503" s="186" t="s">
        <v>447</v>
      </c>
      <c r="D503" s="186" t="s">
        <v>448</v>
      </c>
      <c r="E503" s="186" t="str">
        <f t="shared" si="1"/>
        <v>VF1500-202-SX</v>
      </c>
    </row>
    <row r="504">
      <c r="A504" s="188" t="s">
        <v>1474</v>
      </c>
      <c r="B504" s="186" t="s">
        <v>948</v>
      </c>
      <c r="C504" s="186" t="s">
        <v>447</v>
      </c>
      <c r="D504" s="186" t="s">
        <v>448</v>
      </c>
      <c r="E504" s="186" t="str">
        <f t="shared" si="1"/>
        <v>VF1500-202-SF</v>
      </c>
    </row>
    <row r="505">
      <c r="A505" s="188" t="s">
        <v>1476</v>
      </c>
      <c r="B505" s="186" t="s">
        <v>1477</v>
      </c>
      <c r="C505" s="186" t="s">
        <v>447</v>
      </c>
      <c r="D505" s="186" t="s">
        <v>448</v>
      </c>
      <c r="E505" s="186" t="str">
        <f t="shared" si="1"/>
        <v>VF1500-202-PC</v>
      </c>
    </row>
    <row r="506">
      <c r="A506" s="188" t="s">
        <v>1479</v>
      </c>
      <c r="B506" s="186" t="s">
        <v>914</v>
      </c>
      <c r="C506" s="186" t="s">
        <v>447</v>
      </c>
      <c r="D506" s="186" t="s">
        <v>448</v>
      </c>
      <c r="E506" s="186" t="str">
        <f t="shared" si="1"/>
        <v>VF1500-202-HH</v>
      </c>
    </row>
    <row r="507">
      <c r="A507" s="185" t="s">
        <v>1481</v>
      </c>
      <c r="B507" s="186" t="s">
        <v>916</v>
      </c>
      <c r="C507" s="186" t="s">
        <v>447</v>
      </c>
      <c r="D507" s="186" t="s">
        <v>448</v>
      </c>
      <c r="E507" s="186" t="str">
        <f t="shared" si="1"/>
        <v>VF1500-202-BH</v>
      </c>
    </row>
    <row r="508">
      <c r="A508" s="188" t="s">
        <v>1483</v>
      </c>
      <c r="B508" s="186" t="s">
        <v>960</v>
      </c>
      <c r="C508" s="186" t="s">
        <v>447</v>
      </c>
      <c r="D508" s="186" t="s">
        <v>448</v>
      </c>
      <c r="E508" s="186" t="str">
        <f t="shared" si="1"/>
        <v>VF1500-202-FB</v>
      </c>
    </row>
    <row r="509">
      <c r="A509" s="188" t="s">
        <v>1484</v>
      </c>
      <c r="B509" s="189" t="s">
        <v>892</v>
      </c>
      <c r="C509" s="186" t="s">
        <v>447</v>
      </c>
      <c r="D509" s="186" t="s">
        <v>448</v>
      </c>
      <c r="E509" s="186" t="str">
        <f t="shared" si="1"/>
        <v>VF1500-202-PR1</v>
      </c>
    </row>
    <row r="510">
      <c r="A510" s="188" t="s">
        <v>1485</v>
      </c>
      <c r="B510" s="189" t="s">
        <v>944</v>
      </c>
      <c r="C510" s="186" t="s">
        <v>447</v>
      </c>
      <c r="D510" s="186" t="s">
        <v>448</v>
      </c>
      <c r="E510" s="186" t="str">
        <f t="shared" si="1"/>
        <v>VF1500-202-PR2</v>
      </c>
    </row>
    <row r="511">
      <c r="A511" s="188" t="s">
        <v>1486</v>
      </c>
      <c r="B511" s="186" t="s">
        <v>912</v>
      </c>
      <c r="C511" s="186" t="s">
        <v>447</v>
      </c>
      <c r="D511" s="186" t="s">
        <v>448</v>
      </c>
      <c r="E511" s="186" t="str">
        <f t="shared" si="1"/>
        <v>VF1500-202-CL</v>
      </c>
    </row>
    <row r="512">
      <c r="A512" s="188" t="s">
        <v>1488</v>
      </c>
      <c r="B512" s="189" t="s">
        <v>1489</v>
      </c>
      <c r="C512" s="186" t="s">
        <v>447</v>
      </c>
      <c r="D512" s="186" t="s">
        <v>448</v>
      </c>
      <c r="E512" s="186" t="str">
        <f t="shared" si="1"/>
        <v>VF1500-202-IFR</v>
      </c>
    </row>
    <row r="513">
      <c r="A513" s="188" t="s">
        <v>1492</v>
      </c>
      <c r="B513" s="186" t="s">
        <v>918</v>
      </c>
      <c r="C513" s="186" t="s">
        <v>447</v>
      </c>
      <c r="D513" s="186" t="s">
        <v>448</v>
      </c>
      <c r="E513" s="186" t="str">
        <f t="shared" si="1"/>
        <v>VF1500-202-FC</v>
      </c>
    </row>
    <row r="514">
      <c r="A514" s="185" t="s">
        <v>1494</v>
      </c>
      <c r="B514" s="189" t="s">
        <v>1495</v>
      </c>
      <c r="C514" s="186" t="s">
        <v>447</v>
      </c>
      <c r="D514" s="186" t="s">
        <v>448</v>
      </c>
      <c r="E514" s="186" t="str">
        <f t="shared" si="1"/>
        <v>VF1500-202-CBC</v>
      </c>
    </row>
    <row r="515">
      <c r="A515" s="185" t="s">
        <v>1453</v>
      </c>
      <c r="B515" s="186" t="s">
        <v>1372</v>
      </c>
      <c r="C515" s="186" t="s">
        <v>449</v>
      </c>
      <c r="D515" s="186" t="s">
        <v>450</v>
      </c>
      <c r="E515" s="186" t="str">
        <f t="shared" si="1"/>
        <v>VF1000-202-BD</v>
      </c>
    </row>
    <row r="516">
      <c r="A516" s="185" t="s">
        <v>663</v>
      </c>
      <c r="B516" s="186" t="s">
        <v>889</v>
      </c>
      <c r="C516" s="186" t="s">
        <v>449</v>
      </c>
      <c r="D516" s="186" t="s">
        <v>450</v>
      </c>
      <c r="E516" s="186" t="str">
        <f t="shared" si="1"/>
        <v>VF1000-202-CC</v>
      </c>
    </row>
    <row r="517">
      <c r="A517" s="188" t="s">
        <v>1454</v>
      </c>
      <c r="B517" s="186" t="s">
        <v>1086</v>
      </c>
      <c r="C517" s="186" t="s">
        <v>449</v>
      </c>
      <c r="D517" s="186" t="s">
        <v>450</v>
      </c>
      <c r="E517" s="186" t="str">
        <f t="shared" si="1"/>
        <v>VF1000-202-FA</v>
      </c>
    </row>
    <row r="518">
      <c r="A518" s="188" t="s">
        <v>1455</v>
      </c>
      <c r="B518" s="186" t="s">
        <v>899</v>
      </c>
      <c r="C518" s="186" t="s">
        <v>449</v>
      </c>
      <c r="D518" s="186" t="s">
        <v>450</v>
      </c>
      <c r="E518" s="186" t="str">
        <f t="shared" si="1"/>
        <v>VF1000-202-CU</v>
      </c>
    </row>
    <row r="519">
      <c r="A519" s="188" t="s">
        <v>1456</v>
      </c>
      <c r="B519" s="186" t="s">
        <v>902</v>
      </c>
      <c r="C519" s="186" t="s">
        <v>449</v>
      </c>
      <c r="D519" s="186" t="s">
        <v>450</v>
      </c>
      <c r="E519" s="186" t="str">
        <f t="shared" si="1"/>
        <v>VF1000-202-GB</v>
      </c>
    </row>
    <row r="520">
      <c r="A520" s="188" t="s">
        <v>1457</v>
      </c>
      <c r="B520" s="186" t="s">
        <v>931</v>
      </c>
      <c r="C520" s="186" t="s">
        <v>449</v>
      </c>
      <c r="D520" s="186" t="s">
        <v>450</v>
      </c>
      <c r="E520" s="186" t="str">
        <f t="shared" si="1"/>
        <v>VF1000-202-PF</v>
      </c>
    </row>
    <row r="521">
      <c r="A521" s="188" t="s">
        <v>1458</v>
      </c>
      <c r="B521" s="186" t="s">
        <v>928</v>
      </c>
      <c r="C521" s="186" t="s">
        <v>449</v>
      </c>
      <c r="D521" s="186" t="s">
        <v>450</v>
      </c>
      <c r="E521" s="186" t="str">
        <f t="shared" si="1"/>
        <v>VF1000-202-PPO</v>
      </c>
    </row>
    <row r="522">
      <c r="A522" s="188" t="s">
        <v>1459</v>
      </c>
      <c r="B522" s="186" t="s">
        <v>908</v>
      </c>
      <c r="C522" s="186" t="s">
        <v>449</v>
      </c>
      <c r="D522" s="186" t="s">
        <v>450</v>
      </c>
      <c r="E522" s="186" t="str">
        <f t="shared" si="1"/>
        <v>VF1000-202-POL</v>
      </c>
    </row>
    <row r="523">
      <c r="A523" s="185" t="s">
        <v>1460</v>
      </c>
      <c r="B523" s="189" t="s">
        <v>1461</v>
      </c>
      <c r="C523" s="186" t="s">
        <v>449</v>
      </c>
      <c r="D523" s="186" t="s">
        <v>450</v>
      </c>
      <c r="E523" s="186" t="str">
        <f t="shared" si="1"/>
        <v>VF1000-202-PR</v>
      </c>
    </row>
    <row r="524">
      <c r="A524" s="188" t="s">
        <v>1462</v>
      </c>
      <c r="B524" s="186" t="s">
        <v>629</v>
      </c>
      <c r="C524" s="186" t="s">
        <v>449</v>
      </c>
      <c r="D524" s="186" t="s">
        <v>450</v>
      </c>
      <c r="E524" s="186" t="str">
        <f t="shared" si="1"/>
        <v>VF1000-202-QC</v>
      </c>
    </row>
    <row r="525">
      <c r="A525" s="188" t="s">
        <v>1463</v>
      </c>
      <c r="B525" s="186" t="s">
        <v>1464</v>
      </c>
      <c r="C525" s="186" t="s">
        <v>449</v>
      </c>
      <c r="D525" s="186" t="s">
        <v>450</v>
      </c>
      <c r="E525" s="186" t="str">
        <f t="shared" si="1"/>
        <v>VF1000-202-RP1</v>
      </c>
    </row>
    <row r="526">
      <c r="A526" s="188" t="s">
        <v>1466</v>
      </c>
      <c r="B526" s="189" t="s">
        <v>1467</v>
      </c>
      <c r="C526" s="186" t="s">
        <v>449</v>
      </c>
      <c r="D526" s="186" t="s">
        <v>450</v>
      </c>
      <c r="E526" s="186" t="str">
        <f t="shared" si="1"/>
        <v>VF1000-202-RP2</v>
      </c>
    </row>
    <row r="527">
      <c r="A527" s="188" t="s">
        <v>1469</v>
      </c>
      <c r="B527" s="186" t="s">
        <v>1086</v>
      </c>
      <c r="C527" s="186" t="s">
        <v>449</v>
      </c>
      <c r="D527" s="186" t="s">
        <v>450</v>
      </c>
      <c r="E527" s="186" t="str">
        <f t="shared" si="1"/>
        <v>VF1000-202-FA</v>
      </c>
    </row>
    <row r="528">
      <c r="A528" s="188" t="s">
        <v>1470</v>
      </c>
      <c r="B528" s="186" t="s">
        <v>904</v>
      </c>
      <c r="C528" s="186" t="s">
        <v>449</v>
      </c>
      <c r="D528" s="186" t="s">
        <v>450</v>
      </c>
      <c r="E528" s="186" t="str">
        <f t="shared" si="1"/>
        <v>VF1000-202-SI</v>
      </c>
    </row>
    <row r="529">
      <c r="A529" s="188" t="s">
        <v>1471</v>
      </c>
      <c r="B529" s="186" t="s">
        <v>946</v>
      </c>
      <c r="C529" s="186" t="s">
        <v>449</v>
      </c>
      <c r="D529" s="186" t="s">
        <v>450</v>
      </c>
      <c r="E529" s="186" t="str">
        <f t="shared" si="1"/>
        <v>VF1000-202-SD</v>
      </c>
    </row>
    <row r="530">
      <c r="A530" s="188" t="s">
        <v>1472</v>
      </c>
      <c r="B530" s="186" t="s">
        <v>896</v>
      </c>
      <c r="C530" s="186" t="s">
        <v>449</v>
      </c>
      <c r="D530" s="186" t="s">
        <v>450</v>
      </c>
      <c r="E530" s="186" t="str">
        <f t="shared" si="1"/>
        <v>VF1000-202-SX</v>
      </c>
    </row>
    <row r="531">
      <c r="A531" s="188" t="s">
        <v>1474</v>
      </c>
      <c r="B531" s="186" t="s">
        <v>948</v>
      </c>
      <c r="C531" s="186" t="s">
        <v>449</v>
      </c>
      <c r="D531" s="186" t="s">
        <v>450</v>
      </c>
      <c r="E531" s="186" t="str">
        <f t="shared" si="1"/>
        <v>VF1000-202-SF</v>
      </c>
    </row>
    <row r="532">
      <c r="A532" s="188" t="s">
        <v>1476</v>
      </c>
      <c r="B532" s="186" t="s">
        <v>1477</v>
      </c>
      <c r="C532" s="186" t="s">
        <v>449</v>
      </c>
      <c r="D532" s="186" t="s">
        <v>450</v>
      </c>
      <c r="E532" s="186" t="str">
        <f t="shared" si="1"/>
        <v>VF1000-202-PC</v>
      </c>
    </row>
    <row r="533">
      <c r="A533" s="188" t="s">
        <v>1479</v>
      </c>
      <c r="B533" s="186" t="s">
        <v>914</v>
      </c>
      <c r="C533" s="186" t="s">
        <v>449</v>
      </c>
      <c r="D533" s="186" t="s">
        <v>450</v>
      </c>
      <c r="E533" s="186" t="str">
        <f t="shared" si="1"/>
        <v>VF1000-202-HH</v>
      </c>
    </row>
    <row r="534">
      <c r="A534" s="185" t="s">
        <v>1481</v>
      </c>
      <c r="B534" s="186" t="s">
        <v>916</v>
      </c>
      <c r="C534" s="186" t="s">
        <v>449</v>
      </c>
      <c r="D534" s="186" t="s">
        <v>450</v>
      </c>
      <c r="E534" s="186" t="str">
        <f t="shared" si="1"/>
        <v>VF1000-202-BH</v>
      </c>
    </row>
    <row r="535">
      <c r="A535" s="188" t="s">
        <v>1483</v>
      </c>
      <c r="B535" s="186" t="s">
        <v>960</v>
      </c>
      <c r="C535" s="186" t="s">
        <v>449</v>
      </c>
      <c r="D535" s="186" t="s">
        <v>450</v>
      </c>
      <c r="E535" s="186" t="str">
        <f t="shared" si="1"/>
        <v>VF1000-202-FB</v>
      </c>
    </row>
    <row r="536">
      <c r="A536" s="188" t="s">
        <v>1484</v>
      </c>
      <c r="B536" s="189" t="s">
        <v>892</v>
      </c>
      <c r="C536" s="186" t="s">
        <v>449</v>
      </c>
      <c r="D536" s="186" t="s">
        <v>450</v>
      </c>
      <c r="E536" s="186" t="str">
        <f t="shared" si="1"/>
        <v>VF1000-202-PR1</v>
      </c>
    </row>
    <row r="537">
      <c r="A537" s="188" t="s">
        <v>1485</v>
      </c>
      <c r="B537" s="189" t="s">
        <v>944</v>
      </c>
      <c r="C537" s="186" t="s">
        <v>449</v>
      </c>
      <c r="D537" s="186" t="s">
        <v>450</v>
      </c>
      <c r="E537" s="186" t="str">
        <f t="shared" si="1"/>
        <v>VF1000-202-PR2</v>
      </c>
    </row>
    <row r="538">
      <c r="A538" s="188" t="s">
        <v>1486</v>
      </c>
      <c r="B538" s="186" t="s">
        <v>912</v>
      </c>
      <c r="C538" s="186" t="s">
        <v>449</v>
      </c>
      <c r="D538" s="186" t="s">
        <v>450</v>
      </c>
      <c r="E538" s="186" t="str">
        <f t="shared" si="1"/>
        <v>VF1000-202-CL</v>
      </c>
    </row>
    <row r="539">
      <c r="A539" s="188" t="s">
        <v>1488</v>
      </c>
      <c r="B539" s="189" t="s">
        <v>1489</v>
      </c>
      <c r="C539" s="186" t="s">
        <v>449</v>
      </c>
      <c r="D539" s="186" t="s">
        <v>450</v>
      </c>
      <c r="E539" s="186" t="str">
        <f t="shared" si="1"/>
        <v>VF1000-202-IFR</v>
      </c>
    </row>
    <row r="540">
      <c r="A540" s="188" t="s">
        <v>1492</v>
      </c>
      <c r="B540" s="186" t="s">
        <v>918</v>
      </c>
      <c r="C540" s="186" t="s">
        <v>449</v>
      </c>
      <c r="D540" s="186" t="s">
        <v>450</v>
      </c>
      <c r="E540" s="186" t="str">
        <f t="shared" si="1"/>
        <v>VF1000-202-FC</v>
      </c>
    </row>
    <row r="541">
      <c r="A541" s="185" t="s">
        <v>1494</v>
      </c>
      <c r="B541" s="189" t="s">
        <v>1495</v>
      </c>
      <c r="C541" s="186" t="s">
        <v>449</v>
      </c>
      <c r="D541" s="186" t="s">
        <v>450</v>
      </c>
      <c r="E541" s="186" t="str">
        <f t="shared" si="1"/>
        <v>VF1000-202-CBC</v>
      </c>
    </row>
    <row r="542">
      <c r="A542" s="185" t="s">
        <v>1453</v>
      </c>
      <c r="B542" s="186" t="s">
        <v>1372</v>
      </c>
      <c r="C542" s="186" t="s">
        <v>451</v>
      </c>
      <c r="D542" s="186" t="s">
        <v>452</v>
      </c>
      <c r="E542" s="186" t="str">
        <f t="shared" si="1"/>
        <v>VF0400-202-BD</v>
      </c>
    </row>
    <row r="543">
      <c r="A543" s="185" t="s">
        <v>663</v>
      </c>
      <c r="B543" s="186" t="s">
        <v>889</v>
      </c>
      <c r="C543" s="186" t="s">
        <v>451</v>
      </c>
      <c r="D543" s="186" t="s">
        <v>452</v>
      </c>
      <c r="E543" s="186" t="str">
        <f t="shared" si="1"/>
        <v>VF0400-202-CC</v>
      </c>
    </row>
    <row r="544">
      <c r="A544" s="188" t="s">
        <v>1454</v>
      </c>
      <c r="B544" s="186" t="s">
        <v>1086</v>
      </c>
      <c r="C544" s="186" t="s">
        <v>451</v>
      </c>
      <c r="D544" s="186" t="s">
        <v>452</v>
      </c>
      <c r="E544" s="186" t="str">
        <f t="shared" si="1"/>
        <v>VF0400-202-FA</v>
      </c>
    </row>
    <row r="545">
      <c r="A545" s="188" t="s">
        <v>1455</v>
      </c>
      <c r="B545" s="186" t="s">
        <v>899</v>
      </c>
      <c r="C545" s="186" t="s">
        <v>451</v>
      </c>
      <c r="D545" s="186" t="s">
        <v>452</v>
      </c>
      <c r="E545" s="186" t="str">
        <f t="shared" si="1"/>
        <v>VF0400-202-CU</v>
      </c>
    </row>
    <row r="546">
      <c r="A546" s="188" t="s">
        <v>1456</v>
      </c>
      <c r="B546" s="186" t="s">
        <v>902</v>
      </c>
      <c r="C546" s="186" t="s">
        <v>451</v>
      </c>
      <c r="D546" s="186" t="s">
        <v>452</v>
      </c>
      <c r="E546" s="186" t="str">
        <f t="shared" si="1"/>
        <v>VF0400-202-GB</v>
      </c>
    </row>
    <row r="547">
      <c r="A547" s="188" t="s">
        <v>1457</v>
      </c>
      <c r="B547" s="186" t="s">
        <v>931</v>
      </c>
      <c r="C547" s="186" t="s">
        <v>451</v>
      </c>
      <c r="D547" s="186" t="s">
        <v>452</v>
      </c>
      <c r="E547" s="186" t="str">
        <f t="shared" si="1"/>
        <v>VF0400-202-PF</v>
      </c>
    </row>
    <row r="548">
      <c r="A548" s="188" t="s">
        <v>1458</v>
      </c>
      <c r="B548" s="186" t="s">
        <v>928</v>
      </c>
      <c r="C548" s="186" t="s">
        <v>451</v>
      </c>
      <c r="D548" s="186" t="s">
        <v>452</v>
      </c>
      <c r="E548" s="186" t="str">
        <f t="shared" si="1"/>
        <v>VF0400-202-PPO</v>
      </c>
    </row>
    <row r="549">
      <c r="A549" s="188" t="s">
        <v>1459</v>
      </c>
      <c r="B549" s="186" t="s">
        <v>908</v>
      </c>
      <c r="C549" s="186" t="s">
        <v>451</v>
      </c>
      <c r="D549" s="186" t="s">
        <v>452</v>
      </c>
      <c r="E549" s="186" t="str">
        <f t="shared" si="1"/>
        <v>VF0400-202-POL</v>
      </c>
    </row>
    <row r="550">
      <c r="A550" s="185" t="s">
        <v>1460</v>
      </c>
      <c r="B550" s="189" t="s">
        <v>1461</v>
      </c>
      <c r="C550" s="186" t="s">
        <v>451</v>
      </c>
      <c r="D550" s="186" t="s">
        <v>452</v>
      </c>
      <c r="E550" s="186" t="str">
        <f t="shared" si="1"/>
        <v>VF0400-202-PR</v>
      </c>
    </row>
    <row r="551">
      <c r="A551" s="188" t="s">
        <v>1462</v>
      </c>
      <c r="B551" s="186" t="s">
        <v>629</v>
      </c>
      <c r="C551" s="186" t="s">
        <v>451</v>
      </c>
      <c r="D551" s="186" t="s">
        <v>452</v>
      </c>
      <c r="E551" s="186" t="str">
        <f t="shared" si="1"/>
        <v>VF0400-202-QC</v>
      </c>
    </row>
    <row r="552">
      <c r="A552" s="188" t="s">
        <v>1463</v>
      </c>
      <c r="B552" s="186" t="s">
        <v>1464</v>
      </c>
      <c r="C552" s="186" t="s">
        <v>451</v>
      </c>
      <c r="D552" s="186" t="s">
        <v>452</v>
      </c>
      <c r="E552" s="186" t="str">
        <f t="shared" si="1"/>
        <v>VF0400-202-RP1</v>
      </c>
    </row>
    <row r="553">
      <c r="A553" s="188" t="s">
        <v>1466</v>
      </c>
      <c r="B553" s="189" t="s">
        <v>1467</v>
      </c>
      <c r="C553" s="186" t="s">
        <v>451</v>
      </c>
      <c r="D553" s="186" t="s">
        <v>452</v>
      </c>
      <c r="E553" s="186" t="str">
        <f t="shared" si="1"/>
        <v>VF0400-202-RP2</v>
      </c>
    </row>
    <row r="554">
      <c r="A554" s="188" t="s">
        <v>1469</v>
      </c>
      <c r="B554" s="186" t="s">
        <v>1086</v>
      </c>
      <c r="C554" s="186" t="s">
        <v>451</v>
      </c>
      <c r="D554" s="186" t="s">
        <v>452</v>
      </c>
      <c r="E554" s="186" t="str">
        <f t="shared" si="1"/>
        <v>VF0400-202-FA</v>
      </c>
    </row>
    <row r="555">
      <c r="A555" s="188" t="s">
        <v>1470</v>
      </c>
      <c r="B555" s="186" t="s">
        <v>904</v>
      </c>
      <c r="C555" s="186" t="s">
        <v>451</v>
      </c>
      <c r="D555" s="186" t="s">
        <v>452</v>
      </c>
      <c r="E555" s="186" t="str">
        <f t="shared" si="1"/>
        <v>VF0400-202-SI</v>
      </c>
    </row>
    <row r="556">
      <c r="A556" s="188" t="s">
        <v>1471</v>
      </c>
      <c r="B556" s="186" t="s">
        <v>946</v>
      </c>
      <c r="C556" s="186" t="s">
        <v>451</v>
      </c>
      <c r="D556" s="186" t="s">
        <v>452</v>
      </c>
      <c r="E556" s="186" t="str">
        <f t="shared" si="1"/>
        <v>VF0400-202-SD</v>
      </c>
    </row>
    <row r="557">
      <c r="A557" s="188" t="s">
        <v>1472</v>
      </c>
      <c r="B557" s="186" t="s">
        <v>896</v>
      </c>
      <c r="C557" s="186" t="s">
        <v>451</v>
      </c>
      <c r="D557" s="186" t="s">
        <v>452</v>
      </c>
      <c r="E557" s="186" t="str">
        <f t="shared" si="1"/>
        <v>VF0400-202-SX</v>
      </c>
    </row>
    <row r="558">
      <c r="A558" s="188" t="s">
        <v>1474</v>
      </c>
      <c r="B558" s="186" t="s">
        <v>948</v>
      </c>
      <c r="C558" s="186" t="s">
        <v>451</v>
      </c>
      <c r="D558" s="186" t="s">
        <v>452</v>
      </c>
      <c r="E558" s="186" t="str">
        <f t="shared" si="1"/>
        <v>VF0400-202-SF</v>
      </c>
    </row>
    <row r="559">
      <c r="A559" s="188" t="s">
        <v>1476</v>
      </c>
      <c r="B559" s="186" t="s">
        <v>1477</v>
      </c>
      <c r="C559" s="186" t="s">
        <v>451</v>
      </c>
      <c r="D559" s="186" t="s">
        <v>452</v>
      </c>
      <c r="E559" s="186" t="str">
        <f t="shared" si="1"/>
        <v>VF0400-202-PC</v>
      </c>
    </row>
    <row r="560">
      <c r="A560" s="188" t="s">
        <v>1479</v>
      </c>
      <c r="B560" s="186" t="s">
        <v>914</v>
      </c>
      <c r="C560" s="186" t="s">
        <v>451</v>
      </c>
      <c r="D560" s="186" t="s">
        <v>452</v>
      </c>
      <c r="E560" s="186" t="str">
        <f t="shared" si="1"/>
        <v>VF0400-202-HH</v>
      </c>
    </row>
    <row r="561">
      <c r="A561" s="185" t="s">
        <v>1481</v>
      </c>
      <c r="B561" s="186" t="s">
        <v>916</v>
      </c>
      <c r="C561" s="186" t="s">
        <v>451</v>
      </c>
      <c r="D561" s="186" t="s">
        <v>452</v>
      </c>
      <c r="E561" s="186" t="str">
        <f t="shared" si="1"/>
        <v>VF0400-202-BH</v>
      </c>
    </row>
    <row r="562">
      <c r="A562" s="188" t="s">
        <v>1483</v>
      </c>
      <c r="B562" s="186" t="s">
        <v>960</v>
      </c>
      <c r="C562" s="186" t="s">
        <v>451</v>
      </c>
      <c r="D562" s="186" t="s">
        <v>452</v>
      </c>
      <c r="E562" s="186" t="str">
        <f t="shared" si="1"/>
        <v>VF0400-202-FB</v>
      </c>
    </row>
    <row r="563">
      <c r="A563" s="188" t="s">
        <v>1484</v>
      </c>
      <c r="B563" s="189" t="s">
        <v>892</v>
      </c>
      <c r="C563" s="186" t="s">
        <v>451</v>
      </c>
      <c r="D563" s="186" t="s">
        <v>452</v>
      </c>
      <c r="E563" s="186" t="str">
        <f t="shared" si="1"/>
        <v>VF0400-202-PR1</v>
      </c>
    </row>
    <row r="564">
      <c r="A564" s="188" t="s">
        <v>1485</v>
      </c>
      <c r="B564" s="189" t="s">
        <v>944</v>
      </c>
      <c r="C564" s="186" t="s">
        <v>451</v>
      </c>
      <c r="D564" s="186" t="s">
        <v>452</v>
      </c>
      <c r="E564" s="186" t="str">
        <f t="shared" si="1"/>
        <v>VF0400-202-PR2</v>
      </c>
    </row>
    <row r="565">
      <c r="A565" s="188" t="s">
        <v>1486</v>
      </c>
      <c r="B565" s="186" t="s">
        <v>912</v>
      </c>
      <c r="C565" s="186" t="s">
        <v>451</v>
      </c>
      <c r="D565" s="186" t="s">
        <v>452</v>
      </c>
      <c r="E565" s="186" t="str">
        <f t="shared" si="1"/>
        <v>VF0400-202-CL</v>
      </c>
    </row>
    <row r="566">
      <c r="A566" s="188" t="s">
        <v>1488</v>
      </c>
      <c r="B566" s="189" t="s">
        <v>1489</v>
      </c>
      <c r="C566" s="186" t="s">
        <v>451</v>
      </c>
      <c r="D566" s="186" t="s">
        <v>452</v>
      </c>
      <c r="E566" s="186" t="str">
        <f t="shared" si="1"/>
        <v>VF0400-202-IFR</v>
      </c>
    </row>
    <row r="567">
      <c r="A567" s="188" t="s">
        <v>1492</v>
      </c>
      <c r="B567" s="186" t="s">
        <v>918</v>
      </c>
      <c r="C567" s="186" t="s">
        <v>451</v>
      </c>
      <c r="D567" s="186" t="s">
        <v>452</v>
      </c>
      <c r="E567" s="186" t="str">
        <f t="shared" si="1"/>
        <v>VF0400-202-FC</v>
      </c>
    </row>
    <row r="568">
      <c r="A568" s="185" t="s">
        <v>1494</v>
      </c>
      <c r="B568" s="189" t="s">
        <v>1495</v>
      </c>
      <c r="C568" s="186" t="s">
        <v>451</v>
      </c>
      <c r="D568" s="186" t="s">
        <v>452</v>
      </c>
      <c r="E568" s="186" t="str">
        <f t="shared" si="1"/>
        <v>VF0400-202-CBC</v>
      </c>
    </row>
    <row r="569">
      <c r="A569" s="185" t="s">
        <v>1453</v>
      </c>
      <c r="B569" s="186" t="s">
        <v>1372</v>
      </c>
      <c r="C569" s="186" t="s">
        <v>471</v>
      </c>
      <c r="D569" s="186" t="s">
        <v>1487</v>
      </c>
      <c r="E569" s="186" t="str">
        <f t="shared" si="1"/>
        <v>NJ1500-202-BD</v>
      </c>
    </row>
    <row r="570">
      <c r="A570" s="185" t="s">
        <v>663</v>
      </c>
      <c r="B570" s="186" t="s">
        <v>889</v>
      </c>
      <c r="C570" s="186" t="s">
        <v>471</v>
      </c>
      <c r="D570" s="186" t="s">
        <v>1487</v>
      </c>
      <c r="E570" s="186" t="str">
        <f t="shared" si="1"/>
        <v>NJ1500-202-CC</v>
      </c>
    </row>
    <row r="571">
      <c r="A571" s="188" t="s">
        <v>1454</v>
      </c>
      <c r="B571" s="186" t="s">
        <v>1086</v>
      </c>
      <c r="C571" s="186" t="s">
        <v>471</v>
      </c>
      <c r="D571" s="186" t="s">
        <v>1487</v>
      </c>
      <c r="E571" s="186" t="str">
        <f t="shared" si="1"/>
        <v>NJ1500-202-FA</v>
      </c>
    </row>
    <row r="572">
      <c r="A572" s="188" t="s">
        <v>1455</v>
      </c>
      <c r="B572" s="186" t="s">
        <v>899</v>
      </c>
      <c r="C572" s="186" t="s">
        <v>471</v>
      </c>
      <c r="D572" s="186" t="s">
        <v>1487</v>
      </c>
      <c r="E572" s="186" t="str">
        <f t="shared" si="1"/>
        <v>NJ1500-202-CU</v>
      </c>
    </row>
    <row r="573">
      <c r="A573" s="188" t="s">
        <v>1456</v>
      </c>
      <c r="B573" s="186" t="s">
        <v>902</v>
      </c>
      <c r="C573" s="186" t="s">
        <v>471</v>
      </c>
      <c r="D573" s="186" t="s">
        <v>1487</v>
      </c>
      <c r="E573" s="186" t="str">
        <f t="shared" si="1"/>
        <v>NJ1500-202-GB</v>
      </c>
    </row>
    <row r="574">
      <c r="A574" s="188" t="s">
        <v>1457</v>
      </c>
      <c r="B574" s="186" t="s">
        <v>931</v>
      </c>
      <c r="C574" s="186" t="s">
        <v>471</v>
      </c>
      <c r="D574" s="186" t="s">
        <v>1487</v>
      </c>
      <c r="E574" s="186" t="str">
        <f t="shared" si="1"/>
        <v>NJ1500-202-PF</v>
      </c>
    </row>
    <row r="575">
      <c r="A575" s="188" t="s">
        <v>1458</v>
      </c>
      <c r="B575" s="186" t="s">
        <v>928</v>
      </c>
      <c r="C575" s="186" t="s">
        <v>471</v>
      </c>
      <c r="D575" s="186" t="s">
        <v>1487</v>
      </c>
      <c r="E575" s="186" t="str">
        <f t="shared" si="1"/>
        <v>NJ1500-202-PPO</v>
      </c>
    </row>
    <row r="576">
      <c r="A576" s="188" t="s">
        <v>1459</v>
      </c>
      <c r="B576" s="186" t="s">
        <v>908</v>
      </c>
      <c r="C576" s="186" t="s">
        <v>471</v>
      </c>
      <c r="D576" s="186" t="s">
        <v>1487</v>
      </c>
      <c r="E576" s="186" t="str">
        <f t="shared" si="1"/>
        <v>NJ1500-202-POL</v>
      </c>
    </row>
    <row r="577">
      <c r="A577" s="185" t="s">
        <v>1460</v>
      </c>
      <c r="B577" s="189" t="s">
        <v>1461</v>
      </c>
      <c r="C577" s="186" t="s">
        <v>471</v>
      </c>
      <c r="D577" s="186" t="s">
        <v>1487</v>
      </c>
      <c r="E577" s="186" t="str">
        <f t="shared" si="1"/>
        <v>NJ1500-202-PR</v>
      </c>
    </row>
    <row r="578">
      <c r="A578" s="188" t="s">
        <v>1462</v>
      </c>
      <c r="B578" s="186" t="s">
        <v>629</v>
      </c>
      <c r="C578" s="186" t="s">
        <v>471</v>
      </c>
      <c r="D578" s="186" t="s">
        <v>1487</v>
      </c>
      <c r="E578" s="186" t="str">
        <f t="shared" si="1"/>
        <v>NJ1500-202-QC</v>
      </c>
    </row>
    <row r="579">
      <c r="A579" s="188" t="s">
        <v>1463</v>
      </c>
      <c r="B579" s="186" t="s">
        <v>1464</v>
      </c>
      <c r="C579" s="186" t="s">
        <v>471</v>
      </c>
      <c r="D579" s="186" t="s">
        <v>1487</v>
      </c>
      <c r="E579" s="186" t="str">
        <f t="shared" si="1"/>
        <v>NJ1500-202-RP1</v>
      </c>
    </row>
    <row r="580">
      <c r="A580" s="188" t="s">
        <v>1466</v>
      </c>
      <c r="B580" s="189" t="s">
        <v>1467</v>
      </c>
      <c r="C580" s="186" t="s">
        <v>471</v>
      </c>
      <c r="D580" s="186" t="s">
        <v>1487</v>
      </c>
      <c r="E580" s="186" t="str">
        <f t="shared" si="1"/>
        <v>NJ1500-202-RP2</v>
      </c>
    </row>
    <row r="581">
      <c r="A581" s="188" t="s">
        <v>1469</v>
      </c>
      <c r="B581" s="186" t="s">
        <v>1086</v>
      </c>
      <c r="C581" s="186" t="s">
        <v>471</v>
      </c>
      <c r="D581" s="186" t="s">
        <v>1487</v>
      </c>
      <c r="E581" s="186" t="str">
        <f t="shared" si="1"/>
        <v>NJ1500-202-FA</v>
      </c>
    </row>
    <row r="582">
      <c r="A582" s="188" t="s">
        <v>1470</v>
      </c>
      <c r="B582" s="186" t="s">
        <v>904</v>
      </c>
      <c r="C582" s="186" t="s">
        <v>471</v>
      </c>
      <c r="D582" s="186" t="s">
        <v>1487</v>
      </c>
      <c r="E582" s="186" t="str">
        <f t="shared" si="1"/>
        <v>NJ1500-202-SI</v>
      </c>
    </row>
    <row r="583">
      <c r="A583" s="188" t="s">
        <v>1471</v>
      </c>
      <c r="B583" s="186" t="s">
        <v>946</v>
      </c>
      <c r="C583" s="186" t="s">
        <v>471</v>
      </c>
      <c r="D583" s="186" t="s">
        <v>1487</v>
      </c>
      <c r="E583" s="186" t="str">
        <f t="shared" si="1"/>
        <v>NJ1500-202-SD</v>
      </c>
    </row>
    <row r="584">
      <c r="A584" s="188" t="s">
        <v>1472</v>
      </c>
      <c r="B584" s="186" t="s">
        <v>896</v>
      </c>
      <c r="C584" s="186" t="s">
        <v>471</v>
      </c>
      <c r="D584" s="186" t="s">
        <v>1487</v>
      </c>
      <c r="E584" s="186" t="str">
        <f t="shared" si="1"/>
        <v>NJ1500-202-SX</v>
      </c>
    </row>
    <row r="585">
      <c r="A585" s="188" t="s">
        <v>1474</v>
      </c>
      <c r="B585" s="186" t="s">
        <v>948</v>
      </c>
      <c r="C585" s="186" t="s">
        <v>471</v>
      </c>
      <c r="D585" s="186" t="s">
        <v>1487</v>
      </c>
      <c r="E585" s="186" t="str">
        <f t="shared" si="1"/>
        <v>NJ1500-202-SF</v>
      </c>
    </row>
    <row r="586">
      <c r="A586" s="188" t="s">
        <v>1476</v>
      </c>
      <c r="B586" s="186" t="s">
        <v>1477</v>
      </c>
      <c r="C586" s="186" t="s">
        <v>471</v>
      </c>
      <c r="D586" s="186" t="s">
        <v>1487</v>
      </c>
      <c r="E586" s="186" t="str">
        <f t="shared" si="1"/>
        <v>NJ1500-202-PC</v>
      </c>
    </row>
    <row r="587">
      <c r="A587" s="188" t="s">
        <v>1479</v>
      </c>
      <c r="B587" s="186" t="s">
        <v>914</v>
      </c>
      <c r="C587" s="186" t="s">
        <v>471</v>
      </c>
      <c r="D587" s="186" t="s">
        <v>1487</v>
      </c>
      <c r="E587" s="186" t="str">
        <f t="shared" si="1"/>
        <v>NJ1500-202-HH</v>
      </c>
    </row>
    <row r="588">
      <c r="A588" s="185" t="s">
        <v>1481</v>
      </c>
      <c r="B588" s="186" t="s">
        <v>916</v>
      </c>
      <c r="C588" s="186" t="s">
        <v>471</v>
      </c>
      <c r="D588" s="186" t="s">
        <v>1487</v>
      </c>
      <c r="E588" s="186" t="str">
        <f t="shared" si="1"/>
        <v>NJ1500-202-BH</v>
      </c>
    </row>
    <row r="589">
      <c r="A589" s="188" t="s">
        <v>1483</v>
      </c>
      <c r="B589" s="186" t="s">
        <v>960</v>
      </c>
      <c r="C589" s="186" t="s">
        <v>471</v>
      </c>
      <c r="D589" s="186" t="s">
        <v>1487</v>
      </c>
      <c r="E589" s="186" t="str">
        <f t="shared" si="1"/>
        <v>NJ1500-202-FB</v>
      </c>
    </row>
    <row r="590">
      <c r="A590" s="188" t="s">
        <v>1484</v>
      </c>
      <c r="B590" s="189" t="s">
        <v>892</v>
      </c>
      <c r="C590" s="186" t="s">
        <v>471</v>
      </c>
      <c r="D590" s="186" t="s">
        <v>1487</v>
      </c>
      <c r="E590" s="186" t="str">
        <f t="shared" si="1"/>
        <v>NJ1500-202-PR1</v>
      </c>
    </row>
    <row r="591">
      <c r="A591" s="188" t="s">
        <v>1485</v>
      </c>
      <c r="B591" s="189" t="s">
        <v>944</v>
      </c>
      <c r="C591" s="186" t="s">
        <v>471</v>
      </c>
      <c r="D591" s="186" t="s">
        <v>1487</v>
      </c>
      <c r="E591" s="186" t="str">
        <f t="shared" si="1"/>
        <v>NJ1500-202-PR2</v>
      </c>
    </row>
    <row r="592">
      <c r="A592" s="188" t="s">
        <v>1486</v>
      </c>
      <c r="B592" s="186" t="s">
        <v>912</v>
      </c>
      <c r="C592" s="186" t="s">
        <v>471</v>
      </c>
      <c r="D592" s="186" t="s">
        <v>1487</v>
      </c>
      <c r="E592" s="186" t="str">
        <f t="shared" si="1"/>
        <v>NJ1500-202-CL</v>
      </c>
    </row>
    <row r="593">
      <c r="A593" s="188" t="s">
        <v>1488</v>
      </c>
      <c r="B593" s="189" t="s">
        <v>1489</v>
      </c>
      <c r="C593" s="186" t="s">
        <v>471</v>
      </c>
      <c r="D593" s="186" t="s">
        <v>1487</v>
      </c>
      <c r="E593" s="186" t="str">
        <f t="shared" si="1"/>
        <v>NJ1500-202-IFR</v>
      </c>
    </row>
    <row r="594">
      <c r="A594" s="188" t="s">
        <v>1492</v>
      </c>
      <c r="B594" s="186" t="s">
        <v>918</v>
      </c>
      <c r="C594" s="186" t="s">
        <v>471</v>
      </c>
      <c r="D594" s="186" t="s">
        <v>1487</v>
      </c>
      <c r="E594" s="186" t="str">
        <f t="shared" si="1"/>
        <v>NJ1500-202-FC</v>
      </c>
    </row>
    <row r="595">
      <c r="A595" s="185" t="s">
        <v>1494</v>
      </c>
      <c r="B595" s="189" t="s">
        <v>1495</v>
      </c>
      <c r="C595" s="186" t="s">
        <v>471</v>
      </c>
      <c r="D595" s="186" t="s">
        <v>1487</v>
      </c>
      <c r="E595" s="186" t="str">
        <f t="shared" si="1"/>
        <v>NJ1500-202-CBC</v>
      </c>
    </row>
    <row r="596">
      <c r="A596" s="185" t="s">
        <v>1453</v>
      </c>
      <c r="B596" s="186" t="s">
        <v>1372</v>
      </c>
      <c r="C596" s="186" t="s">
        <v>473</v>
      </c>
      <c r="D596" s="186" t="s">
        <v>1491</v>
      </c>
      <c r="E596" s="186" t="str">
        <f t="shared" si="1"/>
        <v>NJ1000-202-BD</v>
      </c>
    </row>
    <row r="597">
      <c r="A597" s="185" t="s">
        <v>663</v>
      </c>
      <c r="B597" s="186" t="s">
        <v>889</v>
      </c>
      <c r="C597" s="186" t="s">
        <v>473</v>
      </c>
      <c r="D597" s="186" t="s">
        <v>1491</v>
      </c>
      <c r="E597" s="186" t="str">
        <f t="shared" si="1"/>
        <v>NJ1000-202-CC</v>
      </c>
    </row>
    <row r="598">
      <c r="A598" s="188" t="s">
        <v>1454</v>
      </c>
      <c r="B598" s="186" t="s">
        <v>1086</v>
      </c>
      <c r="C598" s="186" t="s">
        <v>473</v>
      </c>
      <c r="D598" s="186" t="s">
        <v>1491</v>
      </c>
      <c r="E598" s="186" t="str">
        <f t="shared" si="1"/>
        <v>NJ1000-202-FA</v>
      </c>
    </row>
    <row r="599">
      <c r="A599" s="188" t="s">
        <v>1455</v>
      </c>
      <c r="B599" s="186" t="s">
        <v>899</v>
      </c>
      <c r="C599" s="186" t="s">
        <v>473</v>
      </c>
      <c r="D599" s="186" t="s">
        <v>1491</v>
      </c>
      <c r="E599" s="186" t="str">
        <f t="shared" si="1"/>
        <v>NJ1000-202-CU</v>
      </c>
    </row>
    <row r="600">
      <c r="A600" s="188" t="s">
        <v>1456</v>
      </c>
      <c r="B600" s="186" t="s">
        <v>902</v>
      </c>
      <c r="C600" s="186" t="s">
        <v>473</v>
      </c>
      <c r="D600" s="186" t="s">
        <v>1491</v>
      </c>
      <c r="E600" s="186" t="str">
        <f t="shared" si="1"/>
        <v>NJ1000-202-GB</v>
      </c>
    </row>
    <row r="601">
      <c r="A601" s="188" t="s">
        <v>1457</v>
      </c>
      <c r="B601" s="186" t="s">
        <v>931</v>
      </c>
      <c r="C601" s="186" t="s">
        <v>473</v>
      </c>
      <c r="D601" s="186" t="s">
        <v>1491</v>
      </c>
      <c r="E601" s="186" t="str">
        <f t="shared" si="1"/>
        <v>NJ1000-202-PF</v>
      </c>
    </row>
    <row r="602">
      <c r="A602" s="188" t="s">
        <v>1458</v>
      </c>
      <c r="B602" s="186" t="s">
        <v>928</v>
      </c>
      <c r="C602" s="186" t="s">
        <v>473</v>
      </c>
      <c r="D602" s="186" t="s">
        <v>1491</v>
      </c>
      <c r="E602" s="186" t="str">
        <f t="shared" si="1"/>
        <v>NJ1000-202-PPO</v>
      </c>
    </row>
    <row r="603">
      <c r="A603" s="188" t="s">
        <v>1459</v>
      </c>
      <c r="B603" s="186" t="s">
        <v>908</v>
      </c>
      <c r="C603" s="186" t="s">
        <v>473</v>
      </c>
      <c r="D603" s="186" t="s">
        <v>1491</v>
      </c>
      <c r="E603" s="186" t="str">
        <f t="shared" si="1"/>
        <v>NJ1000-202-POL</v>
      </c>
    </row>
    <row r="604">
      <c r="A604" s="185" t="s">
        <v>1460</v>
      </c>
      <c r="B604" s="189" t="s">
        <v>1461</v>
      </c>
      <c r="C604" s="186" t="s">
        <v>473</v>
      </c>
      <c r="D604" s="186" t="s">
        <v>1491</v>
      </c>
      <c r="E604" s="186" t="str">
        <f t="shared" si="1"/>
        <v>NJ1000-202-PR</v>
      </c>
    </row>
    <row r="605">
      <c r="A605" s="188" t="s">
        <v>1462</v>
      </c>
      <c r="B605" s="186" t="s">
        <v>629</v>
      </c>
      <c r="C605" s="186" t="s">
        <v>473</v>
      </c>
      <c r="D605" s="186" t="s">
        <v>1491</v>
      </c>
      <c r="E605" s="186" t="str">
        <f t="shared" si="1"/>
        <v>NJ1000-202-QC</v>
      </c>
    </row>
    <row r="606">
      <c r="A606" s="188" t="s">
        <v>1463</v>
      </c>
      <c r="B606" s="186" t="s">
        <v>1464</v>
      </c>
      <c r="C606" s="186" t="s">
        <v>473</v>
      </c>
      <c r="D606" s="186" t="s">
        <v>1491</v>
      </c>
      <c r="E606" s="186" t="str">
        <f t="shared" si="1"/>
        <v>NJ1000-202-RP1</v>
      </c>
    </row>
    <row r="607">
      <c r="A607" s="188" t="s">
        <v>1466</v>
      </c>
      <c r="B607" s="189" t="s">
        <v>1467</v>
      </c>
      <c r="C607" s="186" t="s">
        <v>473</v>
      </c>
      <c r="D607" s="186" t="s">
        <v>1491</v>
      </c>
      <c r="E607" s="186" t="str">
        <f t="shared" si="1"/>
        <v>NJ1000-202-RP2</v>
      </c>
    </row>
    <row r="608">
      <c r="A608" s="188" t="s">
        <v>1469</v>
      </c>
      <c r="B608" s="186" t="s">
        <v>1086</v>
      </c>
      <c r="C608" s="186" t="s">
        <v>473</v>
      </c>
      <c r="D608" s="186" t="s">
        <v>1491</v>
      </c>
      <c r="E608" s="186" t="str">
        <f t="shared" si="1"/>
        <v>NJ1000-202-FA</v>
      </c>
    </row>
    <row r="609">
      <c r="A609" s="188" t="s">
        <v>1470</v>
      </c>
      <c r="B609" s="186" t="s">
        <v>904</v>
      </c>
      <c r="C609" s="186" t="s">
        <v>473</v>
      </c>
      <c r="D609" s="186" t="s">
        <v>1491</v>
      </c>
      <c r="E609" s="186" t="str">
        <f t="shared" si="1"/>
        <v>NJ1000-202-SI</v>
      </c>
    </row>
    <row r="610">
      <c r="A610" s="188" t="s">
        <v>1471</v>
      </c>
      <c r="B610" s="186" t="s">
        <v>946</v>
      </c>
      <c r="C610" s="186" t="s">
        <v>473</v>
      </c>
      <c r="D610" s="186" t="s">
        <v>1491</v>
      </c>
      <c r="E610" s="186" t="str">
        <f t="shared" si="1"/>
        <v>NJ1000-202-SD</v>
      </c>
    </row>
    <row r="611">
      <c r="A611" s="188" t="s">
        <v>1472</v>
      </c>
      <c r="B611" s="186" t="s">
        <v>896</v>
      </c>
      <c r="C611" s="186" t="s">
        <v>473</v>
      </c>
      <c r="D611" s="186" t="s">
        <v>1491</v>
      </c>
      <c r="E611" s="186" t="str">
        <f t="shared" si="1"/>
        <v>NJ1000-202-SX</v>
      </c>
    </row>
    <row r="612">
      <c r="A612" s="188" t="s">
        <v>1474</v>
      </c>
      <c r="B612" s="186" t="s">
        <v>948</v>
      </c>
      <c r="C612" s="186" t="s">
        <v>473</v>
      </c>
      <c r="D612" s="186" t="s">
        <v>1491</v>
      </c>
      <c r="E612" s="186" t="str">
        <f t="shared" si="1"/>
        <v>NJ1000-202-SF</v>
      </c>
    </row>
    <row r="613">
      <c r="A613" s="188" t="s">
        <v>1476</v>
      </c>
      <c r="B613" s="186" t="s">
        <v>1477</v>
      </c>
      <c r="C613" s="186" t="s">
        <v>473</v>
      </c>
      <c r="D613" s="186" t="s">
        <v>1491</v>
      </c>
      <c r="E613" s="186" t="str">
        <f t="shared" si="1"/>
        <v>NJ1000-202-PC</v>
      </c>
    </row>
    <row r="614">
      <c r="A614" s="188" t="s">
        <v>1479</v>
      </c>
      <c r="B614" s="186" t="s">
        <v>914</v>
      </c>
      <c r="C614" s="186" t="s">
        <v>473</v>
      </c>
      <c r="D614" s="186" t="s">
        <v>1491</v>
      </c>
      <c r="E614" s="186" t="str">
        <f t="shared" si="1"/>
        <v>NJ1000-202-HH</v>
      </c>
    </row>
    <row r="615">
      <c r="A615" s="185" t="s">
        <v>1481</v>
      </c>
      <c r="B615" s="186" t="s">
        <v>916</v>
      </c>
      <c r="C615" s="186" t="s">
        <v>473</v>
      </c>
      <c r="D615" s="186" t="s">
        <v>1491</v>
      </c>
      <c r="E615" s="186" t="str">
        <f t="shared" si="1"/>
        <v>NJ1000-202-BH</v>
      </c>
    </row>
    <row r="616">
      <c r="A616" s="188" t="s">
        <v>1483</v>
      </c>
      <c r="B616" s="186" t="s">
        <v>960</v>
      </c>
      <c r="C616" s="186" t="s">
        <v>473</v>
      </c>
      <c r="D616" s="186" t="s">
        <v>1491</v>
      </c>
      <c r="E616" s="186" t="str">
        <f t="shared" si="1"/>
        <v>NJ1000-202-FB</v>
      </c>
    </row>
    <row r="617">
      <c r="A617" s="188" t="s">
        <v>1484</v>
      </c>
      <c r="B617" s="189" t="s">
        <v>892</v>
      </c>
      <c r="C617" s="186" t="s">
        <v>473</v>
      </c>
      <c r="D617" s="186" t="s">
        <v>1491</v>
      </c>
      <c r="E617" s="186" t="str">
        <f t="shared" si="1"/>
        <v>NJ1000-202-PR1</v>
      </c>
    </row>
    <row r="618">
      <c r="A618" s="188" t="s">
        <v>1485</v>
      </c>
      <c r="B618" s="189" t="s">
        <v>944</v>
      </c>
      <c r="C618" s="186" t="s">
        <v>473</v>
      </c>
      <c r="D618" s="186" t="s">
        <v>1491</v>
      </c>
      <c r="E618" s="186" t="str">
        <f t="shared" si="1"/>
        <v>NJ1000-202-PR2</v>
      </c>
    </row>
    <row r="619">
      <c r="A619" s="188" t="s">
        <v>1486</v>
      </c>
      <c r="B619" s="186" t="s">
        <v>912</v>
      </c>
      <c r="C619" s="186" t="s">
        <v>473</v>
      </c>
      <c r="D619" s="186" t="s">
        <v>1491</v>
      </c>
      <c r="E619" s="186" t="str">
        <f t="shared" si="1"/>
        <v>NJ1000-202-CL</v>
      </c>
    </row>
    <row r="620">
      <c r="A620" s="188" t="s">
        <v>1488</v>
      </c>
      <c r="B620" s="189" t="s">
        <v>1489</v>
      </c>
      <c r="C620" s="186" t="s">
        <v>473</v>
      </c>
      <c r="D620" s="186" t="s">
        <v>1491</v>
      </c>
      <c r="E620" s="186" t="str">
        <f t="shared" si="1"/>
        <v>NJ1000-202-IFR</v>
      </c>
    </row>
    <row r="621">
      <c r="A621" s="188" t="s">
        <v>1492</v>
      </c>
      <c r="B621" s="186" t="s">
        <v>918</v>
      </c>
      <c r="C621" s="186" t="s">
        <v>473</v>
      </c>
      <c r="D621" s="186" t="s">
        <v>1491</v>
      </c>
      <c r="E621" s="186" t="str">
        <f t="shared" si="1"/>
        <v>NJ1000-202-FC</v>
      </c>
    </row>
    <row r="622">
      <c r="A622" s="185" t="s">
        <v>1494</v>
      </c>
      <c r="B622" s="189" t="s">
        <v>1495</v>
      </c>
      <c r="C622" s="186" t="s">
        <v>473</v>
      </c>
      <c r="D622" s="186" t="s">
        <v>1491</v>
      </c>
      <c r="E622" s="186" t="str">
        <f t="shared" si="1"/>
        <v>NJ1000-202-CBC</v>
      </c>
    </row>
    <row r="623">
      <c r="A623" s="185" t="s">
        <v>1453</v>
      </c>
      <c r="B623" s="186" t="s">
        <v>1372</v>
      </c>
      <c r="C623" s="186" t="s">
        <v>475</v>
      </c>
      <c r="D623" s="186" t="s">
        <v>1493</v>
      </c>
      <c r="E623" s="186" t="str">
        <f t="shared" si="1"/>
        <v>NJ0400-202-BD</v>
      </c>
    </row>
    <row r="624">
      <c r="A624" s="185" t="s">
        <v>663</v>
      </c>
      <c r="B624" s="186" t="s">
        <v>889</v>
      </c>
      <c r="C624" s="186" t="s">
        <v>475</v>
      </c>
      <c r="D624" s="186" t="s">
        <v>1493</v>
      </c>
      <c r="E624" s="186" t="str">
        <f t="shared" si="1"/>
        <v>NJ0400-202-CC</v>
      </c>
    </row>
    <row r="625">
      <c r="A625" s="188" t="s">
        <v>1454</v>
      </c>
      <c r="B625" s="186" t="s">
        <v>1086</v>
      </c>
      <c r="C625" s="186" t="s">
        <v>475</v>
      </c>
      <c r="D625" s="186" t="s">
        <v>1493</v>
      </c>
      <c r="E625" s="186" t="str">
        <f t="shared" si="1"/>
        <v>NJ0400-202-FA</v>
      </c>
    </row>
    <row r="626">
      <c r="A626" s="188" t="s">
        <v>1455</v>
      </c>
      <c r="B626" s="186" t="s">
        <v>899</v>
      </c>
      <c r="C626" s="186" t="s">
        <v>475</v>
      </c>
      <c r="D626" s="186" t="s">
        <v>1493</v>
      </c>
      <c r="E626" s="186" t="str">
        <f t="shared" si="1"/>
        <v>NJ0400-202-CU</v>
      </c>
    </row>
    <row r="627">
      <c r="A627" s="188" t="s">
        <v>1456</v>
      </c>
      <c r="B627" s="186" t="s">
        <v>902</v>
      </c>
      <c r="C627" s="186" t="s">
        <v>475</v>
      </c>
      <c r="D627" s="186" t="s">
        <v>1493</v>
      </c>
      <c r="E627" s="186" t="str">
        <f t="shared" si="1"/>
        <v>NJ0400-202-GB</v>
      </c>
    </row>
    <row r="628">
      <c r="A628" s="188" t="s">
        <v>1457</v>
      </c>
      <c r="B628" s="186" t="s">
        <v>931</v>
      </c>
      <c r="C628" s="186" t="s">
        <v>475</v>
      </c>
      <c r="D628" s="186" t="s">
        <v>1493</v>
      </c>
      <c r="E628" s="186" t="str">
        <f t="shared" si="1"/>
        <v>NJ0400-202-PF</v>
      </c>
    </row>
    <row r="629">
      <c r="A629" s="188" t="s">
        <v>1458</v>
      </c>
      <c r="B629" s="186" t="s">
        <v>928</v>
      </c>
      <c r="C629" s="186" t="s">
        <v>475</v>
      </c>
      <c r="D629" s="186" t="s">
        <v>1493</v>
      </c>
      <c r="E629" s="186" t="str">
        <f t="shared" si="1"/>
        <v>NJ0400-202-PPO</v>
      </c>
    </row>
    <row r="630">
      <c r="A630" s="188" t="s">
        <v>1459</v>
      </c>
      <c r="B630" s="186" t="s">
        <v>908</v>
      </c>
      <c r="C630" s="186" t="s">
        <v>475</v>
      </c>
      <c r="D630" s="186" t="s">
        <v>1493</v>
      </c>
      <c r="E630" s="186" t="str">
        <f t="shared" si="1"/>
        <v>NJ0400-202-POL</v>
      </c>
    </row>
    <row r="631">
      <c r="A631" s="185" t="s">
        <v>1460</v>
      </c>
      <c r="B631" s="189" t="s">
        <v>1461</v>
      </c>
      <c r="C631" s="186" t="s">
        <v>475</v>
      </c>
      <c r="D631" s="186" t="s">
        <v>1493</v>
      </c>
      <c r="E631" s="186" t="str">
        <f t="shared" si="1"/>
        <v>NJ0400-202-PR</v>
      </c>
    </row>
    <row r="632">
      <c r="A632" s="188" t="s">
        <v>1462</v>
      </c>
      <c r="B632" s="186" t="s">
        <v>629</v>
      </c>
      <c r="C632" s="186" t="s">
        <v>475</v>
      </c>
      <c r="D632" s="186" t="s">
        <v>1493</v>
      </c>
      <c r="E632" s="186" t="str">
        <f t="shared" si="1"/>
        <v>NJ0400-202-QC</v>
      </c>
    </row>
    <row r="633">
      <c r="A633" s="188" t="s">
        <v>1463</v>
      </c>
      <c r="B633" s="186" t="s">
        <v>1464</v>
      </c>
      <c r="C633" s="186" t="s">
        <v>475</v>
      </c>
      <c r="D633" s="186" t="s">
        <v>1493</v>
      </c>
      <c r="E633" s="186" t="str">
        <f t="shared" si="1"/>
        <v>NJ0400-202-RP1</v>
      </c>
    </row>
    <row r="634">
      <c r="A634" s="188" t="s">
        <v>1466</v>
      </c>
      <c r="B634" s="189" t="s">
        <v>1467</v>
      </c>
      <c r="C634" s="186" t="s">
        <v>475</v>
      </c>
      <c r="D634" s="186" t="s">
        <v>1493</v>
      </c>
      <c r="E634" s="186" t="str">
        <f t="shared" si="1"/>
        <v>NJ0400-202-RP2</v>
      </c>
    </row>
    <row r="635">
      <c r="A635" s="188" t="s">
        <v>1469</v>
      </c>
      <c r="B635" s="186" t="s">
        <v>1086</v>
      </c>
      <c r="C635" s="186" t="s">
        <v>475</v>
      </c>
      <c r="D635" s="186" t="s">
        <v>1493</v>
      </c>
      <c r="E635" s="186" t="str">
        <f t="shared" si="1"/>
        <v>NJ0400-202-FA</v>
      </c>
    </row>
    <row r="636">
      <c r="A636" s="188" t="s">
        <v>1470</v>
      </c>
      <c r="B636" s="186" t="s">
        <v>904</v>
      </c>
      <c r="C636" s="186" t="s">
        <v>475</v>
      </c>
      <c r="D636" s="186" t="s">
        <v>1493</v>
      </c>
      <c r="E636" s="186" t="str">
        <f t="shared" si="1"/>
        <v>NJ0400-202-SI</v>
      </c>
    </row>
    <row r="637">
      <c r="A637" s="188" t="s">
        <v>1471</v>
      </c>
      <c r="B637" s="186" t="s">
        <v>946</v>
      </c>
      <c r="C637" s="186" t="s">
        <v>475</v>
      </c>
      <c r="D637" s="186" t="s">
        <v>1493</v>
      </c>
      <c r="E637" s="186" t="str">
        <f t="shared" si="1"/>
        <v>NJ0400-202-SD</v>
      </c>
    </row>
    <row r="638">
      <c r="A638" s="188" t="s">
        <v>1472</v>
      </c>
      <c r="B638" s="186" t="s">
        <v>896</v>
      </c>
      <c r="C638" s="186" t="s">
        <v>475</v>
      </c>
      <c r="D638" s="186" t="s">
        <v>1493</v>
      </c>
      <c r="E638" s="186" t="str">
        <f t="shared" si="1"/>
        <v>NJ0400-202-SX</v>
      </c>
    </row>
    <row r="639">
      <c r="A639" s="188" t="s">
        <v>1474</v>
      </c>
      <c r="B639" s="186" t="s">
        <v>948</v>
      </c>
      <c r="C639" s="186" t="s">
        <v>475</v>
      </c>
      <c r="D639" s="186" t="s">
        <v>1493</v>
      </c>
      <c r="E639" s="186" t="str">
        <f t="shared" si="1"/>
        <v>NJ0400-202-SF</v>
      </c>
    </row>
    <row r="640">
      <c r="A640" s="188" t="s">
        <v>1476</v>
      </c>
      <c r="B640" s="186" t="s">
        <v>1477</v>
      </c>
      <c r="C640" s="186" t="s">
        <v>475</v>
      </c>
      <c r="D640" s="186" t="s">
        <v>1493</v>
      </c>
      <c r="E640" s="186" t="str">
        <f t="shared" si="1"/>
        <v>NJ0400-202-PC</v>
      </c>
    </row>
    <row r="641">
      <c r="A641" s="188" t="s">
        <v>1479</v>
      </c>
      <c r="B641" s="186" t="s">
        <v>914</v>
      </c>
      <c r="C641" s="186" t="s">
        <v>475</v>
      </c>
      <c r="D641" s="186" t="s">
        <v>1493</v>
      </c>
      <c r="E641" s="186" t="str">
        <f t="shared" si="1"/>
        <v>NJ0400-202-HH</v>
      </c>
    </row>
    <row r="642">
      <c r="A642" s="185" t="s">
        <v>1481</v>
      </c>
      <c r="B642" s="186" t="s">
        <v>916</v>
      </c>
      <c r="C642" s="186" t="s">
        <v>475</v>
      </c>
      <c r="D642" s="186" t="s">
        <v>1493</v>
      </c>
      <c r="E642" s="186" t="str">
        <f t="shared" si="1"/>
        <v>NJ0400-202-BH</v>
      </c>
    </row>
    <row r="643">
      <c r="A643" s="188" t="s">
        <v>1483</v>
      </c>
      <c r="B643" s="186" t="s">
        <v>960</v>
      </c>
      <c r="C643" s="186" t="s">
        <v>475</v>
      </c>
      <c r="D643" s="186" t="s">
        <v>1493</v>
      </c>
      <c r="E643" s="186" t="str">
        <f t="shared" si="1"/>
        <v>NJ0400-202-FB</v>
      </c>
    </row>
    <row r="644">
      <c r="A644" s="188" t="s">
        <v>1484</v>
      </c>
      <c r="B644" s="189" t="s">
        <v>892</v>
      </c>
      <c r="C644" s="186" t="s">
        <v>475</v>
      </c>
      <c r="D644" s="186" t="s">
        <v>1493</v>
      </c>
      <c r="E644" s="186" t="str">
        <f t="shared" si="1"/>
        <v>NJ0400-202-PR1</v>
      </c>
    </row>
    <row r="645">
      <c r="A645" s="188" t="s">
        <v>1485</v>
      </c>
      <c r="B645" s="189" t="s">
        <v>944</v>
      </c>
      <c r="C645" s="186" t="s">
        <v>475</v>
      </c>
      <c r="D645" s="186" t="s">
        <v>1493</v>
      </c>
      <c r="E645" s="186" t="str">
        <f t="shared" si="1"/>
        <v>NJ0400-202-PR2</v>
      </c>
    </row>
    <row r="646">
      <c r="A646" s="188" t="s">
        <v>1486</v>
      </c>
      <c r="B646" s="186" t="s">
        <v>912</v>
      </c>
      <c r="C646" s="186" t="s">
        <v>475</v>
      </c>
      <c r="D646" s="186" t="s">
        <v>1493</v>
      </c>
      <c r="E646" s="186" t="str">
        <f t="shared" si="1"/>
        <v>NJ0400-202-CL</v>
      </c>
    </row>
    <row r="647">
      <c r="A647" s="188" t="s">
        <v>1488</v>
      </c>
      <c r="B647" s="189" t="s">
        <v>1489</v>
      </c>
      <c r="C647" s="186" t="s">
        <v>475</v>
      </c>
      <c r="D647" s="186" t="s">
        <v>1493</v>
      </c>
      <c r="E647" s="186" t="str">
        <f t="shared" si="1"/>
        <v>NJ0400-202-IFR</v>
      </c>
    </row>
    <row r="648">
      <c r="A648" s="188" t="s">
        <v>1492</v>
      </c>
      <c r="B648" s="186" t="s">
        <v>918</v>
      </c>
      <c r="C648" s="186" t="s">
        <v>475</v>
      </c>
      <c r="D648" s="186" t="s">
        <v>1493</v>
      </c>
      <c r="E648" s="186" t="str">
        <f t="shared" si="1"/>
        <v>NJ0400-202-FC</v>
      </c>
    </row>
    <row r="649">
      <c r="A649" s="185" t="s">
        <v>1494</v>
      </c>
      <c r="B649" s="189" t="s">
        <v>1495</v>
      </c>
      <c r="C649" s="186" t="s">
        <v>475</v>
      </c>
      <c r="D649" s="186" t="s">
        <v>1493</v>
      </c>
      <c r="E649" s="186" t="str">
        <f t="shared" si="1"/>
        <v>NJ0400-202-CBC</v>
      </c>
    </row>
    <row r="650">
      <c r="A650" s="185" t="s">
        <v>1453</v>
      </c>
      <c r="B650" s="186" t="s">
        <v>1372</v>
      </c>
      <c r="C650" s="186" t="s">
        <v>435</v>
      </c>
      <c r="D650" s="186" t="s">
        <v>436</v>
      </c>
      <c r="E650" s="186" t="str">
        <f t="shared" si="1"/>
        <v>PF1500-202-BD</v>
      </c>
    </row>
    <row r="651">
      <c r="A651" s="185" t="s">
        <v>663</v>
      </c>
      <c r="B651" s="186" t="s">
        <v>889</v>
      </c>
      <c r="C651" s="186" t="s">
        <v>435</v>
      </c>
      <c r="D651" s="186" t="s">
        <v>436</v>
      </c>
      <c r="E651" s="186" t="str">
        <f t="shared" si="1"/>
        <v>PF1500-202-CC</v>
      </c>
    </row>
    <row r="652">
      <c r="A652" s="188" t="s">
        <v>1454</v>
      </c>
      <c r="B652" s="186" t="s">
        <v>1086</v>
      </c>
      <c r="C652" s="186" t="s">
        <v>435</v>
      </c>
      <c r="D652" s="186" t="s">
        <v>436</v>
      </c>
      <c r="E652" s="186" t="str">
        <f t="shared" si="1"/>
        <v>PF1500-202-FA</v>
      </c>
    </row>
    <row r="653">
      <c r="A653" s="188" t="s">
        <v>1455</v>
      </c>
      <c r="B653" s="186" t="s">
        <v>899</v>
      </c>
      <c r="C653" s="186" t="s">
        <v>435</v>
      </c>
      <c r="D653" s="186" t="s">
        <v>436</v>
      </c>
      <c r="E653" s="186" t="str">
        <f t="shared" si="1"/>
        <v>PF1500-202-CU</v>
      </c>
    </row>
    <row r="654">
      <c r="A654" s="188" t="s">
        <v>1456</v>
      </c>
      <c r="B654" s="186" t="s">
        <v>902</v>
      </c>
      <c r="C654" s="186" t="s">
        <v>435</v>
      </c>
      <c r="D654" s="186" t="s">
        <v>436</v>
      </c>
      <c r="E654" s="186" t="str">
        <f t="shared" si="1"/>
        <v>PF1500-202-GB</v>
      </c>
    </row>
    <row r="655">
      <c r="A655" s="188" t="s">
        <v>1457</v>
      </c>
      <c r="B655" s="186" t="s">
        <v>931</v>
      </c>
      <c r="C655" s="186" t="s">
        <v>435</v>
      </c>
      <c r="D655" s="186" t="s">
        <v>436</v>
      </c>
      <c r="E655" s="186" t="str">
        <f t="shared" si="1"/>
        <v>PF1500-202-PF</v>
      </c>
    </row>
    <row r="656">
      <c r="A656" s="188" t="s">
        <v>1458</v>
      </c>
      <c r="B656" s="186" t="s">
        <v>928</v>
      </c>
      <c r="C656" s="186" t="s">
        <v>435</v>
      </c>
      <c r="D656" s="186" t="s">
        <v>436</v>
      </c>
      <c r="E656" s="186" t="str">
        <f t="shared" si="1"/>
        <v>PF1500-202-PPO</v>
      </c>
    </row>
    <row r="657">
      <c r="A657" s="188" t="s">
        <v>1459</v>
      </c>
      <c r="B657" s="186" t="s">
        <v>908</v>
      </c>
      <c r="C657" s="186" t="s">
        <v>435</v>
      </c>
      <c r="D657" s="186" t="s">
        <v>436</v>
      </c>
      <c r="E657" s="186" t="str">
        <f t="shared" si="1"/>
        <v>PF1500-202-POL</v>
      </c>
    </row>
    <row r="658">
      <c r="A658" s="185" t="s">
        <v>1460</v>
      </c>
      <c r="B658" s="189" t="s">
        <v>1461</v>
      </c>
      <c r="C658" s="186" t="s">
        <v>435</v>
      </c>
      <c r="D658" s="186" t="s">
        <v>436</v>
      </c>
      <c r="E658" s="186" t="str">
        <f t="shared" si="1"/>
        <v>PF1500-202-PR</v>
      </c>
    </row>
    <row r="659">
      <c r="A659" s="188" t="s">
        <v>1462</v>
      </c>
      <c r="B659" s="186" t="s">
        <v>629</v>
      </c>
      <c r="C659" s="186" t="s">
        <v>435</v>
      </c>
      <c r="D659" s="186" t="s">
        <v>436</v>
      </c>
      <c r="E659" s="186" t="str">
        <f t="shared" si="1"/>
        <v>PF1500-202-QC</v>
      </c>
    </row>
    <row r="660">
      <c r="A660" s="188" t="s">
        <v>1463</v>
      </c>
      <c r="B660" s="186" t="s">
        <v>1464</v>
      </c>
      <c r="C660" s="186" t="s">
        <v>435</v>
      </c>
      <c r="D660" s="186" t="s">
        <v>436</v>
      </c>
      <c r="E660" s="186" t="str">
        <f t="shared" si="1"/>
        <v>PF1500-202-RP1</v>
      </c>
    </row>
    <row r="661">
      <c r="A661" s="188" t="s">
        <v>1466</v>
      </c>
      <c r="B661" s="189" t="s">
        <v>1467</v>
      </c>
      <c r="C661" s="186" t="s">
        <v>435</v>
      </c>
      <c r="D661" s="186" t="s">
        <v>436</v>
      </c>
      <c r="E661" s="186" t="str">
        <f t="shared" si="1"/>
        <v>PF1500-202-RP2</v>
      </c>
    </row>
    <row r="662">
      <c r="A662" s="188" t="s">
        <v>1469</v>
      </c>
      <c r="B662" s="186" t="s">
        <v>1086</v>
      </c>
      <c r="C662" s="186" t="s">
        <v>435</v>
      </c>
      <c r="D662" s="186" t="s">
        <v>436</v>
      </c>
      <c r="E662" s="186" t="str">
        <f t="shared" si="1"/>
        <v>PF1500-202-FA</v>
      </c>
    </row>
    <row r="663">
      <c r="A663" s="188" t="s">
        <v>1470</v>
      </c>
      <c r="B663" s="186" t="s">
        <v>904</v>
      </c>
      <c r="C663" s="186" t="s">
        <v>435</v>
      </c>
      <c r="D663" s="186" t="s">
        <v>436</v>
      </c>
      <c r="E663" s="186" t="str">
        <f t="shared" si="1"/>
        <v>PF1500-202-SI</v>
      </c>
    </row>
    <row r="664">
      <c r="A664" s="188" t="s">
        <v>1471</v>
      </c>
      <c r="B664" s="186" t="s">
        <v>946</v>
      </c>
      <c r="C664" s="186" t="s">
        <v>435</v>
      </c>
      <c r="D664" s="186" t="s">
        <v>436</v>
      </c>
      <c r="E664" s="186" t="str">
        <f t="shared" si="1"/>
        <v>PF1500-202-SD</v>
      </c>
    </row>
    <row r="665">
      <c r="A665" s="188" t="s">
        <v>1472</v>
      </c>
      <c r="B665" s="186" t="s">
        <v>896</v>
      </c>
      <c r="C665" s="186" t="s">
        <v>435</v>
      </c>
      <c r="D665" s="186" t="s">
        <v>436</v>
      </c>
      <c r="E665" s="186" t="str">
        <f t="shared" si="1"/>
        <v>PF1500-202-SX</v>
      </c>
    </row>
    <row r="666">
      <c r="A666" s="188" t="s">
        <v>1474</v>
      </c>
      <c r="B666" s="186" t="s">
        <v>948</v>
      </c>
      <c r="C666" s="186" t="s">
        <v>435</v>
      </c>
      <c r="D666" s="186" t="s">
        <v>436</v>
      </c>
      <c r="E666" s="186" t="str">
        <f t="shared" si="1"/>
        <v>PF1500-202-SF</v>
      </c>
    </row>
    <row r="667">
      <c r="A667" s="188" t="s">
        <v>1476</v>
      </c>
      <c r="B667" s="186" t="s">
        <v>1477</v>
      </c>
      <c r="C667" s="186" t="s">
        <v>435</v>
      </c>
      <c r="D667" s="186" t="s">
        <v>436</v>
      </c>
      <c r="E667" s="186" t="str">
        <f t="shared" si="1"/>
        <v>PF1500-202-PC</v>
      </c>
    </row>
    <row r="668">
      <c r="A668" s="188" t="s">
        <v>1479</v>
      </c>
      <c r="B668" s="186" t="s">
        <v>914</v>
      </c>
      <c r="C668" s="186" t="s">
        <v>435</v>
      </c>
      <c r="D668" s="186" t="s">
        <v>436</v>
      </c>
      <c r="E668" s="186" t="str">
        <f t="shared" si="1"/>
        <v>PF1500-202-HH</v>
      </c>
    </row>
    <row r="669">
      <c r="A669" s="185" t="s">
        <v>1481</v>
      </c>
      <c r="B669" s="186" t="s">
        <v>916</v>
      </c>
      <c r="C669" s="186" t="s">
        <v>435</v>
      </c>
      <c r="D669" s="186" t="s">
        <v>436</v>
      </c>
      <c r="E669" s="186" t="str">
        <f t="shared" si="1"/>
        <v>PF1500-202-BH</v>
      </c>
    </row>
    <row r="670">
      <c r="A670" s="188" t="s">
        <v>1483</v>
      </c>
      <c r="B670" s="186" t="s">
        <v>960</v>
      </c>
      <c r="C670" s="186" t="s">
        <v>435</v>
      </c>
      <c r="D670" s="186" t="s">
        <v>436</v>
      </c>
      <c r="E670" s="186" t="str">
        <f t="shared" si="1"/>
        <v>PF1500-202-FB</v>
      </c>
    </row>
    <row r="671">
      <c r="A671" s="188" t="s">
        <v>1484</v>
      </c>
      <c r="B671" s="189" t="s">
        <v>892</v>
      </c>
      <c r="C671" s="186" t="s">
        <v>435</v>
      </c>
      <c r="D671" s="186" t="s">
        <v>436</v>
      </c>
      <c r="E671" s="186" t="str">
        <f t="shared" si="1"/>
        <v>PF1500-202-PR1</v>
      </c>
    </row>
    <row r="672">
      <c r="A672" s="188" t="s">
        <v>1485</v>
      </c>
      <c r="B672" s="189" t="s">
        <v>944</v>
      </c>
      <c r="C672" s="186" t="s">
        <v>435</v>
      </c>
      <c r="D672" s="186" t="s">
        <v>436</v>
      </c>
      <c r="E672" s="186" t="str">
        <f t="shared" si="1"/>
        <v>PF1500-202-PR2</v>
      </c>
    </row>
    <row r="673">
      <c r="A673" s="188" t="s">
        <v>1486</v>
      </c>
      <c r="B673" s="186" t="s">
        <v>912</v>
      </c>
      <c r="C673" s="186" t="s">
        <v>435</v>
      </c>
      <c r="D673" s="186" t="s">
        <v>436</v>
      </c>
      <c r="E673" s="186" t="str">
        <f t="shared" si="1"/>
        <v>PF1500-202-CL</v>
      </c>
    </row>
    <row r="674">
      <c r="A674" s="188" t="s">
        <v>1488</v>
      </c>
      <c r="B674" s="189" t="s">
        <v>1489</v>
      </c>
      <c r="C674" s="186" t="s">
        <v>435</v>
      </c>
      <c r="D674" s="186" t="s">
        <v>436</v>
      </c>
      <c r="E674" s="186" t="str">
        <f t="shared" si="1"/>
        <v>PF1500-202-IFR</v>
      </c>
    </row>
    <row r="675">
      <c r="A675" s="188" t="s">
        <v>1492</v>
      </c>
      <c r="B675" s="186" t="s">
        <v>918</v>
      </c>
      <c r="C675" s="186" t="s">
        <v>435</v>
      </c>
      <c r="D675" s="186" t="s">
        <v>436</v>
      </c>
      <c r="E675" s="186" t="str">
        <f t="shared" si="1"/>
        <v>PF1500-202-FC</v>
      </c>
    </row>
    <row r="676">
      <c r="A676" s="185" t="s">
        <v>1494</v>
      </c>
      <c r="B676" s="189" t="s">
        <v>1495</v>
      </c>
      <c r="C676" s="186" t="s">
        <v>435</v>
      </c>
      <c r="D676" s="186" t="s">
        <v>436</v>
      </c>
      <c r="E676" s="186" t="str">
        <f t="shared" si="1"/>
        <v>PF1500-202-CBC</v>
      </c>
    </row>
    <row r="677">
      <c r="A677" s="185" t="s">
        <v>1453</v>
      </c>
      <c r="B677" s="186" t="s">
        <v>1372</v>
      </c>
      <c r="C677" s="186" t="s">
        <v>437</v>
      </c>
      <c r="D677" s="186" t="s">
        <v>438</v>
      </c>
      <c r="E677" s="186" t="str">
        <f t="shared" si="1"/>
        <v>PF1000-202-BD</v>
      </c>
    </row>
    <row r="678">
      <c r="A678" s="185" t="s">
        <v>663</v>
      </c>
      <c r="B678" s="186" t="s">
        <v>889</v>
      </c>
      <c r="C678" s="186" t="s">
        <v>437</v>
      </c>
      <c r="D678" s="186" t="s">
        <v>438</v>
      </c>
      <c r="E678" s="186" t="str">
        <f t="shared" si="1"/>
        <v>PF1000-202-CC</v>
      </c>
    </row>
    <row r="679">
      <c r="A679" s="188" t="s">
        <v>1454</v>
      </c>
      <c r="B679" s="186" t="s">
        <v>1086</v>
      </c>
      <c r="C679" s="186" t="s">
        <v>437</v>
      </c>
      <c r="D679" s="186" t="s">
        <v>438</v>
      </c>
      <c r="E679" s="186" t="str">
        <f t="shared" si="1"/>
        <v>PF1000-202-FA</v>
      </c>
    </row>
    <row r="680">
      <c r="A680" s="188" t="s">
        <v>1455</v>
      </c>
      <c r="B680" s="186" t="s">
        <v>899</v>
      </c>
      <c r="C680" s="186" t="s">
        <v>437</v>
      </c>
      <c r="D680" s="186" t="s">
        <v>438</v>
      </c>
      <c r="E680" s="186" t="str">
        <f t="shared" si="1"/>
        <v>PF1000-202-CU</v>
      </c>
    </row>
    <row r="681">
      <c r="A681" s="188" t="s">
        <v>1456</v>
      </c>
      <c r="B681" s="186" t="s">
        <v>902</v>
      </c>
      <c r="C681" s="186" t="s">
        <v>437</v>
      </c>
      <c r="D681" s="186" t="s">
        <v>438</v>
      </c>
      <c r="E681" s="186" t="str">
        <f t="shared" si="1"/>
        <v>PF1000-202-GB</v>
      </c>
    </row>
    <row r="682">
      <c r="A682" s="188" t="s">
        <v>1457</v>
      </c>
      <c r="B682" s="186" t="s">
        <v>931</v>
      </c>
      <c r="C682" s="186" t="s">
        <v>437</v>
      </c>
      <c r="D682" s="186" t="s">
        <v>438</v>
      </c>
      <c r="E682" s="186" t="str">
        <f t="shared" si="1"/>
        <v>PF1000-202-PF</v>
      </c>
    </row>
    <row r="683">
      <c r="A683" s="188" t="s">
        <v>1458</v>
      </c>
      <c r="B683" s="186" t="s">
        <v>928</v>
      </c>
      <c r="C683" s="186" t="s">
        <v>437</v>
      </c>
      <c r="D683" s="186" t="s">
        <v>438</v>
      </c>
      <c r="E683" s="186" t="str">
        <f t="shared" si="1"/>
        <v>PF1000-202-PPO</v>
      </c>
    </row>
    <row r="684">
      <c r="A684" s="188" t="s">
        <v>1459</v>
      </c>
      <c r="B684" s="186" t="s">
        <v>908</v>
      </c>
      <c r="C684" s="186" t="s">
        <v>437</v>
      </c>
      <c r="D684" s="186" t="s">
        <v>438</v>
      </c>
      <c r="E684" s="186" t="str">
        <f t="shared" si="1"/>
        <v>PF1000-202-POL</v>
      </c>
    </row>
    <row r="685">
      <c r="A685" s="185" t="s">
        <v>1460</v>
      </c>
      <c r="B685" s="189" t="s">
        <v>1461</v>
      </c>
      <c r="C685" s="186" t="s">
        <v>437</v>
      </c>
      <c r="D685" s="186" t="s">
        <v>438</v>
      </c>
      <c r="E685" s="186" t="str">
        <f t="shared" si="1"/>
        <v>PF1000-202-PR</v>
      </c>
    </row>
    <row r="686">
      <c r="A686" s="188" t="s">
        <v>1462</v>
      </c>
      <c r="B686" s="186" t="s">
        <v>629</v>
      </c>
      <c r="C686" s="186" t="s">
        <v>437</v>
      </c>
      <c r="D686" s="186" t="s">
        <v>438</v>
      </c>
      <c r="E686" s="186" t="str">
        <f t="shared" si="1"/>
        <v>PF1000-202-QC</v>
      </c>
    </row>
    <row r="687">
      <c r="A687" s="188" t="s">
        <v>1463</v>
      </c>
      <c r="B687" s="186" t="s">
        <v>1464</v>
      </c>
      <c r="C687" s="186" t="s">
        <v>437</v>
      </c>
      <c r="D687" s="186" t="s">
        <v>438</v>
      </c>
      <c r="E687" s="186" t="str">
        <f t="shared" si="1"/>
        <v>PF1000-202-RP1</v>
      </c>
    </row>
    <row r="688">
      <c r="A688" s="188" t="s">
        <v>1466</v>
      </c>
      <c r="B688" s="189" t="s">
        <v>1467</v>
      </c>
      <c r="C688" s="186" t="s">
        <v>437</v>
      </c>
      <c r="D688" s="186" t="s">
        <v>438</v>
      </c>
      <c r="E688" s="186" t="str">
        <f t="shared" si="1"/>
        <v>PF1000-202-RP2</v>
      </c>
    </row>
    <row r="689">
      <c r="A689" s="188" t="s">
        <v>1469</v>
      </c>
      <c r="B689" s="186" t="s">
        <v>1086</v>
      </c>
      <c r="C689" s="186" t="s">
        <v>437</v>
      </c>
      <c r="D689" s="186" t="s">
        <v>438</v>
      </c>
      <c r="E689" s="186" t="str">
        <f t="shared" si="1"/>
        <v>PF1000-202-FA</v>
      </c>
    </row>
    <row r="690">
      <c r="A690" s="188" t="s">
        <v>1470</v>
      </c>
      <c r="B690" s="186" t="s">
        <v>904</v>
      </c>
      <c r="C690" s="186" t="s">
        <v>437</v>
      </c>
      <c r="D690" s="186" t="s">
        <v>438</v>
      </c>
      <c r="E690" s="186" t="str">
        <f t="shared" si="1"/>
        <v>PF1000-202-SI</v>
      </c>
    </row>
    <row r="691">
      <c r="A691" s="188" t="s">
        <v>1471</v>
      </c>
      <c r="B691" s="186" t="s">
        <v>946</v>
      </c>
      <c r="C691" s="186" t="s">
        <v>437</v>
      </c>
      <c r="D691" s="186" t="s">
        <v>438</v>
      </c>
      <c r="E691" s="186" t="str">
        <f t="shared" si="1"/>
        <v>PF1000-202-SD</v>
      </c>
    </row>
    <row r="692">
      <c r="A692" s="188" t="s">
        <v>1472</v>
      </c>
      <c r="B692" s="186" t="s">
        <v>896</v>
      </c>
      <c r="C692" s="186" t="s">
        <v>437</v>
      </c>
      <c r="D692" s="186" t="s">
        <v>438</v>
      </c>
      <c r="E692" s="186" t="str">
        <f t="shared" si="1"/>
        <v>PF1000-202-SX</v>
      </c>
    </row>
    <row r="693">
      <c r="A693" s="188" t="s">
        <v>1474</v>
      </c>
      <c r="B693" s="186" t="s">
        <v>948</v>
      </c>
      <c r="C693" s="186" t="s">
        <v>437</v>
      </c>
      <c r="D693" s="186" t="s">
        <v>438</v>
      </c>
      <c r="E693" s="186" t="str">
        <f t="shared" si="1"/>
        <v>PF1000-202-SF</v>
      </c>
    </row>
    <row r="694">
      <c r="A694" s="188" t="s">
        <v>1476</v>
      </c>
      <c r="B694" s="186" t="s">
        <v>1477</v>
      </c>
      <c r="C694" s="186" t="s">
        <v>437</v>
      </c>
      <c r="D694" s="186" t="s">
        <v>438</v>
      </c>
      <c r="E694" s="186" t="str">
        <f t="shared" si="1"/>
        <v>PF1000-202-PC</v>
      </c>
    </row>
    <row r="695">
      <c r="A695" s="188" t="s">
        <v>1479</v>
      </c>
      <c r="B695" s="186" t="s">
        <v>914</v>
      </c>
      <c r="C695" s="186" t="s">
        <v>437</v>
      </c>
      <c r="D695" s="186" t="s">
        <v>438</v>
      </c>
      <c r="E695" s="186" t="str">
        <f t="shared" si="1"/>
        <v>PF1000-202-HH</v>
      </c>
    </row>
    <row r="696">
      <c r="A696" s="185" t="s">
        <v>1481</v>
      </c>
      <c r="B696" s="186" t="s">
        <v>916</v>
      </c>
      <c r="C696" s="186" t="s">
        <v>437</v>
      </c>
      <c r="D696" s="186" t="s">
        <v>438</v>
      </c>
      <c r="E696" s="186" t="str">
        <f t="shared" si="1"/>
        <v>PF1000-202-BH</v>
      </c>
    </row>
    <row r="697">
      <c r="A697" s="188" t="s">
        <v>1483</v>
      </c>
      <c r="B697" s="186" t="s">
        <v>960</v>
      </c>
      <c r="C697" s="186" t="s">
        <v>437</v>
      </c>
      <c r="D697" s="186" t="s">
        <v>438</v>
      </c>
      <c r="E697" s="186" t="str">
        <f t="shared" si="1"/>
        <v>PF1000-202-FB</v>
      </c>
    </row>
    <row r="698">
      <c r="A698" s="188" t="s">
        <v>1484</v>
      </c>
      <c r="B698" s="189" t="s">
        <v>892</v>
      </c>
      <c r="C698" s="186" t="s">
        <v>437</v>
      </c>
      <c r="D698" s="186" t="s">
        <v>438</v>
      </c>
      <c r="E698" s="186" t="str">
        <f t="shared" si="1"/>
        <v>PF1000-202-PR1</v>
      </c>
    </row>
    <row r="699">
      <c r="A699" s="188" t="s">
        <v>1485</v>
      </c>
      <c r="B699" s="189" t="s">
        <v>944</v>
      </c>
      <c r="C699" s="186" t="s">
        <v>437</v>
      </c>
      <c r="D699" s="186" t="s">
        <v>438</v>
      </c>
      <c r="E699" s="186" t="str">
        <f t="shared" si="1"/>
        <v>PF1000-202-PR2</v>
      </c>
    </row>
    <row r="700">
      <c r="A700" s="188" t="s">
        <v>1486</v>
      </c>
      <c r="B700" s="186" t="s">
        <v>912</v>
      </c>
      <c r="C700" s="186" t="s">
        <v>437</v>
      </c>
      <c r="D700" s="186" t="s">
        <v>438</v>
      </c>
      <c r="E700" s="186" t="str">
        <f t="shared" si="1"/>
        <v>PF1000-202-CL</v>
      </c>
    </row>
    <row r="701">
      <c r="A701" s="188" t="s">
        <v>1488</v>
      </c>
      <c r="B701" s="189" t="s">
        <v>1489</v>
      </c>
      <c r="C701" s="186" t="s">
        <v>437</v>
      </c>
      <c r="D701" s="186" t="s">
        <v>438</v>
      </c>
      <c r="E701" s="186" t="str">
        <f t="shared" si="1"/>
        <v>PF1000-202-IFR</v>
      </c>
    </row>
    <row r="702">
      <c r="A702" s="188" t="s">
        <v>1492</v>
      </c>
      <c r="B702" s="186" t="s">
        <v>918</v>
      </c>
      <c r="C702" s="186" t="s">
        <v>437</v>
      </c>
      <c r="D702" s="186" t="s">
        <v>438</v>
      </c>
      <c r="E702" s="186" t="str">
        <f t="shared" si="1"/>
        <v>PF1000-202-FC</v>
      </c>
    </row>
    <row r="703">
      <c r="A703" s="185" t="s">
        <v>1494</v>
      </c>
      <c r="B703" s="189" t="s">
        <v>1495</v>
      </c>
      <c r="C703" s="186" t="s">
        <v>437</v>
      </c>
      <c r="D703" s="186" t="s">
        <v>438</v>
      </c>
      <c r="E703" s="186" t="str">
        <f t="shared" si="1"/>
        <v>PF1000-202-CBC</v>
      </c>
    </row>
    <row r="704">
      <c r="A704" s="185" t="s">
        <v>1453</v>
      </c>
      <c r="B704" s="186" t="s">
        <v>1372</v>
      </c>
      <c r="C704" s="186" t="s">
        <v>439</v>
      </c>
      <c r="D704" s="186" t="s">
        <v>596</v>
      </c>
      <c r="E704" s="186" t="str">
        <f t="shared" si="1"/>
        <v>PF0400-202-BD</v>
      </c>
    </row>
    <row r="705">
      <c r="A705" s="185" t="s">
        <v>663</v>
      </c>
      <c r="B705" s="186" t="s">
        <v>889</v>
      </c>
      <c r="C705" s="186" t="s">
        <v>439</v>
      </c>
      <c r="D705" s="186" t="s">
        <v>596</v>
      </c>
      <c r="E705" s="186" t="str">
        <f t="shared" si="1"/>
        <v>PF0400-202-CC</v>
      </c>
    </row>
    <row r="706">
      <c r="A706" s="188" t="s">
        <v>1454</v>
      </c>
      <c r="B706" s="186" t="s">
        <v>1086</v>
      </c>
      <c r="C706" s="186" t="s">
        <v>439</v>
      </c>
      <c r="D706" s="186" t="s">
        <v>596</v>
      </c>
      <c r="E706" s="186" t="str">
        <f t="shared" si="1"/>
        <v>PF0400-202-FA</v>
      </c>
    </row>
    <row r="707">
      <c r="A707" s="188" t="s">
        <v>1455</v>
      </c>
      <c r="B707" s="186" t="s">
        <v>899</v>
      </c>
      <c r="C707" s="186" t="s">
        <v>439</v>
      </c>
      <c r="D707" s="186" t="s">
        <v>596</v>
      </c>
      <c r="E707" s="186" t="str">
        <f t="shared" si="1"/>
        <v>PF0400-202-CU</v>
      </c>
    </row>
    <row r="708">
      <c r="A708" s="188" t="s">
        <v>1456</v>
      </c>
      <c r="B708" s="186" t="s">
        <v>902</v>
      </c>
      <c r="C708" s="186" t="s">
        <v>439</v>
      </c>
      <c r="D708" s="186" t="s">
        <v>596</v>
      </c>
      <c r="E708" s="186" t="str">
        <f t="shared" si="1"/>
        <v>PF0400-202-GB</v>
      </c>
    </row>
    <row r="709">
      <c r="A709" s="188" t="s">
        <v>1457</v>
      </c>
      <c r="B709" s="186" t="s">
        <v>931</v>
      </c>
      <c r="C709" s="186" t="s">
        <v>439</v>
      </c>
      <c r="D709" s="186" t="s">
        <v>596</v>
      </c>
      <c r="E709" s="186" t="str">
        <f t="shared" si="1"/>
        <v>PF0400-202-PF</v>
      </c>
    </row>
    <row r="710">
      <c r="A710" s="188" t="s">
        <v>1458</v>
      </c>
      <c r="B710" s="186" t="s">
        <v>928</v>
      </c>
      <c r="C710" s="186" t="s">
        <v>439</v>
      </c>
      <c r="D710" s="186" t="s">
        <v>596</v>
      </c>
      <c r="E710" s="186" t="str">
        <f t="shared" si="1"/>
        <v>PF0400-202-PPO</v>
      </c>
    </row>
    <row r="711">
      <c r="A711" s="188" t="s">
        <v>1459</v>
      </c>
      <c r="B711" s="186" t="s">
        <v>908</v>
      </c>
      <c r="C711" s="186" t="s">
        <v>439</v>
      </c>
      <c r="D711" s="186" t="s">
        <v>596</v>
      </c>
      <c r="E711" s="186" t="str">
        <f t="shared" si="1"/>
        <v>PF0400-202-POL</v>
      </c>
    </row>
    <row r="712">
      <c r="A712" s="185" t="s">
        <v>1460</v>
      </c>
      <c r="B712" s="189" t="s">
        <v>1461</v>
      </c>
      <c r="C712" s="186" t="s">
        <v>439</v>
      </c>
      <c r="D712" s="186" t="s">
        <v>596</v>
      </c>
      <c r="E712" s="186" t="str">
        <f t="shared" si="1"/>
        <v>PF0400-202-PR</v>
      </c>
    </row>
    <row r="713">
      <c r="A713" s="188" t="s">
        <v>1462</v>
      </c>
      <c r="B713" s="186" t="s">
        <v>629</v>
      </c>
      <c r="C713" s="186" t="s">
        <v>439</v>
      </c>
      <c r="D713" s="186" t="s">
        <v>596</v>
      </c>
      <c r="E713" s="186" t="str">
        <f t="shared" si="1"/>
        <v>PF0400-202-QC</v>
      </c>
    </row>
    <row r="714">
      <c r="A714" s="188" t="s">
        <v>1463</v>
      </c>
      <c r="B714" s="186" t="s">
        <v>1464</v>
      </c>
      <c r="C714" s="186" t="s">
        <v>439</v>
      </c>
      <c r="D714" s="186" t="s">
        <v>596</v>
      </c>
      <c r="E714" s="186" t="str">
        <f t="shared" si="1"/>
        <v>PF0400-202-RP1</v>
      </c>
    </row>
    <row r="715">
      <c r="A715" s="188" t="s">
        <v>1466</v>
      </c>
      <c r="B715" s="189" t="s">
        <v>1467</v>
      </c>
      <c r="C715" s="186" t="s">
        <v>439</v>
      </c>
      <c r="D715" s="186" t="s">
        <v>596</v>
      </c>
      <c r="E715" s="186" t="str">
        <f t="shared" si="1"/>
        <v>PF0400-202-RP2</v>
      </c>
    </row>
    <row r="716">
      <c r="A716" s="188" t="s">
        <v>1469</v>
      </c>
      <c r="B716" s="186" t="s">
        <v>1086</v>
      </c>
      <c r="C716" s="186" t="s">
        <v>439</v>
      </c>
      <c r="D716" s="186" t="s">
        <v>596</v>
      </c>
      <c r="E716" s="186" t="str">
        <f t="shared" si="1"/>
        <v>PF0400-202-FA</v>
      </c>
    </row>
    <row r="717">
      <c r="A717" s="188" t="s">
        <v>1470</v>
      </c>
      <c r="B717" s="186" t="s">
        <v>904</v>
      </c>
      <c r="C717" s="186" t="s">
        <v>439</v>
      </c>
      <c r="D717" s="186" t="s">
        <v>596</v>
      </c>
      <c r="E717" s="186" t="str">
        <f t="shared" si="1"/>
        <v>PF0400-202-SI</v>
      </c>
    </row>
    <row r="718">
      <c r="A718" s="188" t="s">
        <v>1471</v>
      </c>
      <c r="B718" s="186" t="s">
        <v>946</v>
      </c>
      <c r="C718" s="186" t="s">
        <v>439</v>
      </c>
      <c r="D718" s="186" t="s">
        <v>596</v>
      </c>
      <c r="E718" s="186" t="str">
        <f t="shared" si="1"/>
        <v>PF0400-202-SD</v>
      </c>
    </row>
    <row r="719">
      <c r="A719" s="188" t="s">
        <v>1472</v>
      </c>
      <c r="B719" s="186" t="s">
        <v>896</v>
      </c>
      <c r="C719" s="186" t="s">
        <v>439</v>
      </c>
      <c r="D719" s="186" t="s">
        <v>596</v>
      </c>
      <c r="E719" s="186" t="str">
        <f t="shared" si="1"/>
        <v>PF0400-202-SX</v>
      </c>
    </row>
    <row r="720">
      <c r="A720" s="188" t="s">
        <v>1474</v>
      </c>
      <c r="B720" s="186" t="s">
        <v>948</v>
      </c>
      <c r="C720" s="186" t="s">
        <v>439</v>
      </c>
      <c r="D720" s="186" t="s">
        <v>596</v>
      </c>
      <c r="E720" s="186" t="str">
        <f t="shared" si="1"/>
        <v>PF0400-202-SF</v>
      </c>
    </row>
    <row r="721">
      <c r="A721" s="188" t="s">
        <v>1476</v>
      </c>
      <c r="B721" s="186" t="s">
        <v>1477</v>
      </c>
      <c r="C721" s="186" t="s">
        <v>439</v>
      </c>
      <c r="D721" s="186" t="s">
        <v>596</v>
      </c>
      <c r="E721" s="186" t="str">
        <f t="shared" si="1"/>
        <v>PF0400-202-PC</v>
      </c>
    </row>
    <row r="722">
      <c r="A722" s="188" t="s">
        <v>1479</v>
      </c>
      <c r="B722" s="186" t="s">
        <v>914</v>
      </c>
      <c r="C722" s="186" t="s">
        <v>439</v>
      </c>
      <c r="D722" s="186" t="s">
        <v>596</v>
      </c>
      <c r="E722" s="186" t="str">
        <f t="shared" si="1"/>
        <v>PF0400-202-HH</v>
      </c>
    </row>
    <row r="723">
      <c r="A723" s="185" t="s">
        <v>1481</v>
      </c>
      <c r="B723" s="186" t="s">
        <v>916</v>
      </c>
      <c r="C723" s="186" t="s">
        <v>439</v>
      </c>
      <c r="D723" s="186" t="s">
        <v>596</v>
      </c>
      <c r="E723" s="186" t="str">
        <f t="shared" si="1"/>
        <v>PF0400-202-BH</v>
      </c>
    </row>
    <row r="724">
      <c r="A724" s="188" t="s">
        <v>1483</v>
      </c>
      <c r="B724" s="186" t="s">
        <v>960</v>
      </c>
      <c r="C724" s="186" t="s">
        <v>439</v>
      </c>
      <c r="D724" s="186" t="s">
        <v>596</v>
      </c>
      <c r="E724" s="186" t="str">
        <f t="shared" si="1"/>
        <v>PF0400-202-FB</v>
      </c>
    </row>
    <row r="725">
      <c r="A725" s="188" t="s">
        <v>1484</v>
      </c>
      <c r="B725" s="189" t="s">
        <v>892</v>
      </c>
      <c r="C725" s="186" t="s">
        <v>439</v>
      </c>
      <c r="D725" s="186" t="s">
        <v>596</v>
      </c>
      <c r="E725" s="186" t="str">
        <f t="shared" si="1"/>
        <v>PF0400-202-PR1</v>
      </c>
    </row>
    <row r="726">
      <c r="A726" s="188" t="s">
        <v>1485</v>
      </c>
      <c r="B726" s="189" t="s">
        <v>944</v>
      </c>
      <c r="C726" s="186" t="s">
        <v>439</v>
      </c>
      <c r="D726" s="186" t="s">
        <v>596</v>
      </c>
      <c r="E726" s="186" t="str">
        <f t="shared" si="1"/>
        <v>PF0400-202-PR2</v>
      </c>
    </row>
    <row r="727">
      <c r="A727" s="188" t="s">
        <v>1486</v>
      </c>
      <c r="B727" s="186" t="s">
        <v>912</v>
      </c>
      <c r="C727" s="186" t="s">
        <v>439</v>
      </c>
      <c r="D727" s="186" t="s">
        <v>596</v>
      </c>
      <c r="E727" s="186" t="str">
        <f t="shared" si="1"/>
        <v>PF0400-202-CL</v>
      </c>
    </row>
    <row r="728">
      <c r="A728" s="188" t="s">
        <v>1488</v>
      </c>
      <c r="B728" s="189" t="s">
        <v>1489</v>
      </c>
      <c r="C728" s="186" t="s">
        <v>439</v>
      </c>
      <c r="D728" s="186" t="s">
        <v>596</v>
      </c>
      <c r="E728" s="186" t="str">
        <f t="shared" si="1"/>
        <v>PF0400-202-IFR</v>
      </c>
    </row>
    <row r="729">
      <c r="A729" s="188" t="s">
        <v>1492</v>
      </c>
      <c r="B729" s="186" t="s">
        <v>918</v>
      </c>
      <c r="C729" s="186" t="s">
        <v>439</v>
      </c>
      <c r="D729" s="186" t="s">
        <v>596</v>
      </c>
      <c r="E729" s="186" t="str">
        <f t="shared" si="1"/>
        <v>PF0400-202-FC</v>
      </c>
    </row>
    <row r="730">
      <c r="A730" s="185" t="s">
        <v>1494</v>
      </c>
      <c r="B730" s="189" t="s">
        <v>1495</v>
      </c>
      <c r="C730" s="186" t="s">
        <v>439</v>
      </c>
      <c r="D730" s="186" t="s">
        <v>596</v>
      </c>
      <c r="E730" s="186" t="str">
        <f t="shared" si="1"/>
        <v>PF0400-202-CBC</v>
      </c>
    </row>
    <row r="731">
      <c r="A731" s="185" t="s">
        <v>1453</v>
      </c>
      <c r="B731" s="186" t="s">
        <v>1372</v>
      </c>
      <c r="C731" s="186" t="s">
        <v>1497</v>
      </c>
      <c r="D731" s="186" t="s">
        <v>478</v>
      </c>
      <c r="E731" s="186" t="str">
        <f t="shared" si="1"/>
        <v>MA1500-204-BD</v>
      </c>
    </row>
    <row r="732">
      <c r="A732" s="185" t="s">
        <v>663</v>
      </c>
      <c r="B732" s="186" t="s">
        <v>889</v>
      </c>
      <c r="C732" s="186" t="s">
        <v>1497</v>
      </c>
      <c r="D732" s="186" t="s">
        <v>478</v>
      </c>
      <c r="E732" s="186" t="str">
        <f t="shared" si="1"/>
        <v>MA1500-204-CC</v>
      </c>
    </row>
    <row r="733">
      <c r="A733" s="188" t="s">
        <v>1454</v>
      </c>
      <c r="B733" s="186" t="s">
        <v>1086</v>
      </c>
      <c r="C733" s="186" t="s">
        <v>1497</v>
      </c>
      <c r="D733" s="186" t="s">
        <v>478</v>
      </c>
      <c r="E733" s="186" t="str">
        <f t="shared" si="1"/>
        <v>MA1500-204-FA</v>
      </c>
    </row>
    <row r="734">
      <c r="A734" s="188" t="s">
        <v>1455</v>
      </c>
      <c r="B734" s="186" t="s">
        <v>899</v>
      </c>
      <c r="C734" s="186" t="s">
        <v>1497</v>
      </c>
      <c r="D734" s="186" t="s">
        <v>478</v>
      </c>
      <c r="E734" s="186" t="str">
        <f t="shared" si="1"/>
        <v>MA1500-204-CU</v>
      </c>
    </row>
    <row r="735">
      <c r="A735" s="188" t="s">
        <v>1456</v>
      </c>
      <c r="B735" s="186" t="s">
        <v>902</v>
      </c>
      <c r="C735" s="186" t="s">
        <v>1497</v>
      </c>
      <c r="D735" s="186" t="s">
        <v>478</v>
      </c>
      <c r="E735" s="186" t="str">
        <f t="shared" si="1"/>
        <v>MA1500-204-GB</v>
      </c>
    </row>
    <row r="736">
      <c r="A736" s="188" t="s">
        <v>1457</v>
      </c>
      <c r="B736" s="186" t="s">
        <v>931</v>
      </c>
      <c r="C736" s="186" t="s">
        <v>1497</v>
      </c>
      <c r="D736" s="186" t="s">
        <v>478</v>
      </c>
      <c r="E736" s="186" t="str">
        <f t="shared" si="1"/>
        <v>MA1500-204-PF</v>
      </c>
    </row>
    <row r="737">
      <c r="A737" s="188" t="s">
        <v>1458</v>
      </c>
      <c r="B737" s="186" t="s">
        <v>928</v>
      </c>
      <c r="C737" s="186" t="s">
        <v>1497</v>
      </c>
      <c r="D737" s="186" t="s">
        <v>478</v>
      </c>
      <c r="E737" s="186" t="str">
        <f t="shared" si="1"/>
        <v>MA1500-204-PPO</v>
      </c>
    </row>
    <row r="738">
      <c r="A738" s="188" t="s">
        <v>1459</v>
      </c>
      <c r="B738" s="186" t="s">
        <v>908</v>
      </c>
      <c r="C738" s="186" t="s">
        <v>1497</v>
      </c>
      <c r="D738" s="186" t="s">
        <v>478</v>
      </c>
      <c r="E738" s="186" t="str">
        <f t="shared" si="1"/>
        <v>MA1500-204-POL</v>
      </c>
    </row>
    <row r="739">
      <c r="A739" s="185" t="s">
        <v>1460</v>
      </c>
      <c r="B739" s="189" t="s">
        <v>1461</v>
      </c>
      <c r="C739" s="186" t="s">
        <v>1497</v>
      </c>
      <c r="D739" s="186" t="s">
        <v>478</v>
      </c>
      <c r="E739" s="186" t="str">
        <f t="shared" si="1"/>
        <v>MA1500-204-PR</v>
      </c>
    </row>
    <row r="740">
      <c r="A740" s="188" t="s">
        <v>1462</v>
      </c>
      <c r="B740" s="186" t="s">
        <v>629</v>
      </c>
      <c r="C740" s="186" t="s">
        <v>1497</v>
      </c>
      <c r="D740" s="186" t="s">
        <v>478</v>
      </c>
      <c r="E740" s="186" t="str">
        <f t="shared" si="1"/>
        <v>MA1500-204-QC</v>
      </c>
    </row>
    <row r="741">
      <c r="A741" s="188" t="s">
        <v>1463</v>
      </c>
      <c r="B741" s="186" t="s">
        <v>1464</v>
      </c>
      <c r="C741" s="186" t="s">
        <v>1497</v>
      </c>
      <c r="D741" s="186" t="s">
        <v>478</v>
      </c>
      <c r="E741" s="186" t="str">
        <f t="shared" si="1"/>
        <v>MA1500-204-RP1</v>
      </c>
    </row>
    <row r="742">
      <c r="A742" s="188" t="s">
        <v>1466</v>
      </c>
      <c r="B742" s="189" t="s">
        <v>1467</v>
      </c>
      <c r="C742" s="186" t="s">
        <v>1497</v>
      </c>
      <c r="D742" s="186" t="s">
        <v>478</v>
      </c>
      <c r="E742" s="186" t="str">
        <f t="shared" si="1"/>
        <v>MA1500-204-RP2</v>
      </c>
    </row>
    <row r="743">
      <c r="A743" s="188" t="s">
        <v>1469</v>
      </c>
      <c r="B743" s="186" t="s">
        <v>1086</v>
      </c>
      <c r="C743" s="186" t="s">
        <v>1497</v>
      </c>
      <c r="D743" s="186" t="s">
        <v>478</v>
      </c>
      <c r="E743" s="186" t="str">
        <f t="shared" si="1"/>
        <v>MA1500-204-FA</v>
      </c>
    </row>
    <row r="744">
      <c r="A744" s="188" t="s">
        <v>1470</v>
      </c>
      <c r="B744" s="186" t="s">
        <v>904</v>
      </c>
      <c r="C744" s="186" t="s">
        <v>1497</v>
      </c>
      <c r="D744" s="186" t="s">
        <v>478</v>
      </c>
      <c r="E744" s="186" t="str">
        <f t="shared" si="1"/>
        <v>MA1500-204-SI</v>
      </c>
    </row>
    <row r="745">
      <c r="A745" s="188" t="s">
        <v>1471</v>
      </c>
      <c r="B745" s="186" t="s">
        <v>946</v>
      </c>
      <c r="C745" s="186" t="s">
        <v>1497</v>
      </c>
      <c r="D745" s="186" t="s">
        <v>478</v>
      </c>
      <c r="E745" s="186" t="str">
        <f t="shared" si="1"/>
        <v>MA1500-204-SD</v>
      </c>
    </row>
    <row r="746">
      <c r="A746" s="188" t="s">
        <v>1472</v>
      </c>
      <c r="B746" s="186" t="s">
        <v>896</v>
      </c>
      <c r="C746" s="186" t="s">
        <v>1497</v>
      </c>
      <c r="D746" s="186" t="s">
        <v>478</v>
      </c>
      <c r="E746" s="186" t="str">
        <f t="shared" si="1"/>
        <v>MA1500-204-SX</v>
      </c>
    </row>
    <row r="747">
      <c r="A747" s="188" t="s">
        <v>1474</v>
      </c>
      <c r="B747" s="186" t="s">
        <v>948</v>
      </c>
      <c r="C747" s="186" t="s">
        <v>1497</v>
      </c>
      <c r="D747" s="186" t="s">
        <v>478</v>
      </c>
      <c r="E747" s="186" t="str">
        <f t="shared" si="1"/>
        <v>MA1500-204-SF</v>
      </c>
    </row>
    <row r="748">
      <c r="A748" s="188" t="s">
        <v>1476</v>
      </c>
      <c r="B748" s="186" t="s">
        <v>1477</v>
      </c>
      <c r="C748" s="186" t="s">
        <v>1497</v>
      </c>
      <c r="D748" s="186" t="s">
        <v>478</v>
      </c>
      <c r="E748" s="186" t="str">
        <f t="shared" si="1"/>
        <v>MA1500-204-PC</v>
      </c>
    </row>
    <row r="749">
      <c r="A749" s="188" t="s">
        <v>1479</v>
      </c>
      <c r="B749" s="186" t="s">
        <v>914</v>
      </c>
      <c r="C749" s="186" t="s">
        <v>1497</v>
      </c>
      <c r="D749" s="186" t="s">
        <v>478</v>
      </c>
      <c r="E749" s="186" t="str">
        <f t="shared" si="1"/>
        <v>MA1500-204-HH</v>
      </c>
    </row>
    <row r="750">
      <c r="A750" s="185" t="s">
        <v>1481</v>
      </c>
      <c r="B750" s="186" t="s">
        <v>916</v>
      </c>
      <c r="C750" s="186" t="s">
        <v>1497</v>
      </c>
      <c r="D750" s="186" t="s">
        <v>478</v>
      </c>
      <c r="E750" s="186" t="str">
        <f t="shared" si="1"/>
        <v>MA1500-204-BH</v>
      </c>
    </row>
    <row r="751">
      <c r="A751" s="188" t="s">
        <v>1483</v>
      </c>
      <c r="B751" s="186" t="s">
        <v>960</v>
      </c>
      <c r="C751" s="186" t="s">
        <v>1497</v>
      </c>
      <c r="D751" s="186" t="s">
        <v>478</v>
      </c>
      <c r="E751" s="186" t="str">
        <f t="shared" si="1"/>
        <v>MA1500-204-FB</v>
      </c>
    </row>
    <row r="752">
      <c r="A752" s="188" t="s">
        <v>1484</v>
      </c>
      <c r="B752" s="189" t="s">
        <v>892</v>
      </c>
      <c r="C752" s="186" t="s">
        <v>1497</v>
      </c>
      <c r="D752" s="186" t="s">
        <v>478</v>
      </c>
      <c r="E752" s="186" t="str">
        <f t="shared" si="1"/>
        <v>MA1500-204-PR1</v>
      </c>
    </row>
    <row r="753">
      <c r="A753" s="188" t="s">
        <v>1485</v>
      </c>
      <c r="B753" s="189" t="s">
        <v>944</v>
      </c>
      <c r="C753" s="186" t="s">
        <v>1497</v>
      </c>
      <c r="D753" s="186" t="s">
        <v>478</v>
      </c>
      <c r="E753" s="186" t="str">
        <f t="shared" si="1"/>
        <v>MA1500-204-PR2</v>
      </c>
    </row>
    <row r="754">
      <c r="A754" s="188" t="s">
        <v>1486</v>
      </c>
      <c r="B754" s="186" t="s">
        <v>912</v>
      </c>
      <c r="C754" s="186" t="s">
        <v>1497</v>
      </c>
      <c r="D754" s="186" t="s">
        <v>478</v>
      </c>
      <c r="E754" s="186" t="str">
        <f t="shared" si="1"/>
        <v>MA1500-204-CL</v>
      </c>
    </row>
    <row r="755">
      <c r="A755" s="188" t="s">
        <v>1488</v>
      </c>
      <c r="B755" s="189" t="s">
        <v>1489</v>
      </c>
      <c r="C755" s="186" t="s">
        <v>1497</v>
      </c>
      <c r="D755" s="186" t="s">
        <v>478</v>
      </c>
      <c r="E755" s="186" t="str">
        <f t="shared" si="1"/>
        <v>MA1500-204-IFR</v>
      </c>
    </row>
    <row r="756">
      <c r="A756" s="188" t="s">
        <v>1492</v>
      </c>
      <c r="B756" s="186" t="s">
        <v>918</v>
      </c>
      <c r="C756" s="186" t="s">
        <v>1497</v>
      </c>
      <c r="D756" s="186" t="s">
        <v>478</v>
      </c>
      <c r="E756" s="186" t="str">
        <f t="shared" si="1"/>
        <v>MA1500-204-FC</v>
      </c>
    </row>
    <row r="757">
      <c r="A757" s="185" t="s">
        <v>1494</v>
      </c>
      <c r="B757" s="189" t="s">
        <v>1495</v>
      </c>
      <c r="C757" s="186" t="s">
        <v>1497</v>
      </c>
      <c r="D757" s="186" t="s">
        <v>478</v>
      </c>
      <c r="E757" s="186" t="str">
        <f t="shared" si="1"/>
        <v>MA1500-204-CBC</v>
      </c>
    </row>
    <row r="758">
      <c r="A758" s="185" t="s">
        <v>1453</v>
      </c>
      <c r="B758" s="186" t="s">
        <v>1372</v>
      </c>
      <c r="C758" s="186" t="s">
        <v>1498</v>
      </c>
      <c r="D758" s="186" t="s">
        <v>480</v>
      </c>
      <c r="E758" s="186" t="str">
        <f t="shared" si="1"/>
        <v>MA1000-204-BD</v>
      </c>
    </row>
    <row r="759">
      <c r="A759" s="185" t="s">
        <v>663</v>
      </c>
      <c r="B759" s="186" t="s">
        <v>889</v>
      </c>
      <c r="C759" s="186" t="s">
        <v>1498</v>
      </c>
      <c r="D759" s="186" t="s">
        <v>480</v>
      </c>
      <c r="E759" s="186" t="str">
        <f t="shared" si="1"/>
        <v>MA1000-204-CC</v>
      </c>
    </row>
    <row r="760">
      <c r="A760" s="188" t="s">
        <v>1454</v>
      </c>
      <c r="B760" s="186" t="s">
        <v>1086</v>
      </c>
      <c r="C760" s="186" t="s">
        <v>1498</v>
      </c>
      <c r="D760" s="186" t="s">
        <v>480</v>
      </c>
      <c r="E760" s="186" t="str">
        <f t="shared" si="1"/>
        <v>MA1000-204-FA</v>
      </c>
    </row>
    <row r="761">
      <c r="A761" s="188" t="s">
        <v>1455</v>
      </c>
      <c r="B761" s="186" t="s">
        <v>899</v>
      </c>
      <c r="C761" s="186" t="s">
        <v>1498</v>
      </c>
      <c r="D761" s="186" t="s">
        <v>480</v>
      </c>
      <c r="E761" s="186" t="str">
        <f t="shared" si="1"/>
        <v>MA1000-204-CU</v>
      </c>
    </row>
    <row r="762">
      <c r="A762" s="188" t="s">
        <v>1456</v>
      </c>
      <c r="B762" s="186" t="s">
        <v>902</v>
      </c>
      <c r="C762" s="186" t="s">
        <v>1498</v>
      </c>
      <c r="D762" s="186" t="s">
        <v>480</v>
      </c>
      <c r="E762" s="186" t="str">
        <f t="shared" si="1"/>
        <v>MA1000-204-GB</v>
      </c>
    </row>
    <row r="763">
      <c r="A763" s="188" t="s">
        <v>1457</v>
      </c>
      <c r="B763" s="186" t="s">
        <v>931</v>
      </c>
      <c r="C763" s="186" t="s">
        <v>1498</v>
      </c>
      <c r="D763" s="186" t="s">
        <v>480</v>
      </c>
      <c r="E763" s="186" t="str">
        <f t="shared" si="1"/>
        <v>MA1000-204-PF</v>
      </c>
    </row>
    <row r="764">
      <c r="A764" s="188" t="s">
        <v>1458</v>
      </c>
      <c r="B764" s="186" t="s">
        <v>928</v>
      </c>
      <c r="C764" s="186" t="s">
        <v>1498</v>
      </c>
      <c r="D764" s="186" t="s">
        <v>480</v>
      </c>
      <c r="E764" s="186" t="str">
        <f t="shared" si="1"/>
        <v>MA1000-204-PPO</v>
      </c>
    </row>
    <row r="765">
      <c r="A765" s="188" t="s">
        <v>1459</v>
      </c>
      <c r="B765" s="186" t="s">
        <v>908</v>
      </c>
      <c r="C765" s="186" t="s">
        <v>1498</v>
      </c>
      <c r="D765" s="186" t="s">
        <v>480</v>
      </c>
      <c r="E765" s="186" t="str">
        <f t="shared" si="1"/>
        <v>MA1000-204-POL</v>
      </c>
    </row>
    <row r="766">
      <c r="A766" s="185" t="s">
        <v>1460</v>
      </c>
      <c r="B766" s="189" t="s">
        <v>1461</v>
      </c>
      <c r="C766" s="186" t="s">
        <v>1498</v>
      </c>
      <c r="D766" s="186" t="s">
        <v>480</v>
      </c>
      <c r="E766" s="186" t="str">
        <f t="shared" si="1"/>
        <v>MA1000-204-PR</v>
      </c>
    </row>
    <row r="767">
      <c r="A767" s="188" t="s">
        <v>1462</v>
      </c>
      <c r="B767" s="186" t="s">
        <v>629</v>
      </c>
      <c r="C767" s="186" t="s">
        <v>1498</v>
      </c>
      <c r="D767" s="186" t="s">
        <v>480</v>
      </c>
      <c r="E767" s="186" t="str">
        <f t="shared" si="1"/>
        <v>MA1000-204-QC</v>
      </c>
    </row>
    <row r="768">
      <c r="A768" s="188" t="s">
        <v>1463</v>
      </c>
      <c r="B768" s="186" t="s">
        <v>1464</v>
      </c>
      <c r="C768" s="186" t="s">
        <v>1498</v>
      </c>
      <c r="D768" s="186" t="s">
        <v>480</v>
      </c>
      <c r="E768" s="186" t="str">
        <f t="shared" si="1"/>
        <v>MA1000-204-RP1</v>
      </c>
    </row>
    <row r="769">
      <c r="A769" s="188" t="s">
        <v>1466</v>
      </c>
      <c r="B769" s="189" t="s">
        <v>1467</v>
      </c>
      <c r="C769" s="186" t="s">
        <v>1498</v>
      </c>
      <c r="D769" s="186" t="s">
        <v>480</v>
      </c>
      <c r="E769" s="186" t="str">
        <f t="shared" si="1"/>
        <v>MA1000-204-RP2</v>
      </c>
    </row>
    <row r="770">
      <c r="A770" s="188" t="s">
        <v>1469</v>
      </c>
      <c r="B770" s="186" t="s">
        <v>1086</v>
      </c>
      <c r="C770" s="186" t="s">
        <v>1498</v>
      </c>
      <c r="D770" s="186" t="s">
        <v>480</v>
      </c>
      <c r="E770" s="186" t="str">
        <f t="shared" si="1"/>
        <v>MA1000-204-FA</v>
      </c>
    </row>
    <row r="771">
      <c r="A771" s="188" t="s">
        <v>1470</v>
      </c>
      <c r="B771" s="186" t="s">
        <v>904</v>
      </c>
      <c r="C771" s="186" t="s">
        <v>1498</v>
      </c>
      <c r="D771" s="186" t="s">
        <v>480</v>
      </c>
      <c r="E771" s="186" t="str">
        <f t="shared" si="1"/>
        <v>MA1000-204-SI</v>
      </c>
    </row>
    <row r="772">
      <c r="A772" s="188" t="s">
        <v>1471</v>
      </c>
      <c r="B772" s="186" t="s">
        <v>946</v>
      </c>
      <c r="C772" s="186" t="s">
        <v>1498</v>
      </c>
      <c r="D772" s="186" t="s">
        <v>480</v>
      </c>
      <c r="E772" s="186" t="str">
        <f t="shared" si="1"/>
        <v>MA1000-204-SD</v>
      </c>
    </row>
    <row r="773">
      <c r="A773" s="188" t="s">
        <v>1472</v>
      </c>
      <c r="B773" s="186" t="s">
        <v>896</v>
      </c>
      <c r="C773" s="186" t="s">
        <v>1498</v>
      </c>
      <c r="D773" s="186" t="s">
        <v>480</v>
      </c>
      <c r="E773" s="186" t="str">
        <f t="shared" si="1"/>
        <v>MA1000-204-SX</v>
      </c>
    </row>
    <row r="774">
      <c r="A774" s="188" t="s">
        <v>1474</v>
      </c>
      <c r="B774" s="186" t="s">
        <v>948</v>
      </c>
      <c r="C774" s="186" t="s">
        <v>1498</v>
      </c>
      <c r="D774" s="186" t="s">
        <v>480</v>
      </c>
      <c r="E774" s="186" t="str">
        <f t="shared" si="1"/>
        <v>MA1000-204-SF</v>
      </c>
    </row>
    <row r="775">
      <c r="A775" s="188" t="s">
        <v>1476</v>
      </c>
      <c r="B775" s="186" t="s">
        <v>1477</v>
      </c>
      <c r="C775" s="186" t="s">
        <v>1498</v>
      </c>
      <c r="D775" s="186" t="s">
        <v>480</v>
      </c>
      <c r="E775" s="186" t="str">
        <f t="shared" si="1"/>
        <v>MA1000-204-PC</v>
      </c>
    </row>
    <row r="776">
      <c r="A776" s="188" t="s">
        <v>1479</v>
      </c>
      <c r="B776" s="186" t="s">
        <v>914</v>
      </c>
      <c r="C776" s="186" t="s">
        <v>1498</v>
      </c>
      <c r="D776" s="186" t="s">
        <v>480</v>
      </c>
      <c r="E776" s="186" t="str">
        <f t="shared" si="1"/>
        <v>MA1000-204-HH</v>
      </c>
    </row>
    <row r="777">
      <c r="A777" s="185" t="s">
        <v>1481</v>
      </c>
      <c r="B777" s="186" t="s">
        <v>916</v>
      </c>
      <c r="C777" s="186" t="s">
        <v>1498</v>
      </c>
      <c r="D777" s="186" t="s">
        <v>480</v>
      </c>
      <c r="E777" s="186" t="str">
        <f t="shared" si="1"/>
        <v>MA1000-204-BH</v>
      </c>
    </row>
    <row r="778">
      <c r="A778" s="188" t="s">
        <v>1483</v>
      </c>
      <c r="B778" s="186" t="s">
        <v>960</v>
      </c>
      <c r="C778" s="186" t="s">
        <v>1498</v>
      </c>
      <c r="D778" s="186" t="s">
        <v>480</v>
      </c>
      <c r="E778" s="186" t="str">
        <f t="shared" si="1"/>
        <v>MA1000-204-FB</v>
      </c>
    </row>
    <row r="779">
      <c r="A779" s="188" t="s">
        <v>1484</v>
      </c>
      <c r="B779" s="189" t="s">
        <v>892</v>
      </c>
      <c r="C779" s="186" t="s">
        <v>1498</v>
      </c>
      <c r="D779" s="186" t="s">
        <v>480</v>
      </c>
      <c r="E779" s="186" t="str">
        <f t="shared" si="1"/>
        <v>MA1000-204-PR1</v>
      </c>
    </row>
    <row r="780">
      <c r="A780" s="188" t="s">
        <v>1485</v>
      </c>
      <c r="B780" s="189" t="s">
        <v>944</v>
      </c>
      <c r="C780" s="186" t="s">
        <v>1498</v>
      </c>
      <c r="D780" s="186" t="s">
        <v>480</v>
      </c>
      <c r="E780" s="186" t="str">
        <f t="shared" si="1"/>
        <v>MA1000-204-PR2</v>
      </c>
    </row>
    <row r="781">
      <c r="A781" s="188" t="s">
        <v>1486</v>
      </c>
      <c r="B781" s="186" t="s">
        <v>912</v>
      </c>
      <c r="C781" s="186" t="s">
        <v>1498</v>
      </c>
      <c r="D781" s="186" t="s">
        <v>480</v>
      </c>
      <c r="E781" s="186" t="str">
        <f t="shared" si="1"/>
        <v>MA1000-204-CL</v>
      </c>
    </row>
    <row r="782">
      <c r="A782" s="188" t="s">
        <v>1488</v>
      </c>
      <c r="B782" s="189" t="s">
        <v>1489</v>
      </c>
      <c r="C782" s="186" t="s">
        <v>1498</v>
      </c>
      <c r="D782" s="186" t="s">
        <v>480</v>
      </c>
      <c r="E782" s="186" t="str">
        <f t="shared" si="1"/>
        <v>MA1000-204-IFR</v>
      </c>
    </row>
    <row r="783">
      <c r="A783" s="188" t="s">
        <v>1492</v>
      </c>
      <c r="B783" s="186" t="s">
        <v>918</v>
      </c>
      <c r="C783" s="186" t="s">
        <v>1498</v>
      </c>
      <c r="D783" s="186" t="s">
        <v>480</v>
      </c>
      <c r="E783" s="186" t="str">
        <f t="shared" si="1"/>
        <v>MA1000-204-FC</v>
      </c>
    </row>
    <row r="784">
      <c r="A784" s="185" t="s">
        <v>1494</v>
      </c>
      <c r="B784" s="189" t="s">
        <v>1495</v>
      </c>
      <c r="C784" s="186" t="s">
        <v>1498</v>
      </c>
      <c r="D784" s="186" t="s">
        <v>480</v>
      </c>
      <c r="E784" s="186" t="str">
        <f t="shared" si="1"/>
        <v>MA1000-204-CBC</v>
      </c>
    </row>
    <row r="785">
      <c r="A785" s="185" t="s">
        <v>1453</v>
      </c>
      <c r="B785" s="186" t="s">
        <v>1372</v>
      </c>
      <c r="C785" s="186" t="s">
        <v>1499</v>
      </c>
      <c r="D785" s="186" t="s">
        <v>482</v>
      </c>
      <c r="E785" s="186" t="str">
        <f t="shared" si="1"/>
        <v>MA0400-204-BD</v>
      </c>
    </row>
    <row r="786">
      <c r="A786" s="185" t="s">
        <v>663</v>
      </c>
      <c r="B786" s="186" t="s">
        <v>889</v>
      </c>
      <c r="C786" s="186" t="s">
        <v>1499</v>
      </c>
      <c r="D786" s="186" t="s">
        <v>482</v>
      </c>
      <c r="E786" s="186" t="str">
        <f t="shared" si="1"/>
        <v>MA0400-204-CC</v>
      </c>
    </row>
    <row r="787">
      <c r="A787" s="188" t="s">
        <v>1454</v>
      </c>
      <c r="B787" s="186" t="s">
        <v>1086</v>
      </c>
      <c r="C787" s="186" t="s">
        <v>1499</v>
      </c>
      <c r="D787" s="186" t="s">
        <v>482</v>
      </c>
      <c r="E787" s="186" t="str">
        <f t="shared" si="1"/>
        <v>MA0400-204-FA</v>
      </c>
    </row>
    <row r="788">
      <c r="A788" s="188" t="s">
        <v>1455</v>
      </c>
      <c r="B788" s="186" t="s">
        <v>899</v>
      </c>
      <c r="C788" s="186" t="s">
        <v>1499</v>
      </c>
      <c r="D788" s="186" t="s">
        <v>482</v>
      </c>
      <c r="E788" s="186" t="str">
        <f t="shared" si="1"/>
        <v>MA0400-204-CU</v>
      </c>
    </row>
    <row r="789">
      <c r="A789" s="188" t="s">
        <v>1456</v>
      </c>
      <c r="B789" s="186" t="s">
        <v>902</v>
      </c>
      <c r="C789" s="186" t="s">
        <v>1499</v>
      </c>
      <c r="D789" s="186" t="s">
        <v>482</v>
      </c>
      <c r="E789" s="186" t="str">
        <f t="shared" si="1"/>
        <v>MA0400-204-GB</v>
      </c>
    </row>
    <row r="790">
      <c r="A790" s="188" t="s">
        <v>1457</v>
      </c>
      <c r="B790" s="186" t="s">
        <v>931</v>
      </c>
      <c r="C790" s="186" t="s">
        <v>1499</v>
      </c>
      <c r="D790" s="186" t="s">
        <v>482</v>
      </c>
      <c r="E790" s="186" t="str">
        <f t="shared" si="1"/>
        <v>MA0400-204-PF</v>
      </c>
    </row>
    <row r="791">
      <c r="A791" s="188" t="s">
        <v>1458</v>
      </c>
      <c r="B791" s="186" t="s">
        <v>928</v>
      </c>
      <c r="C791" s="186" t="s">
        <v>1499</v>
      </c>
      <c r="D791" s="186" t="s">
        <v>482</v>
      </c>
      <c r="E791" s="186" t="str">
        <f t="shared" si="1"/>
        <v>MA0400-204-PPO</v>
      </c>
    </row>
    <row r="792">
      <c r="A792" s="188" t="s">
        <v>1459</v>
      </c>
      <c r="B792" s="186" t="s">
        <v>908</v>
      </c>
      <c r="C792" s="186" t="s">
        <v>1499</v>
      </c>
      <c r="D792" s="186" t="s">
        <v>482</v>
      </c>
      <c r="E792" s="186" t="str">
        <f t="shared" si="1"/>
        <v>MA0400-204-POL</v>
      </c>
    </row>
    <row r="793">
      <c r="A793" s="185" t="s">
        <v>1460</v>
      </c>
      <c r="B793" s="189" t="s">
        <v>1461</v>
      </c>
      <c r="C793" s="186" t="s">
        <v>1499</v>
      </c>
      <c r="D793" s="186" t="s">
        <v>482</v>
      </c>
      <c r="E793" s="186" t="str">
        <f t="shared" si="1"/>
        <v>MA0400-204-PR</v>
      </c>
    </row>
    <row r="794">
      <c r="A794" s="188" t="s">
        <v>1462</v>
      </c>
      <c r="B794" s="186" t="s">
        <v>629</v>
      </c>
      <c r="C794" s="186" t="s">
        <v>1499</v>
      </c>
      <c r="D794" s="186" t="s">
        <v>482</v>
      </c>
      <c r="E794" s="186" t="str">
        <f t="shared" si="1"/>
        <v>MA0400-204-QC</v>
      </c>
    </row>
    <row r="795">
      <c r="A795" s="188" t="s">
        <v>1463</v>
      </c>
      <c r="B795" s="186" t="s">
        <v>1464</v>
      </c>
      <c r="C795" s="186" t="s">
        <v>1499</v>
      </c>
      <c r="D795" s="186" t="s">
        <v>482</v>
      </c>
      <c r="E795" s="186" t="str">
        <f t="shared" si="1"/>
        <v>MA0400-204-RP1</v>
      </c>
    </row>
    <row r="796">
      <c r="A796" s="188" t="s">
        <v>1466</v>
      </c>
      <c r="B796" s="189" t="s">
        <v>1467</v>
      </c>
      <c r="C796" s="186" t="s">
        <v>1499</v>
      </c>
      <c r="D796" s="186" t="s">
        <v>482</v>
      </c>
      <c r="E796" s="186" t="str">
        <f t="shared" si="1"/>
        <v>MA0400-204-RP2</v>
      </c>
    </row>
    <row r="797">
      <c r="A797" s="188" t="s">
        <v>1469</v>
      </c>
      <c r="B797" s="186" t="s">
        <v>1086</v>
      </c>
      <c r="C797" s="186" t="s">
        <v>1499</v>
      </c>
      <c r="D797" s="186" t="s">
        <v>482</v>
      </c>
      <c r="E797" s="186" t="str">
        <f t="shared" si="1"/>
        <v>MA0400-204-FA</v>
      </c>
    </row>
    <row r="798">
      <c r="A798" s="188" t="s">
        <v>1470</v>
      </c>
      <c r="B798" s="186" t="s">
        <v>904</v>
      </c>
      <c r="C798" s="186" t="s">
        <v>1499</v>
      </c>
      <c r="D798" s="186" t="s">
        <v>482</v>
      </c>
      <c r="E798" s="186" t="str">
        <f t="shared" si="1"/>
        <v>MA0400-204-SI</v>
      </c>
    </row>
    <row r="799">
      <c r="A799" s="188" t="s">
        <v>1471</v>
      </c>
      <c r="B799" s="186" t="s">
        <v>946</v>
      </c>
      <c r="C799" s="186" t="s">
        <v>1499</v>
      </c>
      <c r="D799" s="186" t="s">
        <v>482</v>
      </c>
      <c r="E799" s="186" t="str">
        <f t="shared" si="1"/>
        <v>MA0400-204-SD</v>
      </c>
    </row>
    <row r="800">
      <c r="A800" s="188" t="s">
        <v>1472</v>
      </c>
      <c r="B800" s="186" t="s">
        <v>896</v>
      </c>
      <c r="C800" s="186" t="s">
        <v>1499</v>
      </c>
      <c r="D800" s="186" t="s">
        <v>482</v>
      </c>
      <c r="E800" s="186" t="str">
        <f t="shared" si="1"/>
        <v>MA0400-204-SX</v>
      </c>
    </row>
    <row r="801">
      <c r="A801" s="188" t="s">
        <v>1474</v>
      </c>
      <c r="B801" s="186" t="s">
        <v>948</v>
      </c>
      <c r="C801" s="186" t="s">
        <v>1499</v>
      </c>
      <c r="D801" s="186" t="s">
        <v>482</v>
      </c>
      <c r="E801" s="186" t="str">
        <f t="shared" si="1"/>
        <v>MA0400-204-SF</v>
      </c>
    </row>
    <row r="802">
      <c r="A802" s="188" t="s">
        <v>1476</v>
      </c>
      <c r="B802" s="186" t="s">
        <v>1477</v>
      </c>
      <c r="C802" s="186" t="s">
        <v>1499</v>
      </c>
      <c r="D802" s="186" t="s">
        <v>482</v>
      </c>
      <c r="E802" s="186" t="str">
        <f t="shared" si="1"/>
        <v>MA0400-204-PC</v>
      </c>
    </row>
    <row r="803">
      <c r="A803" s="188" t="s">
        <v>1479</v>
      </c>
      <c r="B803" s="186" t="s">
        <v>914</v>
      </c>
      <c r="C803" s="186" t="s">
        <v>1499</v>
      </c>
      <c r="D803" s="186" t="s">
        <v>482</v>
      </c>
      <c r="E803" s="186" t="str">
        <f t="shared" si="1"/>
        <v>MA0400-204-HH</v>
      </c>
    </row>
    <row r="804">
      <c r="A804" s="185" t="s">
        <v>1481</v>
      </c>
      <c r="B804" s="186" t="s">
        <v>916</v>
      </c>
      <c r="C804" s="186" t="s">
        <v>1499</v>
      </c>
      <c r="D804" s="186" t="s">
        <v>482</v>
      </c>
      <c r="E804" s="186" t="str">
        <f t="shared" si="1"/>
        <v>MA0400-204-BH</v>
      </c>
    </row>
    <row r="805">
      <c r="A805" s="188" t="s">
        <v>1483</v>
      </c>
      <c r="B805" s="186" t="s">
        <v>960</v>
      </c>
      <c r="C805" s="186" t="s">
        <v>1499</v>
      </c>
      <c r="D805" s="186" t="s">
        <v>482</v>
      </c>
      <c r="E805" s="186" t="str">
        <f t="shared" si="1"/>
        <v>MA0400-204-FB</v>
      </c>
    </row>
    <row r="806">
      <c r="A806" s="188" t="s">
        <v>1484</v>
      </c>
      <c r="B806" s="189" t="s">
        <v>892</v>
      </c>
      <c r="C806" s="186" t="s">
        <v>1499</v>
      </c>
      <c r="D806" s="186" t="s">
        <v>482</v>
      </c>
      <c r="E806" s="186" t="str">
        <f t="shared" si="1"/>
        <v>MA0400-204-PR1</v>
      </c>
    </row>
    <row r="807">
      <c r="A807" s="188" t="s">
        <v>1485</v>
      </c>
      <c r="B807" s="189" t="s">
        <v>944</v>
      </c>
      <c r="C807" s="186" t="s">
        <v>1499</v>
      </c>
      <c r="D807" s="186" t="s">
        <v>482</v>
      </c>
      <c r="E807" s="186" t="str">
        <f t="shared" si="1"/>
        <v>MA0400-204-PR2</v>
      </c>
    </row>
    <row r="808">
      <c r="A808" s="188" t="s">
        <v>1486</v>
      </c>
      <c r="B808" s="186" t="s">
        <v>912</v>
      </c>
      <c r="C808" s="186" t="s">
        <v>1499</v>
      </c>
      <c r="D808" s="186" t="s">
        <v>482</v>
      </c>
      <c r="E808" s="186" t="str">
        <f t="shared" si="1"/>
        <v>MA0400-204-CL</v>
      </c>
    </row>
    <row r="809">
      <c r="A809" s="188" t="s">
        <v>1488</v>
      </c>
      <c r="B809" s="189" t="s">
        <v>1489</v>
      </c>
      <c r="C809" s="186" t="s">
        <v>1499</v>
      </c>
      <c r="D809" s="186" t="s">
        <v>482</v>
      </c>
      <c r="E809" s="186" t="str">
        <f t="shared" si="1"/>
        <v>MA0400-204-IFR</v>
      </c>
    </row>
    <row r="810">
      <c r="A810" s="188" t="s">
        <v>1492</v>
      </c>
      <c r="B810" s="186" t="s">
        <v>918</v>
      </c>
      <c r="C810" s="186" t="s">
        <v>1499</v>
      </c>
      <c r="D810" s="186" t="s">
        <v>482</v>
      </c>
      <c r="E810" s="186" t="str">
        <f t="shared" si="1"/>
        <v>MA0400-204-FC</v>
      </c>
    </row>
    <row r="811">
      <c r="A811" s="185" t="s">
        <v>1494</v>
      </c>
      <c r="B811" s="189" t="s">
        <v>1495</v>
      </c>
      <c r="C811" s="186" t="s">
        <v>1499</v>
      </c>
      <c r="D811" s="186" t="s">
        <v>482</v>
      </c>
      <c r="E811" s="186" t="str">
        <f t="shared" si="1"/>
        <v>MA0400-204-CBC</v>
      </c>
    </row>
    <row r="812">
      <c r="A812" s="186"/>
      <c r="B812" s="186"/>
      <c r="C812" s="186"/>
      <c r="D812" s="186"/>
      <c r="E812" s="186"/>
    </row>
    <row r="813">
      <c r="A813" s="186"/>
      <c r="B813" s="186"/>
      <c r="C813" s="186"/>
      <c r="D813" s="186"/>
      <c r="E813" s="186"/>
    </row>
    <row r="814">
      <c r="A814" s="186"/>
      <c r="B814" s="186"/>
      <c r="C814" s="186"/>
      <c r="D814" s="186"/>
      <c r="E814" s="186"/>
    </row>
    <row r="815">
      <c r="A815" s="186"/>
      <c r="B815" s="186"/>
      <c r="C815" s="186"/>
      <c r="D815" s="186"/>
      <c r="E815" s="186"/>
    </row>
    <row r="816">
      <c r="A816" s="186"/>
      <c r="B816" s="186"/>
      <c r="C816" s="186"/>
      <c r="D816" s="186"/>
      <c r="E816" s="186"/>
    </row>
    <row r="817">
      <c r="A817" s="186"/>
      <c r="B817" s="186"/>
      <c r="C817" s="186"/>
      <c r="D817" s="186"/>
      <c r="E817" s="186"/>
    </row>
    <row r="818">
      <c r="A818" s="186"/>
      <c r="B818" s="186"/>
      <c r="C818" s="186"/>
      <c r="D818" s="186"/>
      <c r="E818" s="186"/>
    </row>
    <row r="819">
      <c r="A819" s="186"/>
      <c r="B819" s="186"/>
      <c r="C819" s="186"/>
      <c r="D819" s="186"/>
      <c r="E819" s="186"/>
    </row>
    <row r="820">
      <c r="A820" s="186"/>
      <c r="B820" s="186"/>
      <c r="C820" s="186"/>
      <c r="D820" s="186"/>
      <c r="E820" s="186"/>
    </row>
    <row r="821">
      <c r="A821" s="186"/>
      <c r="B821" s="186"/>
      <c r="C821" s="186"/>
      <c r="D821" s="186"/>
      <c r="E821" s="186"/>
    </row>
    <row r="822">
      <c r="A822" s="186"/>
      <c r="B822" s="186"/>
      <c r="C822" s="186"/>
      <c r="D822" s="186"/>
      <c r="E822" s="186"/>
    </row>
    <row r="823">
      <c r="A823" s="186"/>
      <c r="B823" s="186"/>
      <c r="C823" s="186"/>
      <c r="D823" s="186"/>
      <c r="E823" s="186"/>
    </row>
    <row r="824">
      <c r="A824" s="186"/>
      <c r="B824" s="186"/>
      <c r="C824" s="186"/>
      <c r="D824" s="186"/>
      <c r="E824" s="186"/>
    </row>
    <row r="825">
      <c r="A825" s="186"/>
      <c r="B825" s="186"/>
      <c r="C825" s="186"/>
      <c r="D825" s="186"/>
      <c r="E825" s="186"/>
    </row>
    <row r="826">
      <c r="A826" s="186"/>
      <c r="B826" s="186"/>
      <c r="C826" s="186"/>
      <c r="D826" s="186"/>
      <c r="E826" s="186"/>
    </row>
    <row r="827">
      <c r="A827" s="186"/>
      <c r="B827" s="186"/>
      <c r="C827" s="186"/>
      <c r="D827" s="186"/>
      <c r="E827" s="186"/>
    </row>
    <row r="828">
      <c r="A828" s="186"/>
      <c r="B828" s="186"/>
      <c r="C828" s="186"/>
      <c r="D828" s="186"/>
      <c r="E828" s="186"/>
    </row>
    <row r="829">
      <c r="A829" s="186"/>
      <c r="B829" s="186"/>
      <c r="C829" s="186"/>
      <c r="D829" s="186"/>
      <c r="E829" s="186"/>
    </row>
    <row r="830">
      <c r="A830" s="186"/>
      <c r="B830" s="186"/>
      <c r="C830" s="186"/>
      <c r="D830" s="186"/>
      <c r="E830" s="186"/>
    </row>
    <row r="831">
      <c r="A831" s="186"/>
      <c r="B831" s="186"/>
      <c r="C831" s="186"/>
      <c r="D831" s="186"/>
      <c r="E831" s="186"/>
    </row>
    <row r="832">
      <c r="A832" s="186"/>
      <c r="B832" s="186"/>
      <c r="C832" s="186"/>
      <c r="D832" s="186"/>
      <c r="E832" s="186"/>
    </row>
    <row r="833">
      <c r="A833" s="186"/>
      <c r="B833" s="186"/>
      <c r="C833" s="186"/>
      <c r="D833" s="186"/>
      <c r="E833" s="186"/>
    </row>
    <row r="834">
      <c r="A834" s="186"/>
      <c r="B834" s="186"/>
      <c r="C834" s="186"/>
      <c r="D834" s="186"/>
      <c r="E834" s="186"/>
    </row>
    <row r="835">
      <c r="A835" s="186"/>
      <c r="B835" s="186"/>
      <c r="C835" s="186"/>
      <c r="D835" s="186"/>
      <c r="E835" s="186"/>
    </row>
    <row r="836">
      <c r="A836" s="186"/>
      <c r="B836" s="186"/>
      <c r="C836" s="186"/>
      <c r="D836" s="186"/>
      <c r="E836" s="186"/>
    </row>
    <row r="837">
      <c r="A837" s="186"/>
      <c r="B837" s="186"/>
      <c r="C837" s="186"/>
      <c r="D837" s="186"/>
      <c r="E837" s="186"/>
    </row>
    <row r="838">
      <c r="A838" s="186"/>
      <c r="B838" s="186"/>
      <c r="C838" s="186"/>
      <c r="D838" s="186"/>
      <c r="E838" s="186"/>
    </row>
    <row r="839">
      <c r="A839" s="186"/>
      <c r="B839" s="186"/>
      <c r="C839" s="186"/>
      <c r="D839" s="186"/>
      <c r="E839" s="186"/>
    </row>
    <row r="840">
      <c r="A840" s="186"/>
      <c r="B840" s="186"/>
      <c r="C840" s="186"/>
      <c r="D840" s="186"/>
      <c r="E840" s="186"/>
    </row>
    <row r="841">
      <c r="A841" s="186"/>
      <c r="B841" s="186"/>
      <c r="C841" s="186"/>
      <c r="D841" s="186"/>
      <c r="E841" s="186"/>
    </row>
    <row r="842">
      <c r="A842" s="186"/>
      <c r="B842" s="186"/>
      <c r="C842" s="186"/>
      <c r="D842" s="186"/>
      <c r="E842" s="186"/>
    </row>
    <row r="843">
      <c r="A843" s="186"/>
      <c r="B843" s="186"/>
      <c r="C843" s="186"/>
      <c r="D843" s="186"/>
      <c r="E843" s="186"/>
    </row>
    <row r="844">
      <c r="A844" s="186"/>
      <c r="B844" s="186"/>
      <c r="C844" s="186"/>
      <c r="D844" s="186"/>
      <c r="E844" s="186"/>
    </row>
    <row r="845">
      <c r="A845" s="186"/>
      <c r="B845" s="186"/>
      <c r="C845" s="186"/>
      <c r="D845" s="186"/>
      <c r="E845" s="186"/>
    </row>
    <row r="846">
      <c r="A846" s="186"/>
      <c r="B846" s="186"/>
      <c r="C846" s="186"/>
      <c r="D846" s="186"/>
      <c r="E846" s="186"/>
    </row>
    <row r="847">
      <c r="A847" s="186"/>
      <c r="B847" s="186"/>
      <c r="C847" s="186"/>
      <c r="D847" s="186"/>
      <c r="E847" s="186"/>
    </row>
    <row r="848">
      <c r="A848" s="186"/>
      <c r="B848" s="186"/>
      <c r="C848" s="186"/>
      <c r="D848" s="186"/>
      <c r="E848" s="186"/>
    </row>
    <row r="849">
      <c r="A849" s="186"/>
      <c r="B849" s="186"/>
      <c r="C849" s="186"/>
      <c r="D849" s="186"/>
      <c r="E849" s="186"/>
    </row>
    <row r="850">
      <c r="A850" s="186"/>
      <c r="B850" s="186"/>
      <c r="C850" s="186"/>
      <c r="D850" s="186"/>
      <c r="E850" s="186"/>
    </row>
    <row r="851">
      <c r="A851" s="186"/>
      <c r="B851" s="186"/>
      <c r="C851" s="186"/>
      <c r="D851" s="186"/>
      <c r="E851" s="186"/>
    </row>
    <row r="852">
      <c r="A852" s="186"/>
      <c r="B852" s="186"/>
      <c r="C852" s="186"/>
      <c r="D852" s="186"/>
      <c r="E852" s="186"/>
    </row>
    <row r="853">
      <c r="A853" s="186"/>
      <c r="B853" s="186"/>
      <c r="C853" s="186"/>
      <c r="D853" s="186"/>
      <c r="E853" s="186"/>
    </row>
    <row r="854">
      <c r="A854" s="186"/>
      <c r="B854" s="186"/>
      <c r="C854" s="186"/>
      <c r="D854" s="186"/>
      <c r="E854" s="186"/>
    </row>
    <row r="855">
      <c r="A855" s="186"/>
      <c r="B855" s="186"/>
      <c r="C855" s="186"/>
      <c r="D855" s="186"/>
      <c r="E855" s="186"/>
    </row>
    <row r="856">
      <c r="A856" s="186"/>
      <c r="B856" s="186"/>
      <c r="C856" s="186"/>
      <c r="D856" s="186"/>
      <c r="E856" s="186"/>
    </row>
    <row r="857">
      <c r="A857" s="186"/>
      <c r="B857" s="186"/>
      <c r="C857" s="186"/>
      <c r="D857" s="186"/>
      <c r="E857" s="186"/>
    </row>
    <row r="858">
      <c r="A858" s="186"/>
      <c r="B858" s="186"/>
      <c r="C858" s="186"/>
      <c r="D858" s="186"/>
      <c r="E858" s="186"/>
    </row>
    <row r="859">
      <c r="A859" s="186"/>
      <c r="B859" s="186"/>
      <c r="C859" s="186"/>
      <c r="D859" s="186"/>
      <c r="E859" s="186"/>
    </row>
    <row r="860">
      <c r="A860" s="186"/>
      <c r="B860" s="186"/>
      <c r="C860" s="186"/>
      <c r="D860" s="186"/>
      <c r="E860" s="186"/>
    </row>
    <row r="861">
      <c r="A861" s="186"/>
      <c r="B861" s="186"/>
      <c r="C861" s="186"/>
      <c r="D861" s="186"/>
      <c r="E861" s="186"/>
    </row>
    <row r="862">
      <c r="A862" s="186"/>
      <c r="B862" s="186"/>
      <c r="C862" s="186"/>
      <c r="D862" s="186"/>
      <c r="E862" s="186"/>
    </row>
    <row r="863">
      <c r="A863" s="186"/>
      <c r="B863" s="186"/>
      <c r="C863" s="186"/>
      <c r="D863" s="186"/>
      <c r="E863" s="186"/>
    </row>
    <row r="864">
      <c r="A864" s="186"/>
      <c r="B864" s="186"/>
      <c r="C864" s="186"/>
      <c r="D864" s="186"/>
      <c r="E864" s="186"/>
    </row>
    <row r="865">
      <c r="A865" s="186"/>
      <c r="B865" s="186"/>
      <c r="C865" s="186"/>
      <c r="D865" s="186"/>
      <c r="E865" s="186"/>
    </row>
    <row r="866">
      <c r="A866" s="186"/>
      <c r="B866" s="186"/>
      <c r="C866" s="186"/>
      <c r="D866" s="186"/>
      <c r="E866" s="186"/>
    </row>
    <row r="867">
      <c r="A867" s="186"/>
      <c r="B867" s="186"/>
      <c r="C867" s="186"/>
      <c r="D867" s="186"/>
      <c r="E867" s="186"/>
    </row>
    <row r="868">
      <c r="A868" s="186"/>
      <c r="B868" s="186"/>
      <c r="C868" s="186"/>
      <c r="D868" s="186"/>
      <c r="E868" s="186"/>
    </row>
    <row r="869">
      <c r="A869" s="186"/>
      <c r="B869" s="186"/>
      <c r="C869" s="186"/>
      <c r="D869" s="186"/>
      <c r="E869" s="186"/>
    </row>
    <row r="870">
      <c r="A870" s="186"/>
      <c r="B870" s="186"/>
      <c r="C870" s="186"/>
      <c r="D870" s="186"/>
      <c r="E870" s="186"/>
    </row>
    <row r="871">
      <c r="A871" s="186"/>
      <c r="B871" s="186"/>
      <c r="C871" s="186"/>
      <c r="D871" s="186"/>
      <c r="E871" s="186"/>
    </row>
    <row r="872">
      <c r="A872" s="186"/>
      <c r="B872" s="186"/>
      <c r="C872" s="186"/>
      <c r="D872" s="186"/>
      <c r="E872" s="186"/>
    </row>
    <row r="873">
      <c r="A873" s="186"/>
      <c r="B873" s="186"/>
      <c r="C873" s="186"/>
      <c r="D873" s="186"/>
      <c r="E873" s="186"/>
    </row>
    <row r="874">
      <c r="A874" s="186"/>
      <c r="B874" s="186"/>
      <c r="C874" s="186"/>
      <c r="D874" s="186"/>
      <c r="E874" s="186"/>
    </row>
    <row r="875">
      <c r="A875" s="186"/>
      <c r="B875" s="186"/>
      <c r="C875" s="186"/>
      <c r="D875" s="186"/>
      <c r="E875" s="186"/>
    </row>
    <row r="876">
      <c r="A876" s="186"/>
      <c r="B876" s="186"/>
      <c r="C876" s="186"/>
      <c r="D876" s="186"/>
      <c r="E876" s="186"/>
    </row>
    <row r="877">
      <c r="A877" s="186"/>
      <c r="B877" s="186"/>
      <c r="C877" s="186"/>
      <c r="D877" s="186"/>
      <c r="E877" s="186"/>
    </row>
    <row r="878">
      <c r="A878" s="186"/>
      <c r="B878" s="186"/>
      <c r="C878" s="186"/>
      <c r="D878" s="186"/>
      <c r="E878" s="186"/>
    </row>
    <row r="879">
      <c r="A879" s="186"/>
      <c r="B879" s="186"/>
      <c r="C879" s="186"/>
      <c r="D879" s="186"/>
      <c r="E879" s="186"/>
    </row>
    <row r="880">
      <c r="A880" s="186"/>
      <c r="B880" s="186"/>
      <c r="C880" s="186"/>
      <c r="D880" s="186"/>
      <c r="E880" s="186"/>
    </row>
    <row r="881">
      <c r="A881" s="186"/>
      <c r="B881" s="186"/>
      <c r="C881" s="186"/>
      <c r="D881" s="186"/>
      <c r="E881" s="186"/>
    </row>
    <row r="882">
      <c r="A882" s="186"/>
      <c r="B882" s="186"/>
      <c r="C882" s="186"/>
      <c r="D882" s="186"/>
      <c r="E882" s="186"/>
    </row>
    <row r="883">
      <c r="A883" s="186"/>
      <c r="B883" s="186"/>
      <c r="C883" s="186"/>
      <c r="D883" s="186"/>
      <c r="E883" s="186"/>
    </row>
    <row r="884">
      <c r="A884" s="186"/>
      <c r="B884" s="186"/>
      <c r="C884" s="186"/>
      <c r="D884" s="186"/>
      <c r="E884" s="186"/>
    </row>
    <row r="885">
      <c r="A885" s="186"/>
      <c r="B885" s="186"/>
      <c r="C885" s="186"/>
      <c r="D885" s="186"/>
      <c r="E885" s="186"/>
    </row>
    <row r="886">
      <c r="A886" s="186"/>
      <c r="B886" s="186"/>
      <c r="C886" s="186"/>
      <c r="D886" s="186"/>
      <c r="E886" s="186"/>
    </row>
    <row r="887">
      <c r="A887" s="186"/>
      <c r="B887" s="186"/>
      <c r="C887" s="186"/>
      <c r="D887" s="186"/>
      <c r="E887" s="186"/>
    </row>
    <row r="888">
      <c r="A888" s="186"/>
      <c r="B888" s="186"/>
      <c r="C888" s="186"/>
      <c r="D888" s="186"/>
      <c r="E888" s="186"/>
    </row>
    <row r="889">
      <c r="A889" s="186"/>
      <c r="B889" s="186"/>
      <c r="C889" s="186"/>
      <c r="D889" s="186"/>
      <c r="E889" s="186"/>
    </row>
    <row r="890">
      <c r="A890" s="186"/>
      <c r="B890" s="186"/>
      <c r="C890" s="186"/>
      <c r="D890" s="186"/>
      <c r="E890" s="186"/>
    </row>
    <row r="891">
      <c r="A891" s="186"/>
      <c r="B891" s="186"/>
      <c r="C891" s="186"/>
      <c r="D891" s="186"/>
      <c r="E891" s="186"/>
    </row>
    <row r="892">
      <c r="A892" s="186"/>
      <c r="B892" s="186"/>
      <c r="C892" s="186"/>
      <c r="D892" s="186"/>
      <c r="E892" s="186"/>
    </row>
    <row r="893">
      <c r="A893" s="186"/>
      <c r="B893" s="186"/>
      <c r="C893" s="186"/>
      <c r="D893" s="186"/>
      <c r="E893" s="186"/>
    </row>
    <row r="894">
      <c r="A894" s="186"/>
      <c r="B894" s="186"/>
      <c r="C894" s="186"/>
      <c r="D894" s="186"/>
      <c r="E894" s="186"/>
    </row>
    <row r="895">
      <c r="A895" s="186"/>
      <c r="B895" s="186"/>
      <c r="C895" s="186"/>
      <c r="D895" s="186"/>
      <c r="E895" s="186"/>
    </row>
    <row r="896">
      <c r="A896" s="186"/>
      <c r="B896" s="186"/>
      <c r="C896" s="186"/>
      <c r="D896" s="186"/>
      <c r="E896" s="186"/>
    </row>
    <row r="897">
      <c r="A897" s="186"/>
      <c r="B897" s="186"/>
      <c r="C897" s="186"/>
      <c r="D897" s="186"/>
      <c r="E897" s="186"/>
    </row>
    <row r="898">
      <c r="A898" s="186"/>
      <c r="B898" s="186"/>
      <c r="C898" s="186"/>
      <c r="D898" s="186"/>
      <c r="E898" s="186"/>
    </row>
    <row r="899">
      <c r="A899" s="186"/>
      <c r="B899" s="186"/>
      <c r="C899" s="186"/>
      <c r="D899" s="186"/>
      <c r="E899" s="186"/>
    </row>
    <row r="900">
      <c r="A900" s="186"/>
      <c r="B900" s="186"/>
      <c r="C900" s="186"/>
      <c r="D900" s="186"/>
      <c r="E900" s="186"/>
    </row>
    <row r="901">
      <c r="A901" s="186"/>
      <c r="B901" s="186"/>
      <c r="C901" s="186"/>
      <c r="D901" s="186"/>
      <c r="E901" s="186"/>
    </row>
    <row r="902">
      <c r="A902" s="186"/>
      <c r="B902" s="186"/>
      <c r="C902" s="186"/>
      <c r="D902" s="186"/>
      <c r="E902" s="186"/>
    </row>
    <row r="903">
      <c r="A903" s="186"/>
      <c r="B903" s="186"/>
      <c r="C903" s="186"/>
      <c r="D903" s="186"/>
      <c r="E903" s="186"/>
    </row>
    <row r="904">
      <c r="A904" s="186"/>
      <c r="B904" s="186"/>
      <c r="C904" s="186"/>
      <c r="D904" s="186"/>
      <c r="E904" s="186"/>
    </row>
    <row r="905">
      <c r="A905" s="186"/>
      <c r="B905" s="186"/>
      <c r="C905" s="186"/>
      <c r="D905" s="186"/>
      <c r="E905" s="186"/>
    </row>
    <row r="906">
      <c r="A906" s="186"/>
      <c r="B906" s="186"/>
      <c r="C906" s="186"/>
      <c r="D906" s="186"/>
      <c r="E906" s="186"/>
    </row>
    <row r="907">
      <c r="A907" s="186"/>
      <c r="B907" s="186"/>
      <c r="C907" s="186"/>
      <c r="D907" s="186"/>
      <c r="E907" s="186"/>
    </row>
    <row r="908">
      <c r="A908" s="186"/>
      <c r="B908" s="186"/>
      <c r="C908" s="186"/>
      <c r="D908" s="186"/>
      <c r="E908" s="186"/>
    </row>
    <row r="909">
      <c r="A909" s="186"/>
      <c r="B909" s="186"/>
      <c r="C909" s="186"/>
      <c r="D909" s="186"/>
      <c r="E909" s="186"/>
    </row>
    <row r="910">
      <c r="A910" s="186"/>
      <c r="B910" s="186"/>
      <c r="C910" s="186"/>
      <c r="D910" s="186"/>
      <c r="E910" s="186"/>
    </row>
    <row r="911">
      <c r="A911" s="186"/>
      <c r="B911" s="186"/>
      <c r="C911" s="186"/>
      <c r="D911" s="186"/>
      <c r="E911" s="186"/>
    </row>
    <row r="912">
      <c r="A912" s="186"/>
      <c r="B912" s="186"/>
      <c r="C912" s="186"/>
      <c r="D912" s="186"/>
      <c r="E912" s="186"/>
    </row>
    <row r="913">
      <c r="A913" s="186"/>
      <c r="B913" s="186"/>
      <c r="C913" s="186"/>
      <c r="D913" s="186"/>
      <c r="E913" s="186"/>
    </row>
    <row r="914">
      <c r="A914" s="186"/>
      <c r="B914" s="186"/>
      <c r="C914" s="186"/>
      <c r="D914" s="186"/>
      <c r="E914" s="186"/>
    </row>
    <row r="915">
      <c r="A915" s="186"/>
      <c r="B915" s="186"/>
      <c r="C915" s="186"/>
      <c r="D915" s="186"/>
      <c r="E915" s="186"/>
    </row>
    <row r="916">
      <c r="A916" s="186"/>
      <c r="B916" s="186"/>
      <c r="C916" s="186"/>
      <c r="D916" s="186"/>
      <c r="E916" s="186"/>
    </row>
    <row r="917">
      <c r="A917" s="186"/>
      <c r="B917" s="186"/>
      <c r="C917" s="186"/>
      <c r="D917" s="186"/>
      <c r="E917" s="186"/>
    </row>
    <row r="918">
      <c r="A918" s="186"/>
      <c r="B918" s="186"/>
      <c r="C918" s="186"/>
      <c r="D918" s="186"/>
      <c r="E918" s="186"/>
    </row>
    <row r="919">
      <c r="A919" s="186"/>
      <c r="B919" s="186"/>
      <c r="C919" s="186"/>
      <c r="D919" s="186"/>
      <c r="E919" s="186"/>
    </row>
    <row r="920">
      <c r="A920" s="186"/>
      <c r="B920" s="186"/>
      <c r="C920" s="186"/>
      <c r="D920" s="186"/>
      <c r="E920" s="186"/>
    </row>
    <row r="921">
      <c r="A921" s="186"/>
      <c r="B921" s="186"/>
      <c r="C921" s="186"/>
      <c r="D921" s="186"/>
      <c r="E921" s="186"/>
    </row>
    <row r="922">
      <c r="A922" s="186"/>
      <c r="B922" s="186"/>
      <c r="C922" s="186"/>
      <c r="D922" s="186"/>
      <c r="E922" s="186"/>
    </row>
    <row r="923">
      <c r="A923" s="186"/>
      <c r="B923" s="186"/>
      <c r="C923" s="186"/>
      <c r="D923" s="186"/>
      <c r="E923" s="186"/>
    </row>
    <row r="924">
      <c r="A924" s="186"/>
      <c r="B924" s="186"/>
      <c r="C924" s="186"/>
      <c r="D924" s="186"/>
      <c r="E924" s="186"/>
    </row>
    <row r="925">
      <c r="A925" s="186"/>
      <c r="B925" s="186"/>
      <c r="C925" s="186"/>
      <c r="D925" s="186"/>
      <c r="E925" s="186"/>
    </row>
    <row r="926">
      <c r="A926" s="186"/>
      <c r="B926" s="186"/>
      <c r="C926" s="186"/>
      <c r="D926" s="186"/>
      <c r="E926" s="186"/>
    </row>
    <row r="927">
      <c r="A927" s="186"/>
      <c r="B927" s="186"/>
      <c r="C927" s="186"/>
      <c r="D927" s="186"/>
      <c r="E927" s="186"/>
    </row>
    <row r="928">
      <c r="A928" s="186"/>
      <c r="B928" s="186"/>
      <c r="C928" s="186"/>
      <c r="D928" s="186"/>
      <c r="E928" s="186"/>
    </row>
    <row r="929">
      <c r="A929" s="186"/>
      <c r="B929" s="186"/>
      <c r="C929" s="186"/>
      <c r="D929" s="186"/>
      <c r="E929" s="186"/>
    </row>
    <row r="930">
      <c r="A930" s="186"/>
      <c r="B930" s="186"/>
      <c r="C930" s="186"/>
      <c r="D930" s="186"/>
      <c r="E930" s="186"/>
    </row>
    <row r="931">
      <c r="A931" s="186"/>
      <c r="B931" s="186"/>
      <c r="C931" s="186"/>
      <c r="D931" s="186"/>
      <c r="E931" s="186"/>
    </row>
    <row r="932">
      <c r="A932" s="186"/>
      <c r="B932" s="186"/>
      <c r="C932" s="186"/>
      <c r="D932" s="186"/>
      <c r="E932" s="186"/>
    </row>
    <row r="933">
      <c r="A933" s="186"/>
      <c r="B933" s="186"/>
      <c r="C933" s="186"/>
      <c r="D933" s="186"/>
      <c r="E933" s="186"/>
    </row>
    <row r="934">
      <c r="A934" s="186"/>
      <c r="B934" s="186"/>
      <c r="C934" s="186"/>
      <c r="D934" s="186"/>
      <c r="E934" s="186"/>
    </row>
    <row r="935">
      <c r="A935" s="186"/>
      <c r="B935" s="186"/>
      <c r="C935" s="186"/>
      <c r="D935" s="186"/>
      <c r="E935" s="186"/>
    </row>
    <row r="936">
      <c r="A936" s="186"/>
      <c r="B936" s="186"/>
      <c r="C936" s="186"/>
      <c r="D936" s="186"/>
      <c r="E936" s="186"/>
    </row>
    <row r="937">
      <c r="A937" s="186"/>
      <c r="B937" s="186"/>
      <c r="C937" s="186"/>
      <c r="D937" s="186"/>
      <c r="E937" s="186"/>
    </row>
    <row r="938">
      <c r="A938" s="186"/>
      <c r="B938" s="186"/>
      <c r="C938" s="186"/>
      <c r="D938" s="186"/>
      <c r="E938" s="186"/>
    </row>
    <row r="939">
      <c r="A939" s="186"/>
      <c r="B939" s="186"/>
      <c r="C939" s="186"/>
      <c r="D939" s="186"/>
      <c r="E939" s="186"/>
    </row>
    <row r="940">
      <c r="A940" s="186"/>
      <c r="B940" s="186"/>
      <c r="C940" s="186"/>
      <c r="D940" s="186"/>
      <c r="E940" s="186"/>
    </row>
    <row r="941">
      <c r="A941" s="186"/>
      <c r="B941" s="186"/>
      <c r="C941" s="186"/>
      <c r="D941" s="186"/>
      <c r="E941" s="186"/>
    </row>
    <row r="942">
      <c r="A942" s="186"/>
      <c r="B942" s="186"/>
      <c r="C942" s="186"/>
      <c r="D942" s="186"/>
      <c r="E942" s="186"/>
    </row>
    <row r="943">
      <c r="A943" s="186"/>
      <c r="B943" s="186"/>
      <c r="C943" s="186"/>
      <c r="D943" s="186"/>
      <c r="E943" s="186"/>
    </row>
    <row r="944">
      <c r="A944" s="186"/>
      <c r="B944" s="186"/>
      <c r="C944" s="186"/>
      <c r="D944" s="186"/>
      <c r="E944" s="186"/>
    </row>
    <row r="945">
      <c r="A945" s="186"/>
      <c r="B945" s="186"/>
      <c r="C945" s="186"/>
      <c r="D945" s="186"/>
      <c r="E945" s="186"/>
    </row>
    <row r="946">
      <c r="A946" s="186"/>
      <c r="B946" s="186"/>
      <c r="C946" s="186"/>
      <c r="D946" s="186"/>
      <c r="E946" s="186"/>
    </row>
    <row r="947">
      <c r="A947" s="186"/>
      <c r="B947" s="186"/>
      <c r="C947" s="186"/>
      <c r="D947" s="186"/>
      <c r="E947" s="186"/>
    </row>
    <row r="948">
      <c r="A948" s="186"/>
      <c r="B948" s="186"/>
      <c r="C948" s="186"/>
      <c r="D948" s="186"/>
      <c r="E948" s="186"/>
    </row>
    <row r="949">
      <c r="A949" s="186"/>
      <c r="B949" s="186"/>
      <c r="C949" s="186"/>
      <c r="D949" s="186"/>
      <c r="E949" s="186"/>
    </row>
    <row r="950">
      <c r="A950" s="186"/>
      <c r="B950" s="186"/>
      <c r="C950" s="186"/>
      <c r="D950" s="186"/>
      <c r="E950" s="186"/>
    </row>
    <row r="951">
      <c r="A951" s="186"/>
      <c r="B951" s="186"/>
      <c r="C951" s="186"/>
      <c r="D951" s="186"/>
      <c r="E951" s="186"/>
    </row>
    <row r="952">
      <c r="A952" s="186"/>
      <c r="B952" s="186"/>
      <c r="C952" s="186"/>
      <c r="D952" s="186"/>
      <c r="E952" s="186"/>
    </row>
    <row r="953">
      <c r="A953" s="186"/>
      <c r="B953" s="186"/>
      <c r="C953" s="186"/>
      <c r="D953" s="186"/>
      <c r="E953" s="186"/>
    </row>
    <row r="954">
      <c r="A954" s="186"/>
      <c r="B954" s="186"/>
      <c r="C954" s="186"/>
      <c r="D954" s="186"/>
      <c r="E954" s="186"/>
    </row>
    <row r="955">
      <c r="A955" s="186"/>
      <c r="B955" s="186"/>
      <c r="C955" s="186"/>
      <c r="D955" s="186"/>
      <c r="E955" s="186"/>
    </row>
    <row r="956">
      <c r="A956" s="186"/>
      <c r="B956" s="186"/>
      <c r="C956" s="186"/>
      <c r="D956" s="186"/>
      <c r="E956" s="186"/>
    </row>
    <row r="957">
      <c r="A957" s="186"/>
      <c r="B957" s="186"/>
      <c r="C957" s="186"/>
      <c r="D957" s="186"/>
      <c r="E957" s="186"/>
    </row>
    <row r="958">
      <c r="A958" s="186"/>
      <c r="B958" s="186"/>
      <c r="C958" s="186"/>
      <c r="D958" s="186"/>
      <c r="E958" s="186"/>
    </row>
    <row r="959">
      <c r="A959" s="186"/>
      <c r="B959" s="186"/>
      <c r="C959" s="186"/>
      <c r="D959" s="186"/>
      <c r="E959" s="186"/>
    </row>
    <row r="960">
      <c r="A960" s="186"/>
      <c r="B960" s="186"/>
      <c r="C960" s="186"/>
      <c r="D960" s="186"/>
      <c r="E960" s="186"/>
    </row>
    <row r="961">
      <c r="A961" s="186"/>
      <c r="B961" s="186"/>
      <c r="C961" s="186"/>
      <c r="D961" s="186"/>
      <c r="E961" s="186"/>
    </row>
    <row r="962">
      <c r="A962" s="186"/>
      <c r="B962" s="186"/>
      <c r="C962" s="186"/>
      <c r="D962" s="186"/>
      <c r="E962" s="186"/>
    </row>
    <row r="963">
      <c r="A963" s="186"/>
      <c r="B963" s="186"/>
      <c r="C963" s="186"/>
      <c r="D963" s="186"/>
      <c r="E963" s="186"/>
    </row>
    <row r="964">
      <c r="A964" s="186"/>
      <c r="B964" s="186"/>
      <c r="C964" s="186"/>
      <c r="D964" s="186"/>
      <c r="E964" s="186"/>
    </row>
    <row r="965">
      <c r="A965" s="186"/>
      <c r="B965" s="186"/>
      <c r="C965" s="186"/>
      <c r="D965" s="186"/>
      <c r="E965" s="186"/>
    </row>
    <row r="966">
      <c r="A966" s="186"/>
      <c r="B966" s="186"/>
      <c r="C966" s="186"/>
      <c r="D966" s="186"/>
      <c r="E966" s="186"/>
    </row>
    <row r="967">
      <c r="A967" s="186"/>
      <c r="B967" s="186"/>
      <c r="C967" s="186"/>
      <c r="D967" s="186"/>
      <c r="E967" s="186"/>
    </row>
    <row r="968">
      <c r="A968" s="186"/>
      <c r="B968" s="186"/>
      <c r="C968" s="186"/>
      <c r="D968" s="186"/>
      <c r="E968" s="186"/>
    </row>
    <row r="969">
      <c r="A969" s="186"/>
      <c r="B969" s="186"/>
      <c r="C969" s="186"/>
      <c r="D969" s="186"/>
      <c r="E969" s="186"/>
    </row>
    <row r="970">
      <c r="A970" s="186"/>
      <c r="B970" s="186"/>
      <c r="C970" s="186"/>
      <c r="D970" s="186"/>
      <c r="E970" s="186"/>
    </row>
    <row r="971">
      <c r="A971" s="186"/>
      <c r="B971" s="186"/>
      <c r="C971" s="186"/>
      <c r="D971" s="186"/>
      <c r="E971" s="186"/>
    </row>
    <row r="972">
      <c r="A972" s="186"/>
      <c r="B972" s="186"/>
      <c r="C972" s="186"/>
      <c r="D972" s="186"/>
      <c r="E972" s="186"/>
    </row>
    <row r="973">
      <c r="A973" s="186"/>
      <c r="B973" s="186"/>
      <c r="C973" s="186"/>
      <c r="D973" s="186"/>
      <c r="E973" s="186"/>
    </row>
    <row r="974">
      <c r="A974" s="186"/>
      <c r="B974" s="186"/>
      <c r="C974" s="186"/>
      <c r="D974" s="186"/>
      <c r="E974" s="186"/>
    </row>
    <row r="975">
      <c r="A975" s="186"/>
      <c r="B975" s="186"/>
      <c r="C975" s="186"/>
      <c r="D975" s="186"/>
      <c r="E975" s="186"/>
    </row>
    <row r="976">
      <c r="A976" s="186"/>
      <c r="B976" s="186"/>
      <c r="C976" s="186"/>
      <c r="D976" s="186"/>
      <c r="E976" s="186"/>
    </row>
    <row r="977">
      <c r="A977" s="186"/>
      <c r="B977" s="186"/>
      <c r="C977" s="186"/>
      <c r="D977" s="186"/>
      <c r="E977" s="186"/>
    </row>
    <row r="978">
      <c r="A978" s="186"/>
      <c r="B978" s="186"/>
      <c r="C978" s="186"/>
      <c r="D978" s="186"/>
      <c r="E978" s="186"/>
    </row>
    <row r="979">
      <c r="A979" s="186"/>
      <c r="B979" s="186"/>
      <c r="C979" s="186"/>
      <c r="D979" s="186"/>
      <c r="E979" s="186"/>
    </row>
    <row r="980">
      <c r="A980" s="186"/>
      <c r="B980" s="186"/>
      <c r="C980" s="186"/>
      <c r="D980" s="186"/>
      <c r="E980" s="186"/>
    </row>
    <row r="981">
      <c r="A981" s="186"/>
      <c r="B981" s="186"/>
      <c r="C981" s="186"/>
      <c r="D981" s="186"/>
      <c r="E981" s="186"/>
    </row>
    <row r="982">
      <c r="A982" s="186"/>
      <c r="B982" s="186"/>
      <c r="C982" s="186"/>
      <c r="D982" s="186"/>
      <c r="E982" s="186"/>
    </row>
    <row r="983">
      <c r="A983" s="186"/>
      <c r="B983" s="186"/>
      <c r="C983" s="186"/>
      <c r="D983" s="186"/>
      <c r="E983" s="186"/>
    </row>
    <row r="984">
      <c r="A984" s="186"/>
      <c r="B984" s="186"/>
      <c r="C984" s="186"/>
      <c r="D984" s="186"/>
      <c r="E984" s="186"/>
    </row>
    <row r="985">
      <c r="A985" s="186"/>
      <c r="B985" s="186"/>
      <c r="C985" s="186"/>
      <c r="D985" s="186"/>
      <c r="E985" s="186"/>
    </row>
    <row r="986">
      <c r="A986" s="186"/>
      <c r="B986" s="186"/>
      <c r="C986" s="186"/>
      <c r="D986" s="186"/>
      <c r="E986" s="186"/>
    </row>
    <row r="987">
      <c r="A987" s="186"/>
      <c r="B987" s="186"/>
      <c r="C987" s="186"/>
      <c r="D987" s="186"/>
      <c r="E987" s="186"/>
    </row>
    <row r="988">
      <c r="A988" s="186"/>
      <c r="B988" s="186"/>
      <c r="C988" s="186"/>
      <c r="D988" s="186"/>
      <c r="E988" s="186"/>
    </row>
    <row r="989">
      <c r="A989" s="186"/>
      <c r="B989" s="186"/>
      <c r="C989" s="186"/>
      <c r="D989" s="186"/>
      <c r="E989" s="186"/>
    </row>
    <row r="990">
      <c r="A990" s="186"/>
      <c r="B990" s="186"/>
      <c r="C990" s="186"/>
      <c r="D990" s="186"/>
      <c r="E990" s="186"/>
    </row>
    <row r="991">
      <c r="A991" s="186"/>
      <c r="B991" s="186"/>
      <c r="C991" s="186"/>
      <c r="D991" s="186"/>
      <c r="E991" s="186"/>
    </row>
    <row r="992">
      <c r="A992" s="186"/>
      <c r="B992" s="186"/>
      <c r="C992" s="186"/>
      <c r="D992" s="186"/>
      <c r="E992" s="186"/>
    </row>
    <row r="993">
      <c r="A993" s="186"/>
      <c r="B993" s="186"/>
      <c r="C993" s="186"/>
      <c r="D993" s="186"/>
      <c r="E993" s="186"/>
    </row>
    <row r="994">
      <c r="A994" s="186"/>
      <c r="B994" s="186"/>
      <c r="C994" s="186"/>
      <c r="D994" s="186"/>
      <c r="E994" s="186"/>
    </row>
    <row r="995">
      <c r="A995" s="186"/>
      <c r="B995" s="186"/>
      <c r="C995" s="186"/>
      <c r="D995" s="186"/>
      <c r="E995" s="186"/>
    </row>
    <row r="996">
      <c r="A996" s="186"/>
      <c r="B996" s="186"/>
      <c r="C996" s="186"/>
      <c r="D996" s="186"/>
      <c r="E996" s="186"/>
    </row>
    <row r="997">
      <c r="A997" s="186"/>
      <c r="B997" s="186"/>
      <c r="C997" s="186"/>
      <c r="D997" s="186"/>
      <c r="E997" s="186"/>
    </row>
    <row r="998">
      <c r="A998" s="186"/>
      <c r="B998" s="186"/>
      <c r="C998" s="186"/>
      <c r="D998" s="186"/>
      <c r="E998" s="186"/>
    </row>
    <row r="999">
      <c r="A999" s="186"/>
      <c r="B999" s="186"/>
      <c r="C999" s="186"/>
      <c r="D999" s="186"/>
      <c r="E999" s="186"/>
    </row>
    <row r="1000">
      <c r="A1000" s="186"/>
      <c r="B1000" s="186"/>
      <c r="C1000" s="186"/>
      <c r="D1000" s="186"/>
      <c r="E1000" s="18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0.25"/>
    <col customWidth="1" min="11" max="11" width="20.25"/>
  </cols>
  <sheetData>
    <row r="1">
      <c r="A1" s="181" t="s">
        <v>1449</v>
      </c>
      <c r="B1" s="182" t="s">
        <v>1450</v>
      </c>
      <c r="C1" s="182" t="s">
        <v>3</v>
      </c>
      <c r="D1" s="182" t="s">
        <v>58</v>
      </c>
      <c r="E1" s="182" t="s">
        <v>1451</v>
      </c>
      <c r="G1" s="181" t="s">
        <v>1449</v>
      </c>
      <c r="H1" s="182" t="s">
        <v>1450</v>
      </c>
      <c r="I1" s="182" t="s">
        <v>3</v>
      </c>
      <c r="J1" s="182" t="s">
        <v>58</v>
      </c>
      <c r="K1" s="182" t="s">
        <v>1451</v>
      </c>
    </row>
    <row r="2">
      <c r="A2" s="185" t="s">
        <v>1453</v>
      </c>
      <c r="B2" s="186" t="s">
        <v>1372</v>
      </c>
      <c r="C2" s="186" t="s">
        <v>429</v>
      </c>
      <c r="D2" s="186" t="s">
        <v>430</v>
      </c>
      <c r="E2" s="186" t="str">
        <f t="shared" ref="E2:E28" si="1">D2&amp;"-"&amp;B2</f>
        <v>PP1500-202-BD</v>
      </c>
      <c r="G2" s="185" t="s">
        <v>1453</v>
      </c>
      <c r="H2" s="186" t="s">
        <v>1372</v>
      </c>
      <c r="I2" s="186" t="s">
        <v>431</v>
      </c>
      <c r="J2" s="186" t="s">
        <v>432</v>
      </c>
      <c r="K2" s="186" t="str">
        <f t="shared" ref="K2:K28" si="2">J2&amp;"-"&amp;H2</f>
        <v>PP1000-202-BD</v>
      </c>
    </row>
    <row r="3">
      <c r="A3" s="185" t="s">
        <v>663</v>
      </c>
      <c r="B3" s="186" t="s">
        <v>889</v>
      </c>
      <c r="C3" s="186" t="s">
        <v>429</v>
      </c>
      <c r="D3" s="186" t="s">
        <v>430</v>
      </c>
      <c r="E3" s="186" t="str">
        <f t="shared" si="1"/>
        <v>PP1500-202-CC</v>
      </c>
      <c r="G3" s="185" t="s">
        <v>663</v>
      </c>
      <c r="H3" s="186" t="s">
        <v>889</v>
      </c>
      <c r="I3" s="186" t="s">
        <v>431</v>
      </c>
      <c r="J3" s="186" t="s">
        <v>432</v>
      </c>
      <c r="K3" s="186" t="str">
        <f t="shared" si="2"/>
        <v>PP1000-202-CC</v>
      </c>
    </row>
    <row r="4">
      <c r="A4" s="188" t="s">
        <v>1454</v>
      </c>
      <c r="B4" s="186" t="s">
        <v>1086</v>
      </c>
      <c r="C4" s="186" t="s">
        <v>429</v>
      </c>
      <c r="D4" s="186" t="s">
        <v>430</v>
      </c>
      <c r="E4" s="186" t="str">
        <f t="shared" si="1"/>
        <v>PP1500-202-FA</v>
      </c>
      <c r="G4" s="188" t="s">
        <v>1454</v>
      </c>
      <c r="H4" s="186" t="s">
        <v>1086</v>
      </c>
      <c r="I4" s="186" t="s">
        <v>431</v>
      </c>
      <c r="J4" s="186" t="s">
        <v>432</v>
      </c>
      <c r="K4" s="186" t="str">
        <f t="shared" si="2"/>
        <v>PP1000-202-FA</v>
      </c>
    </row>
    <row r="5">
      <c r="A5" s="188" t="s">
        <v>1455</v>
      </c>
      <c r="B5" s="186" t="s">
        <v>899</v>
      </c>
      <c r="C5" s="186" t="s">
        <v>429</v>
      </c>
      <c r="D5" s="186" t="s">
        <v>430</v>
      </c>
      <c r="E5" s="186" t="str">
        <f t="shared" si="1"/>
        <v>PP1500-202-CU</v>
      </c>
      <c r="G5" s="188" t="s">
        <v>1455</v>
      </c>
      <c r="H5" s="186" t="s">
        <v>899</v>
      </c>
      <c r="I5" s="186" t="s">
        <v>431</v>
      </c>
      <c r="J5" s="186" t="s">
        <v>432</v>
      </c>
      <c r="K5" s="186" t="str">
        <f t="shared" si="2"/>
        <v>PP1000-202-CU</v>
      </c>
    </row>
    <row r="6">
      <c r="A6" s="188" t="s">
        <v>1456</v>
      </c>
      <c r="B6" s="186" t="s">
        <v>902</v>
      </c>
      <c r="C6" s="186" t="s">
        <v>429</v>
      </c>
      <c r="D6" s="186" t="s">
        <v>430</v>
      </c>
      <c r="E6" s="186" t="str">
        <f t="shared" si="1"/>
        <v>PP1500-202-GB</v>
      </c>
      <c r="G6" s="188" t="s">
        <v>1456</v>
      </c>
      <c r="H6" s="186" t="s">
        <v>902</v>
      </c>
      <c r="I6" s="186" t="s">
        <v>431</v>
      </c>
      <c r="J6" s="186" t="s">
        <v>432</v>
      </c>
      <c r="K6" s="186" t="str">
        <f t="shared" si="2"/>
        <v>PP1000-202-GB</v>
      </c>
    </row>
    <row r="7">
      <c r="A7" s="188" t="s">
        <v>1457</v>
      </c>
      <c r="B7" s="186" t="s">
        <v>931</v>
      </c>
      <c r="C7" s="186" t="s">
        <v>429</v>
      </c>
      <c r="D7" s="186" t="s">
        <v>430</v>
      </c>
      <c r="E7" s="186" t="str">
        <f t="shared" si="1"/>
        <v>PP1500-202-PF</v>
      </c>
      <c r="G7" s="188" t="s">
        <v>1457</v>
      </c>
      <c r="H7" s="186" t="s">
        <v>931</v>
      </c>
      <c r="I7" s="186" t="s">
        <v>431</v>
      </c>
      <c r="J7" s="186" t="s">
        <v>432</v>
      </c>
      <c r="K7" s="186" t="str">
        <f t="shared" si="2"/>
        <v>PP1000-202-PF</v>
      </c>
    </row>
    <row r="8">
      <c r="A8" s="188" t="s">
        <v>1458</v>
      </c>
      <c r="B8" s="186" t="s">
        <v>928</v>
      </c>
      <c r="C8" s="186" t="s">
        <v>429</v>
      </c>
      <c r="D8" s="186" t="s">
        <v>430</v>
      </c>
      <c r="E8" s="186" t="str">
        <f t="shared" si="1"/>
        <v>PP1500-202-PPO</v>
      </c>
      <c r="G8" s="188" t="s">
        <v>1458</v>
      </c>
      <c r="H8" s="186" t="s">
        <v>928</v>
      </c>
      <c r="I8" s="186" t="s">
        <v>431</v>
      </c>
      <c r="J8" s="186" t="s">
        <v>432</v>
      </c>
      <c r="K8" s="186" t="str">
        <f t="shared" si="2"/>
        <v>PP1000-202-PPO</v>
      </c>
    </row>
    <row r="9">
      <c r="A9" s="188" t="s">
        <v>1459</v>
      </c>
      <c r="B9" s="186" t="s">
        <v>908</v>
      </c>
      <c r="C9" s="186" t="s">
        <v>429</v>
      </c>
      <c r="D9" s="186" t="s">
        <v>430</v>
      </c>
      <c r="E9" s="186" t="str">
        <f t="shared" si="1"/>
        <v>PP1500-202-POL</v>
      </c>
      <c r="G9" s="188" t="s">
        <v>1459</v>
      </c>
      <c r="H9" s="186" t="s">
        <v>908</v>
      </c>
      <c r="I9" s="186" t="s">
        <v>431</v>
      </c>
      <c r="J9" s="186" t="s">
        <v>432</v>
      </c>
      <c r="K9" s="186" t="str">
        <f t="shared" si="2"/>
        <v>PP1000-202-POL</v>
      </c>
    </row>
    <row r="10">
      <c r="A10" s="185" t="s">
        <v>1460</v>
      </c>
      <c r="B10" s="189" t="s">
        <v>1461</v>
      </c>
      <c r="C10" s="186" t="s">
        <v>429</v>
      </c>
      <c r="D10" s="186" t="s">
        <v>430</v>
      </c>
      <c r="E10" s="186" t="str">
        <f t="shared" si="1"/>
        <v>PP1500-202-PR</v>
      </c>
      <c r="G10" s="185" t="s">
        <v>1460</v>
      </c>
      <c r="H10" s="189" t="s">
        <v>1461</v>
      </c>
      <c r="I10" s="186" t="s">
        <v>431</v>
      </c>
      <c r="J10" s="186" t="s">
        <v>432</v>
      </c>
      <c r="K10" s="186" t="str">
        <f t="shared" si="2"/>
        <v>PP1000-202-PR</v>
      </c>
    </row>
    <row r="11">
      <c r="A11" s="188" t="s">
        <v>1462</v>
      </c>
      <c r="B11" s="186" t="s">
        <v>629</v>
      </c>
      <c r="C11" s="186" t="s">
        <v>429</v>
      </c>
      <c r="D11" s="186" t="s">
        <v>430</v>
      </c>
      <c r="E11" s="186" t="str">
        <f t="shared" si="1"/>
        <v>PP1500-202-QC</v>
      </c>
      <c r="G11" s="188" t="s">
        <v>1462</v>
      </c>
      <c r="H11" s="186" t="s">
        <v>629</v>
      </c>
      <c r="I11" s="186" t="s">
        <v>431</v>
      </c>
      <c r="J11" s="186" t="s">
        <v>432</v>
      </c>
      <c r="K11" s="186" t="str">
        <f t="shared" si="2"/>
        <v>PP1000-202-QC</v>
      </c>
    </row>
    <row r="12">
      <c r="A12" s="188" t="s">
        <v>1463</v>
      </c>
      <c r="B12" s="186" t="s">
        <v>1464</v>
      </c>
      <c r="C12" s="186" t="s">
        <v>429</v>
      </c>
      <c r="D12" s="186" t="s">
        <v>430</v>
      </c>
      <c r="E12" s="186" t="str">
        <f t="shared" si="1"/>
        <v>PP1500-202-RP1</v>
      </c>
      <c r="G12" s="188" t="s">
        <v>1463</v>
      </c>
      <c r="H12" s="186" t="s">
        <v>1464</v>
      </c>
      <c r="I12" s="186" t="s">
        <v>431</v>
      </c>
      <c r="J12" s="186" t="s">
        <v>432</v>
      </c>
      <c r="K12" s="186" t="str">
        <f t="shared" si="2"/>
        <v>PP1000-202-RP1</v>
      </c>
    </row>
    <row r="13">
      <c r="A13" s="188" t="s">
        <v>1466</v>
      </c>
      <c r="B13" s="189" t="s">
        <v>1467</v>
      </c>
      <c r="C13" s="186" t="s">
        <v>429</v>
      </c>
      <c r="D13" s="186" t="s">
        <v>430</v>
      </c>
      <c r="E13" s="186" t="str">
        <f t="shared" si="1"/>
        <v>PP1500-202-RP2</v>
      </c>
      <c r="G13" s="188" t="s">
        <v>1466</v>
      </c>
      <c r="H13" s="189" t="s">
        <v>1467</v>
      </c>
      <c r="I13" s="186" t="s">
        <v>431</v>
      </c>
      <c r="J13" s="186" t="s">
        <v>432</v>
      </c>
      <c r="K13" s="186" t="str">
        <f t="shared" si="2"/>
        <v>PP1000-202-RP2</v>
      </c>
    </row>
    <row r="14">
      <c r="A14" s="188" t="s">
        <v>1469</v>
      </c>
      <c r="B14" s="186" t="s">
        <v>1086</v>
      </c>
      <c r="C14" s="186" t="s">
        <v>429</v>
      </c>
      <c r="D14" s="186" t="s">
        <v>430</v>
      </c>
      <c r="E14" s="186" t="str">
        <f t="shared" si="1"/>
        <v>PP1500-202-FA</v>
      </c>
      <c r="G14" s="188" t="s">
        <v>1469</v>
      </c>
      <c r="H14" s="186" t="s">
        <v>1086</v>
      </c>
      <c r="I14" s="186" t="s">
        <v>431</v>
      </c>
      <c r="J14" s="186" t="s">
        <v>432</v>
      </c>
      <c r="K14" s="186" t="str">
        <f t="shared" si="2"/>
        <v>PP1000-202-FA</v>
      </c>
    </row>
    <row r="15">
      <c r="A15" s="188" t="s">
        <v>1470</v>
      </c>
      <c r="B15" s="186" t="s">
        <v>904</v>
      </c>
      <c r="C15" s="186" t="s">
        <v>429</v>
      </c>
      <c r="D15" s="186" t="s">
        <v>430</v>
      </c>
      <c r="E15" s="186" t="str">
        <f t="shared" si="1"/>
        <v>PP1500-202-SI</v>
      </c>
      <c r="G15" s="188" t="s">
        <v>1470</v>
      </c>
      <c r="H15" s="186" t="s">
        <v>904</v>
      </c>
      <c r="I15" s="186" t="s">
        <v>431</v>
      </c>
      <c r="J15" s="186" t="s">
        <v>432</v>
      </c>
      <c r="K15" s="186" t="str">
        <f t="shared" si="2"/>
        <v>PP1000-202-SI</v>
      </c>
    </row>
    <row r="16">
      <c r="A16" s="188" t="s">
        <v>1471</v>
      </c>
      <c r="B16" s="186" t="s">
        <v>946</v>
      </c>
      <c r="C16" s="186" t="s">
        <v>429</v>
      </c>
      <c r="D16" s="186" t="s">
        <v>430</v>
      </c>
      <c r="E16" s="186" t="str">
        <f t="shared" si="1"/>
        <v>PP1500-202-SD</v>
      </c>
      <c r="G16" s="188" t="s">
        <v>1471</v>
      </c>
      <c r="H16" s="186" t="s">
        <v>946</v>
      </c>
      <c r="I16" s="186" t="s">
        <v>431</v>
      </c>
      <c r="J16" s="186" t="s">
        <v>432</v>
      </c>
      <c r="K16" s="186" t="str">
        <f t="shared" si="2"/>
        <v>PP1000-202-SD</v>
      </c>
    </row>
    <row r="17">
      <c r="A17" s="188" t="s">
        <v>1472</v>
      </c>
      <c r="B17" s="186" t="s">
        <v>896</v>
      </c>
      <c r="C17" s="186" t="s">
        <v>429</v>
      </c>
      <c r="D17" s="186" t="s">
        <v>430</v>
      </c>
      <c r="E17" s="186" t="str">
        <f t="shared" si="1"/>
        <v>PP1500-202-SX</v>
      </c>
      <c r="G17" s="188" t="s">
        <v>1472</v>
      </c>
      <c r="H17" s="186" t="s">
        <v>896</v>
      </c>
      <c r="I17" s="186" t="s">
        <v>431</v>
      </c>
      <c r="J17" s="186" t="s">
        <v>432</v>
      </c>
      <c r="K17" s="186" t="str">
        <f t="shared" si="2"/>
        <v>PP1000-202-SX</v>
      </c>
    </row>
    <row r="18">
      <c r="A18" s="188" t="s">
        <v>1474</v>
      </c>
      <c r="B18" s="186" t="s">
        <v>948</v>
      </c>
      <c r="C18" s="186" t="s">
        <v>429</v>
      </c>
      <c r="D18" s="186" t="s">
        <v>430</v>
      </c>
      <c r="E18" s="186" t="str">
        <f t="shared" si="1"/>
        <v>PP1500-202-SF</v>
      </c>
      <c r="G18" s="188" t="s">
        <v>1474</v>
      </c>
      <c r="H18" s="186" t="s">
        <v>948</v>
      </c>
      <c r="I18" s="186" t="s">
        <v>431</v>
      </c>
      <c r="J18" s="186" t="s">
        <v>432</v>
      </c>
      <c r="K18" s="186" t="str">
        <f t="shared" si="2"/>
        <v>PP1000-202-SF</v>
      </c>
    </row>
    <row r="19">
      <c r="A19" s="188" t="s">
        <v>1476</v>
      </c>
      <c r="B19" s="186" t="s">
        <v>1477</v>
      </c>
      <c r="C19" s="186" t="s">
        <v>429</v>
      </c>
      <c r="D19" s="186" t="s">
        <v>430</v>
      </c>
      <c r="E19" s="186" t="str">
        <f t="shared" si="1"/>
        <v>PP1500-202-PC</v>
      </c>
      <c r="G19" s="188" t="s">
        <v>1476</v>
      </c>
      <c r="H19" s="186" t="s">
        <v>1477</v>
      </c>
      <c r="I19" s="186" t="s">
        <v>431</v>
      </c>
      <c r="J19" s="186" t="s">
        <v>432</v>
      </c>
      <c r="K19" s="186" t="str">
        <f t="shared" si="2"/>
        <v>PP1000-202-PC</v>
      </c>
    </row>
    <row r="20">
      <c r="A20" s="188" t="s">
        <v>1479</v>
      </c>
      <c r="B20" s="186" t="s">
        <v>914</v>
      </c>
      <c r="C20" s="186" t="s">
        <v>429</v>
      </c>
      <c r="D20" s="186" t="s">
        <v>430</v>
      </c>
      <c r="E20" s="186" t="str">
        <f t="shared" si="1"/>
        <v>PP1500-202-HH</v>
      </c>
      <c r="G20" s="188" t="s">
        <v>1479</v>
      </c>
      <c r="H20" s="186" t="s">
        <v>914</v>
      </c>
      <c r="I20" s="186" t="s">
        <v>431</v>
      </c>
      <c r="J20" s="186" t="s">
        <v>432</v>
      </c>
      <c r="K20" s="186" t="str">
        <f t="shared" si="2"/>
        <v>PP1000-202-HH</v>
      </c>
    </row>
    <row r="21">
      <c r="A21" s="185" t="s">
        <v>1481</v>
      </c>
      <c r="B21" s="186" t="s">
        <v>916</v>
      </c>
      <c r="C21" s="186" t="s">
        <v>429</v>
      </c>
      <c r="D21" s="186" t="s">
        <v>430</v>
      </c>
      <c r="E21" s="186" t="str">
        <f t="shared" si="1"/>
        <v>PP1500-202-BH</v>
      </c>
      <c r="G21" s="185" t="s">
        <v>1481</v>
      </c>
      <c r="H21" s="186" t="s">
        <v>916</v>
      </c>
      <c r="I21" s="186" t="s">
        <v>431</v>
      </c>
      <c r="J21" s="186" t="s">
        <v>432</v>
      </c>
      <c r="K21" s="186" t="str">
        <f t="shared" si="2"/>
        <v>PP1000-202-BH</v>
      </c>
    </row>
    <row r="22">
      <c r="A22" s="188" t="s">
        <v>1483</v>
      </c>
      <c r="B22" s="186" t="s">
        <v>960</v>
      </c>
      <c r="C22" s="186" t="s">
        <v>429</v>
      </c>
      <c r="D22" s="186" t="s">
        <v>430</v>
      </c>
      <c r="E22" s="186" t="str">
        <f t="shared" si="1"/>
        <v>PP1500-202-FB</v>
      </c>
      <c r="G22" s="188" t="s">
        <v>1483</v>
      </c>
      <c r="H22" s="186" t="s">
        <v>960</v>
      </c>
      <c r="I22" s="186" t="s">
        <v>431</v>
      </c>
      <c r="J22" s="186" t="s">
        <v>432</v>
      </c>
      <c r="K22" s="186" t="str">
        <f t="shared" si="2"/>
        <v>PP1000-202-FB</v>
      </c>
    </row>
    <row r="23">
      <c r="A23" s="188" t="s">
        <v>1484</v>
      </c>
      <c r="B23" s="189" t="s">
        <v>892</v>
      </c>
      <c r="C23" s="186" t="s">
        <v>429</v>
      </c>
      <c r="D23" s="186" t="s">
        <v>430</v>
      </c>
      <c r="E23" s="186" t="str">
        <f t="shared" si="1"/>
        <v>PP1500-202-PR1</v>
      </c>
      <c r="G23" s="188" t="s">
        <v>1484</v>
      </c>
      <c r="H23" s="189" t="s">
        <v>892</v>
      </c>
      <c r="I23" s="186" t="s">
        <v>431</v>
      </c>
      <c r="J23" s="186" t="s">
        <v>432</v>
      </c>
      <c r="K23" s="186" t="str">
        <f t="shared" si="2"/>
        <v>PP1000-202-PR1</v>
      </c>
    </row>
    <row r="24">
      <c r="A24" s="188" t="s">
        <v>1485</v>
      </c>
      <c r="B24" s="189" t="s">
        <v>944</v>
      </c>
      <c r="C24" s="186" t="s">
        <v>429</v>
      </c>
      <c r="D24" s="186" t="s">
        <v>430</v>
      </c>
      <c r="E24" s="186" t="str">
        <f t="shared" si="1"/>
        <v>PP1500-202-PR2</v>
      </c>
      <c r="G24" s="188" t="s">
        <v>1485</v>
      </c>
      <c r="H24" s="189" t="s">
        <v>944</v>
      </c>
      <c r="I24" s="186" t="s">
        <v>431</v>
      </c>
      <c r="J24" s="186" t="s">
        <v>432</v>
      </c>
      <c r="K24" s="186" t="str">
        <f t="shared" si="2"/>
        <v>PP1000-202-PR2</v>
      </c>
    </row>
    <row r="25">
      <c r="A25" s="188" t="s">
        <v>1486</v>
      </c>
      <c r="B25" s="186" t="s">
        <v>912</v>
      </c>
      <c r="C25" s="186" t="s">
        <v>429</v>
      </c>
      <c r="D25" s="186" t="s">
        <v>430</v>
      </c>
      <c r="E25" s="186" t="str">
        <f t="shared" si="1"/>
        <v>PP1500-202-CL</v>
      </c>
      <c r="G25" s="188" t="s">
        <v>1486</v>
      </c>
      <c r="H25" s="186" t="s">
        <v>912</v>
      </c>
      <c r="I25" s="186" t="s">
        <v>431</v>
      </c>
      <c r="J25" s="186" t="s">
        <v>432</v>
      </c>
      <c r="K25" s="186" t="str">
        <f t="shared" si="2"/>
        <v>PP1000-202-CL</v>
      </c>
    </row>
    <row r="26">
      <c r="A26" s="188" t="s">
        <v>1488</v>
      </c>
      <c r="B26" s="189" t="s">
        <v>1489</v>
      </c>
      <c r="C26" s="186" t="s">
        <v>429</v>
      </c>
      <c r="D26" s="186" t="s">
        <v>430</v>
      </c>
      <c r="E26" s="186" t="str">
        <f t="shared" si="1"/>
        <v>PP1500-202-IFR</v>
      </c>
      <c r="G26" s="188" t="s">
        <v>1488</v>
      </c>
      <c r="H26" s="189" t="s">
        <v>1489</v>
      </c>
      <c r="I26" s="186" t="s">
        <v>431</v>
      </c>
      <c r="J26" s="186" t="s">
        <v>432</v>
      </c>
      <c r="K26" s="186" t="str">
        <f t="shared" si="2"/>
        <v>PP1000-202-IFR</v>
      </c>
    </row>
    <row r="27">
      <c r="A27" s="188" t="s">
        <v>1492</v>
      </c>
      <c r="B27" s="186" t="s">
        <v>918</v>
      </c>
      <c r="C27" s="186" t="s">
        <v>429</v>
      </c>
      <c r="D27" s="186" t="s">
        <v>430</v>
      </c>
      <c r="E27" s="186" t="str">
        <f t="shared" si="1"/>
        <v>PP1500-202-FC</v>
      </c>
      <c r="G27" s="188" t="s">
        <v>1492</v>
      </c>
      <c r="H27" s="186" t="s">
        <v>918</v>
      </c>
      <c r="I27" s="186" t="s">
        <v>431</v>
      </c>
      <c r="J27" s="186" t="s">
        <v>432</v>
      </c>
      <c r="K27" s="186" t="str">
        <f t="shared" si="2"/>
        <v>PP1000-202-FC</v>
      </c>
    </row>
    <row r="28">
      <c r="A28" s="185" t="s">
        <v>1494</v>
      </c>
      <c r="B28" s="189" t="s">
        <v>1495</v>
      </c>
      <c r="C28" s="186" t="s">
        <v>429</v>
      </c>
      <c r="D28" s="186" t="s">
        <v>430</v>
      </c>
      <c r="E28" s="186" t="str">
        <f t="shared" si="1"/>
        <v>PP1500-202-CBC</v>
      </c>
      <c r="G28" s="185" t="s">
        <v>1494</v>
      </c>
      <c r="H28" s="189" t="s">
        <v>1495</v>
      </c>
      <c r="I28" s="186" t="s">
        <v>431</v>
      </c>
      <c r="J28" s="186" t="s">
        <v>432</v>
      </c>
      <c r="K28" s="186" t="str">
        <f t="shared" si="2"/>
        <v>PP1000-202-CBC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96"/>
      <c r="B2" s="157" t="s">
        <v>1500</v>
      </c>
      <c r="C2" s="157" t="s">
        <v>1501</v>
      </c>
      <c r="D2" s="157" t="s">
        <v>714</v>
      </c>
      <c r="E2" s="157" t="s">
        <v>1502</v>
      </c>
      <c r="F2" s="157" t="s">
        <v>659</v>
      </c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>
      <c r="A3" s="96"/>
      <c r="B3" s="158" t="s">
        <v>1503</v>
      </c>
      <c r="C3" s="158" t="s">
        <v>1504</v>
      </c>
      <c r="D3" s="158" t="s">
        <v>1505</v>
      </c>
      <c r="E3" s="158" t="s">
        <v>1506</v>
      </c>
      <c r="F3" s="158" t="s">
        <v>665</v>
      </c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>
      <c r="A8" s="96"/>
      <c r="B8" s="177" t="s">
        <v>1507</v>
      </c>
      <c r="C8" s="96"/>
      <c r="D8" s="96"/>
      <c r="E8" s="96"/>
      <c r="F8" s="96"/>
      <c r="G8" s="157" t="s">
        <v>1502</v>
      </c>
      <c r="H8" s="157" t="s">
        <v>1500</v>
      </c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>
      <c r="A9" s="96"/>
      <c r="B9" s="157" t="s">
        <v>1508</v>
      </c>
      <c r="C9" s="157" t="s">
        <v>1502</v>
      </c>
      <c r="D9" s="157" t="s">
        <v>1509</v>
      </c>
      <c r="E9" s="157" t="s">
        <v>1500</v>
      </c>
      <c r="F9" s="160" t="s">
        <v>1510</v>
      </c>
      <c r="G9" s="93"/>
      <c r="H9" s="93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>
      <c r="A10" s="96"/>
      <c r="B10" s="158" t="s">
        <v>1511</v>
      </c>
      <c r="C10" s="158" t="s">
        <v>1506</v>
      </c>
      <c r="D10" s="158" t="s">
        <v>1512</v>
      </c>
      <c r="E10" s="93"/>
      <c r="F10" s="96"/>
      <c r="G10" s="158" t="s">
        <v>1506</v>
      </c>
      <c r="H10" s="158">
        <v>202.0</v>
      </c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>
      <c r="A11" s="96"/>
      <c r="B11" s="158" t="s">
        <v>1513</v>
      </c>
      <c r="C11" s="158">
        <v>202.0</v>
      </c>
      <c r="D11" s="190" t="s">
        <v>1514</v>
      </c>
      <c r="E11" s="158" t="s">
        <v>61</v>
      </c>
      <c r="F11" s="160">
        <v>900.0</v>
      </c>
      <c r="G11" s="158" t="s">
        <v>1515</v>
      </c>
      <c r="H11" s="158">
        <v>204.0</v>
      </c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>
      <c r="A12" s="96"/>
      <c r="B12" s="158" t="s">
        <v>1511</v>
      </c>
      <c r="C12" s="158" t="s">
        <v>1515</v>
      </c>
      <c r="D12" s="158" t="s">
        <v>1512</v>
      </c>
      <c r="E12" s="93"/>
      <c r="F12" s="160">
        <v>850.0</v>
      </c>
      <c r="G12" s="158">
        <v>304.0</v>
      </c>
      <c r="H12" s="158">
        <v>304.0</v>
      </c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>
      <c r="A13" s="96"/>
      <c r="B13" s="158" t="s">
        <v>1513</v>
      </c>
      <c r="C13" s="158">
        <v>204.0</v>
      </c>
      <c r="D13" s="190" t="s">
        <v>1514</v>
      </c>
      <c r="E13" s="158" t="s">
        <v>67</v>
      </c>
      <c r="F13" s="160">
        <v>100.0</v>
      </c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>
      <c r="A14" s="96"/>
      <c r="B14" s="158" t="s">
        <v>1516</v>
      </c>
      <c r="C14" s="158" t="s">
        <v>1506</v>
      </c>
      <c r="D14" s="158">
        <v>0.8</v>
      </c>
      <c r="E14" s="93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>
      <c r="A15" s="96"/>
      <c r="B15" s="158" t="s">
        <v>1517</v>
      </c>
      <c r="C15" s="158">
        <v>202.0</v>
      </c>
      <c r="D15" s="190" t="s">
        <v>1514</v>
      </c>
      <c r="E15" s="158" t="s">
        <v>1518</v>
      </c>
      <c r="F15" s="96"/>
      <c r="G15" s="158" t="s">
        <v>1519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>
      <c r="A19" s="96"/>
      <c r="B19" s="160" t="s">
        <v>1520</v>
      </c>
      <c r="C19" s="160" t="s">
        <v>1504</v>
      </c>
      <c r="D19" s="160" t="s">
        <v>1505</v>
      </c>
      <c r="E19" s="160" t="s">
        <v>1506</v>
      </c>
      <c r="F19" s="160" t="s">
        <v>604</v>
      </c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  <row r="1001">
      <c r="A1001" s="96"/>
      <c r="B1001" s="96"/>
      <c r="C1001" s="96"/>
      <c r="D1001" s="96"/>
      <c r="E1001" s="96"/>
      <c r="F1001" s="96"/>
      <c r="G1001" s="96"/>
      <c r="H1001" s="96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</row>
    <row r="1002">
      <c r="A1002" s="96"/>
      <c r="B1002" s="96"/>
      <c r="C1002" s="96"/>
      <c r="D1002" s="96"/>
      <c r="E1002" s="96"/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</row>
    <row r="1003">
      <c r="A1003" s="96"/>
      <c r="B1003" s="96"/>
      <c r="C1003" s="96"/>
      <c r="D1003" s="96"/>
      <c r="E1003" s="96"/>
      <c r="F1003" s="96"/>
      <c r="G1003" s="96"/>
      <c r="H1003" s="96"/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</row>
    <row r="1004">
      <c r="A1004" s="96"/>
      <c r="B1004" s="96"/>
      <c r="C1004" s="96"/>
      <c r="D1004" s="96"/>
      <c r="E1004" s="96"/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</row>
    <row r="1005">
      <c r="A1005" s="96"/>
      <c r="B1005" s="96"/>
      <c r="C1005" s="96"/>
      <c r="D1005" s="96"/>
      <c r="E1005" s="96"/>
      <c r="F1005" s="96"/>
      <c r="G1005" s="96"/>
      <c r="H1005" s="96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96"/>
      <c r="Z1005" s="96"/>
    </row>
    <row r="1006">
      <c r="A1006" s="96"/>
      <c r="B1006" s="96"/>
      <c r="C1006" s="96"/>
      <c r="D1006" s="96"/>
      <c r="E1006" s="96"/>
      <c r="F1006" s="96"/>
      <c r="G1006" s="96"/>
      <c r="H1006" s="96"/>
      <c r="I1006" s="96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5"/>
    <col customWidth="1" min="2" max="2" width="26.25"/>
    <col customWidth="1" min="3" max="3" width="24.13"/>
  </cols>
  <sheetData>
    <row r="1">
      <c r="A1" s="3" t="s">
        <v>1521</v>
      </c>
      <c r="B1" s="149"/>
    </row>
    <row r="2">
      <c r="A2" s="149" t="s">
        <v>1522</v>
      </c>
      <c r="B2" s="149" t="s">
        <v>1523</v>
      </c>
    </row>
    <row r="3">
      <c r="B3" s="149" t="s">
        <v>1524</v>
      </c>
    </row>
    <row r="5">
      <c r="A5" s="3" t="s">
        <v>1525</v>
      </c>
    </row>
    <row r="6">
      <c r="A6" s="149" t="s">
        <v>1526</v>
      </c>
      <c r="B6" s="149" t="s">
        <v>1527</v>
      </c>
      <c r="C6" s="149" t="s">
        <v>1528</v>
      </c>
    </row>
    <row r="7">
      <c r="A7" s="149" t="s">
        <v>1529</v>
      </c>
      <c r="B7" s="149" t="s">
        <v>1530</v>
      </c>
      <c r="C7" s="149" t="s">
        <v>1531</v>
      </c>
    </row>
    <row r="9">
      <c r="A9" s="3" t="s">
        <v>1532</v>
      </c>
    </row>
    <row r="10">
      <c r="A10" s="149" t="s">
        <v>1533</v>
      </c>
      <c r="B10" s="149" t="s">
        <v>1534</v>
      </c>
      <c r="C10" s="149" t="s">
        <v>1535</v>
      </c>
    </row>
    <row r="12">
      <c r="A12" s="3" t="s">
        <v>1536</v>
      </c>
    </row>
    <row r="13">
      <c r="A13" s="149" t="s">
        <v>1537</v>
      </c>
      <c r="B13" s="149" t="s">
        <v>1538</v>
      </c>
    </row>
    <row r="15">
      <c r="A15" s="3" t="s">
        <v>1539</v>
      </c>
    </row>
    <row r="16">
      <c r="A16" s="149" t="s">
        <v>1540</v>
      </c>
      <c r="B16" s="149" t="s">
        <v>1541</v>
      </c>
    </row>
    <row r="18">
      <c r="A18" s="3" t="s">
        <v>1542</v>
      </c>
    </row>
    <row r="19">
      <c r="A19" s="149" t="s">
        <v>1543</v>
      </c>
      <c r="B19" s="191" t="s">
        <v>1544</v>
      </c>
    </row>
  </sheetData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34.75"/>
  </cols>
  <sheetData>
    <row r="1">
      <c r="A1" s="192" t="s">
        <v>1545</v>
      </c>
      <c r="B1" s="193" t="s">
        <v>1546</v>
      </c>
      <c r="C1" s="98" t="s">
        <v>1547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192" t="s">
        <v>1548</v>
      </c>
      <c r="B2" s="193" t="s">
        <v>1549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>
      <c r="A3" s="192" t="s">
        <v>1550</v>
      </c>
      <c r="B3" s="193" t="s">
        <v>1551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>
      <c r="A4" s="192" t="s">
        <v>1552</v>
      </c>
      <c r="B4" s="193" t="s">
        <v>1553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>
      <c r="A5" s="192" t="s">
        <v>1554</v>
      </c>
      <c r="B5" s="193" t="s">
        <v>1555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>
      <c r="A6" s="192" t="s">
        <v>1556</v>
      </c>
      <c r="B6" s="193" t="s">
        <v>1557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>
      <c r="A7" s="192" t="s">
        <v>1558</v>
      </c>
      <c r="B7" s="193" t="s">
        <v>1559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>
      <c r="A8" s="192" t="s">
        <v>1560</v>
      </c>
      <c r="B8" s="193" t="s">
        <v>1561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>
      <c r="A11" s="96" t="s">
        <v>1562</v>
      </c>
      <c r="B11" s="96" t="s">
        <v>1563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>
      <c r="A12" s="96"/>
      <c r="B12" s="96" t="s">
        <v>1564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>
      <c r="A14" s="98" t="s">
        <v>1565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>
      <c r="A15" s="98" t="s">
        <v>1566</v>
      </c>
      <c r="B15" s="98" t="s">
        <v>1567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6.5" customHeight="1">
      <c r="A17" s="194" t="s">
        <v>1568</v>
      </c>
      <c r="B17" s="195" t="s">
        <v>1569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</sheetData>
  <hyperlinks>
    <hyperlink r:id="rId1" ref="B17"/>
  </hyperlinks>
  <drawing r:id="rId2"/>
</worksheet>
</file>