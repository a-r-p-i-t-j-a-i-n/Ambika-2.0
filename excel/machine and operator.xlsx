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hine Name with Code &amp; Opera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Maintenance Manual provided by the manufacturer
</t>
      </text>
    </comment>
    <comment authorId="0" ref="L1">
      <text>
        <t xml:space="preserve">Mechanical Maintenance, Electrical Maintenance, Overall Single Manual</t>
      </text>
    </comment>
    <comment authorId="0" ref="N1">
      <text>
        <t xml:space="preserve">Quarterly Check-list, Half yearly, Annually</t>
      </text>
    </comment>
  </commentList>
</comments>
</file>

<file path=xl/sharedStrings.xml><?xml version="1.0" encoding="utf-8"?>
<sst xmlns="http://schemas.openxmlformats.org/spreadsheetml/2006/main" count="1051" uniqueCount="245">
  <si>
    <t>Machine Name</t>
  </si>
  <si>
    <t>Machine Code</t>
  </si>
  <si>
    <t>Machine Operator</t>
  </si>
  <si>
    <t>Machine UID</t>
  </si>
  <si>
    <t>Department/
Section</t>
  </si>
  <si>
    <t>Make</t>
  </si>
  <si>
    <t>Capacity</t>
  </si>
  <si>
    <t>Installation Year</t>
  </si>
  <si>
    <t>In Use/ Not in Use/ Scrap(Dead)</t>
  </si>
  <si>
    <t>AMC</t>
  </si>
  <si>
    <t>Maintenance Manual (Y/N)</t>
  </si>
  <si>
    <t>Maint. Manual Type</t>
  </si>
  <si>
    <t xml:space="preserve"> Daily CLIT Sheet (Y/N)  Attach Link</t>
  </si>
  <si>
    <t xml:space="preserve">  Half Yearly PM(Y/N) Check sheet link</t>
  </si>
  <si>
    <t>Machine Operator Name</t>
  </si>
  <si>
    <t>Department</t>
  </si>
  <si>
    <t>Operator</t>
  </si>
  <si>
    <t>Circle Cutting Press</t>
  </si>
  <si>
    <t>CCP01</t>
  </si>
  <si>
    <t>Anit</t>
  </si>
  <si>
    <t>Circle Cutting</t>
  </si>
  <si>
    <t>25 Ton</t>
  </si>
  <si>
    <t>In use</t>
  </si>
  <si>
    <t>No</t>
  </si>
  <si>
    <t>https://docs.google.com/spreadsheets/d/1NfDLX2xq5NEvDIDWhF320HQJsl5ua4hg-3uVrDCK6ik/edit?gid=0#gid=0</t>
  </si>
  <si>
    <t>Mullaji / Aneet</t>
  </si>
  <si>
    <t>Circle Cutting Dept</t>
  </si>
  <si>
    <t>Double Action Press</t>
  </si>
  <si>
    <t>DAP01</t>
  </si>
  <si>
    <t>Appoo</t>
  </si>
  <si>
    <t>Pressing / Sizing</t>
  </si>
  <si>
    <t>Aneet</t>
  </si>
  <si>
    <t>Bal Govind</t>
  </si>
  <si>
    <t>DAP02</t>
  </si>
  <si>
    <t>Bhimrao</t>
  </si>
  <si>
    <t>Circle Press</t>
  </si>
  <si>
    <t>Rajendra Rajbhar</t>
  </si>
  <si>
    <t>DAP03</t>
  </si>
  <si>
    <t>Saheb Rao</t>
  </si>
  <si>
    <t>Hydrualic Press - 100Tn</t>
  </si>
  <si>
    <t>HYP01</t>
  </si>
  <si>
    <t>Pressing</t>
  </si>
  <si>
    <t>100 Ton</t>
  </si>
  <si>
    <t>Not in Use</t>
  </si>
  <si>
    <t>Hydrualic Press - 50Tn</t>
  </si>
  <si>
    <t>HYP02</t>
  </si>
  <si>
    <t>Ramdayal</t>
  </si>
  <si>
    <t>Sizing / Cross &amp; Round Fatka</t>
  </si>
  <si>
    <t>50 Ton</t>
  </si>
  <si>
    <t>Govind</t>
  </si>
  <si>
    <t>Sizing</t>
  </si>
  <si>
    <t>Aklesh Pandit</t>
  </si>
  <si>
    <t>Dayal Kumar</t>
  </si>
  <si>
    <t>Roshan Yadav</t>
  </si>
  <si>
    <t>Veer</t>
  </si>
  <si>
    <t>Avnish Sharma</t>
  </si>
  <si>
    <t>Tiger Prajapati</t>
  </si>
  <si>
    <t>HYP03</t>
  </si>
  <si>
    <t>Ramsharan</t>
  </si>
  <si>
    <t>Jhinku</t>
  </si>
  <si>
    <t>Hydrualic Press - 80Tn</t>
  </si>
  <si>
    <t>HYP04</t>
  </si>
  <si>
    <t>80 Ton</t>
  </si>
  <si>
    <t>HYP06</t>
  </si>
  <si>
    <t>Bhola</t>
  </si>
  <si>
    <t>Single Action Press</t>
  </si>
  <si>
    <t>SAP01</t>
  </si>
  <si>
    <t>Rambabu</t>
  </si>
  <si>
    <t>Goba</t>
  </si>
  <si>
    <t>5 HP</t>
  </si>
  <si>
    <t>Dharmendra</t>
  </si>
  <si>
    <t>Gutlee</t>
  </si>
  <si>
    <t>Deepak Thakur</t>
  </si>
  <si>
    <t>Deva</t>
  </si>
  <si>
    <t>SAP02</t>
  </si>
  <si>
    <t>Patti Fatka / Outer Cutting</t>
  </si>
  <si>
    <t>Dayalu</t>
  </si>
  <si>
    <t>Patti Fatka</t>
  </si>
  <si>
    <t>Arjun</t>
  </si>
  <si>
    <t>SAP03</t>
  </si>
  <si>
    <t>Cutting</t>
  </si>
  <si>
    <t>Chandrashekhar</t>
  </si>
  <si>
    <t>SAP04</t>
  </si>
  <si>
    <t>Vikas Kahar</t>
  </si>
  <si>
    <t>Handle Hole</t>
  </si>
  <si>
    <t>Chintu</t>
  </si>
  <si>
    <t>Shrawan Turi</t>
  </si>
  <si>
    <t>SAP05</t>
  </si>
  <si>
    <t>Himanshu</t>
  </si>
  <si>
    <t>Bottom Hole</t>
  </si>
  <si>
    <t>Aakash</t>
  </si>
  <si>
    <t>SAP06</t>
  </si>
  <si>
    <t>Flow Breaker</t>
  </si>
  <si>
    <t>Rib</t>
  </si>
  <si>
    <t>SAP07</t>
  </si>
  <si>
    <t>Sunjan Thakur</t>
  </si>
  <si>
    <t>3 HP</t>
  </si>
  <si>
    <t>Vijay</t>
  </si>
  <si>
    <t>Spinning / Rolling Dept</t>
  </si>
  <si>
    <t>SAP08</t>
  </si>
  <si>
    <t>Kanhayalal</t>
  </si>
  <si>
    <t>Spinning / Rolling Machine</t>
  </si>
  <si>
    <t>S01</t>
  </si>
  <si>
    <t>Sushil</t>
  </si>
  <si>
    <t>Spinning/ Rolling</t>
  </si>
  <si>
    <t>Surajmal</t>
  </si>
  <si>
    <t>S02</t>
  </si>
  <si>
    <t>Pawan Sahu</t>
  </si>
  <si>
    <t>Ramnath</t>
  </si>
  <si>
    <t>S03</t>
  </si>
  <si>
    <t>Prem</t>
  </si>
  <si>
    <t>Kishor</t>
  </si>
  <si>
    <t>S04</t>
  </si>
  <si>
    <t>Puran</t>
  </si>
  <si>
    <t>Suresh Sahu</t>
  </si>
  <si>
    <t>S05</t>
  </si>
  <si>
    <t>Jagdish</t>
  </si>
  <si>
    <t>Suresh Bhoir</t>
  </si>
  <si>
    <t>S06</t>
  </si>
  <si>
    <t>Pradum</t>
  </si>
  <si>
    <t>S07</t>
  </si>
  <si>
    <t>Kanhaya Lal</t>
  </si>
  <si>
    <t>Jitendra</t>
  </si>
  <si>
    <t>Rajendra Chauhan</t>
  </si>
  <si>
    <t>S08</t>
  </si>
  <si>
    <t>Sunil</t>
  </si>
  <si>
    <t>Jar Cutting</t>
  </si>
  <si>
    <t>S09</t>
  </si>
  <si>
    <t>Karamjit</t>
  </si>
  <si>
    <t>S10</t>
  </si>
  <si>
    <t>Kavendar</t>
  </si>
  <si>
    <t>S11</t>
  </si>
  <si>
    <t>Rajendra Jaswal</t>
  </si>
  <si>
    <t>Sarabjit</t>
  </si>
  <si>
    <t>S12</t>
  </si>
  <si>
    <t>Narayan Patil</t>
  </si>
  <si>
    <t>Samir Ansari</t>
  </si>
  <si>
    <t>Die Development</t>
  </si>
  <si>
    <t>Sunil Kumar</t>
  </si>
  <si>
    <t>Pappu</t>
  </si>
  <si>
    <t>S13</t>
  </si>
  <si>
    <t>Chandrakant Patil</t>
  </si>
  <si>
    <t>Avdesh</t>
  </si>
  <si>
    <t>S14</t>
  </si>
  <si>
    <t>Ramesh Rajbhar</t>
  </si>
  <si>
    <t>S15</t>
  </si>
  <si>
    <t>Mukesh Prajapati</t>
  </si>
  <si>
    <t>S16</t>
  </si>
  <si>
    <t>Subhash Rajbhar</t>
  </si>
  <si>
    <t>S17</t>
  </si>
  <si>
    <t>Santosh</t>
  </si>
  <si>
    <t>S18</t>
  </si>
  <si>
    <t>Cutting Machine</t>
  </si>
  <si>
    <t>C01</t>
  </si>
  <si>
    <t>Nitesh</t>
  </si>
  <si>
    <t>Brijkishor Pandit</t>
  </si>
  <si>
    <t>C02</t>
  </si>
  <si>
    <t>Sikandar</t>
  </si>
  <si>
    <t>C03</t>
  </si>
  <si>
    <t>Lavkush</t>
  </si>
  <si>
    <t>Kashi Prasad</t>
  </si>
  <si>
    <t>Sudhakar</t>
  </si>
  <si>
    <t>Dilkhush</t>
  </si>
  <si>
    <t>Shiva</t>
  </si>
  <si>
    <t>Vikram</t>
  </si>
  <si>
    <t>C04</t>
  </si>
  <si>
    <t>Anil</t>
  </si>
  <si>
    <t>Rupesh</t>
  </si>
  <si>
    <t>C05</t>
  </si>
  <si>
    <t>Vishal</t>
  </si>
  <si>
    <t>Vipin Yadav</t>
  </si>
  <si>
    <t>Harendra</t>
  </si>
  <si>
    <t>Suraj</t>
  </si>
  <si>
    <t>Niraj</t>
  </si>
  <si>
    <t>Arman khan</t>
  </si>
  <si>
    <t>Sandeep</t>
  </si>
  <si>
    <t>C06</t>
  </si>
  <si>
    <t>Priyanshu</t>
  </si>
  <si>
    <t>Kapil</t>
  </si>
  <si>
    <t>Manoj Sahu</t>
  </si>
  <si>
    <t>Lathe Machine</t>
  </si>
  <si>
    <t>L01</t>
  </si>
  <si>
    <t>Samirulla</t>
  </si>
  <si>
    <t>Die Making</t>
  </si>
  <si>
    <t>L02</t>
  </si>
  <si>
    <t>Chandrakant Gavankar</t>
  </si>
  <si>
    <t>L03</t>
  </si>
  <si>
    <t>Buffing Motor</t>
  </si>
  <si>
    <t>BF01</t>
  </si>
  <si>
    <t>Buffing</t>
  </si>
  <si>
    <t>7 HP</t>
  </si>
  <si>
    <t>BF02</t>
  </si>
  <si>
    <t>BF03</t>
  </si>
  <si>
    <t>BF04</t>
  </si>
  <si>
    <t>BF05</t>
  </si>
  <si>
    <t>BF06</t>
  </si>
  <si>
    <t>BF07</t>
  </si>
  <si>
    <t>BF08</t>
  </si>
  <si>
    <t>BF09</t>
  </si>
  <si>
    <t>BF10</t>
  </si>
  <si>
    <t>BF11</t>
  </si>
  <si>
    <t>Pankaj</t>
  </si>
  <si>
    <t>Pre Buffing</t>
  </si>
  <si>
    <t>BF12</t>
  </si>
  <si>
    <t>Shipu</t>
  </si>
  <si>
    <t>BF13</t>
  </si>
  <si>
    <t>Rahul Shah</t>
  </si>
  <si>
    <t>BF14</t>
  </si>
  <si>
    <t>Kundan</t>
  </si>
  <si>
    <t>BF15</t>
  </si>
  <si>
    <t>Deepak Besari</t>
  </si>
  <si>
    <t>BF16</t>
  </si>
  <si>
    <t>Mahendra Yadav</t>
  </si>
  <si>
    <t>BF17</t>
  </si>
  <si>
    <t>Siyaram</t>
  </si>
  <si>
    <t>Rework</t>
  </si>
  <si>
    <t>BF18</t>
  </si>
  <si>
    <t>Akshay</t>
  </si>
  <si>
    <t>BF19</t>
  </si>
  <si>
    <t>Tez Pratap</t>
  </si>
  <si>
    <t>BF20</t>
  </si>
  <si>
    <t xml:space="preserve">Chotu Balak </t>
  </si>
  <si>
    <t>BF21</t>
  </si>
  <si>
    <t xml:space="preserve">Pawan Lekha </t>
  </si>
  <si>
    <t>Munna Pandit</t>
  </si>
  <si>
    <t>BF22</t>
  </si>
  <si>
    <t>Subhash Yadav</t>
  </si>
  <si>
    <t>BF23</t>
  </si>
  <si>
    <t xml:space="preserve">Arvind </t>
  </si>
  <si>
    <t>Polishing</t>
  </si>
  <si>
    <t>BF24</t>
  </si>
  <si>
    <t>Vikas</t>
  </si>
  <si>
    <t>Ramashish</t>
  </si>
  <si>
    <t>Kartik</t>
  </si>
  <si>
    <t>Rakesh</t>
  </si>
  <si>
    <t>khushbu</t>
  </si>
  <si>
    <t>Packing</t>
  </si>
  <si>
    <t>Sonam</t>
  </si>
  <si>
    <t>Tanvi</t>
  </si>
  <si>
    <t>Mansi</t>
  </si>
  <si>
    <t>Pallavi</t>
  </si>
  <si>
    <t>Muskan</t>
  </si>
  <si>
    <t>Vaishanvi</t>
  </si>
  <si>
    <t>Natasha</t>
  </si>
  <si>
    <t>Mamata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</si>
</sst>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CC"/>
      <name val="Calibri"/>
    </font>
    <font>
      <b/>
      <sz val="11.0"/>
      <color rgb="FF0000CC"/>
      <name val="Roboto"/>
    </font>
    <font>
      <color theme="1"/>
      <name val="Roboto"/>
    </font>
    <font>
      <b/>
      <sz val="11.0"/>
      <color theme="1"/>
      <name val="Roboto"/>
    </font>
    <font>
      <color theme="1"/>
      <name val="Arial"/>
      <scheme val="minor"/>
    </font>
    <font>
      <sz val="11.0"/>
      <color rgb="FF0000CC"/>
      <name val="Calibri"/>
    </font>
    <font>
      <sz val="11.0"/>
      <color rgb="FF0000CC"/>
      <name val="Roboto"/>
    </font>
    <font>
      <u/>
      <sz val="11.0"/>
      <color rgb="FF0000FF"/>
      <name val="Calibri"/>
    </font>
    <font>
      <sz val="11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3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vertical="center"/>
    </xf>
    <xf borderId="2" fillId="0" fontId="7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3" fillId="0" fontId="6" numFmtId="0" xfId="0" applyAlignment="1" applyBorder="1" applyFont="1">
      <alignment horizontal="left" shrinkToFit="0" vertical="center" wrapText="0"/>
    </xf>
    <xf borderId="2" fillId="4" fontId="7" numFmtId="0" xfId="0" applyAlignment="1" applyBorder="1" applyFill="1" applyFont="1">
      <alignment readingOrder="0" vertical="center"/>
    </xf>
    <xf borderId="3" fillId="0" fontId="6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0" fontId="9" numFmtId="0" xfId="0" applyAlignment="1" applyFont="1">
      <alignment vertical="center"/>
    </xf>
    <xf borderId="3" fillId="0" fontId="6" numFmtId="0" xfId="0" applyBorder="1" applyFont="1"/>
    <xf borderId="3" fillId="0" fontId="6" numFmtId="0" xfId="0" applyAlignment="1" applyBorder="1" applyFont="1">
      <alignment horizontal="center" readingOrder="0"/>
    </xf>
    <xf borderId="2" fillId="4" fontId="7" numFmtId="0" xfId="0" applyBorder="1" applyFill="1" applyFont="1"/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3" fillId="0" fontId="9" numFmtId="0" xfId="0" applyBorder="1" applyFont="1"/>
    <xf borderId="0" fillId="0" fontId="9" numFmtId="0" xfId="0" applyFont="1"/>
    <xf borderId="4" fillId="0" fontId="5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NfDLX2xq5NEvDIDWhF320HQJsl5ua4hg-3uVrDCK6ik/edit?gid=0" TargetMode="External"/><Relationship Id="rId3" Type="http://schemas.openxmlformats.org/officeDocument/2006/relationships/hyperlink" Target="https://docs.google.com/spreadsheets/d/1NfDLX2xq5NEvDIDWhF320HQJsl5ua4hg-3uVrDCK6ik/edit?gid=0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7.63"/>
    <col customWidth="1" min="3" max="3" width="15.75"/>
    <col customWidth="1" min="4" max="4" width="24.88"/>
    <col customWidth="1" min="5" max="5" width="22.0"/>
    <col customWidth="1" min="7" max="7" width="7.5"/>
    <col customWidth="1" min="9" max="9" width="15.75"/>
    <col customWidth="1" min="13" max="13" width="17.0"/>
    <col customWidth="1" min="14" max="14" width="21.13"/>
    <col customWidth="1" min="18" max="18" width="21.0"/>
    <col customWidth="1" min="19" max="19" width="19.5"/>
    <col customWidth="1" min="21" max="21" width="21.0"/>
    <col customWidth="1" min="22" max="22" width="19.5"/>
  </cols>
  <sheetData>
    <row r="1" ht="33.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3" t="s">
        <v>13</v>
      </c>
      <c r="O1" s="5"/>
      <c r="P1" s="6"/>
      <c r="Q1" s="5"/>
      <c r="R1" s="7" t="s">
        <v>14</v>
      </c>
      <c r="S1" s="8" t="s">
        <v>15</v>
      </c>
      <c r="T1" s="5"/>
      <c r="U1" s="7" t="s">
        <v>1</v>
      </c>
      <c r="V1" s="8" t="s">
        <v>16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9"/>
    </row>
    <row r="2">
      <c r="A2" s="10" t="s">
        <v>17</v>
      </c>
      <c r="B2" s="11" t="s">
        <v>18</v>
      </c>
      <c r="C2" s="12" t="s">
        <v>19</v>
      </c>
      <c r="D2" s="11" t="str">
        <f t="shared" ref="D2:D110" si="1">if(A2="","", B2&amp;" - "&amp;A2)</f>
        <v>CCP01 - Circle Cutting Press</v>
      </c>
      <c r="E2" s="13" t="s">
        <v>20</v>
      </c>
      <c r="F2" s="11"/>
      <c r="G2" s="13" t="s">
        <v>21</v>
      </c>
      <c r="H2" s="13">
        <v>2011.0</v>
      </c>
      <c r="I2" s="11" t="s">
        <v>22</v>
      </c>
      <c r="J2" s="11" t="s">
        <v>23</v>
      </c>
      <c r="K2" s="13" t="s">
        <v>23</v>
      </c>
      <c r="L2" s="11"/>
      <c r="M2" s="14" t="s">
        <v>24</v>
      </c>
      <c r="N2" s="13" t="s">
        <v>23</v>
      </c>
      <c r="O2" s="15"/>
      <c r="P2" s="15"/>
      <c r="Q2" s="15"/>
      <c r="R2" s="16" t="s">
        <v>25</v>
      </c>
      <c r="S2" s="17" t="s">
        <v>26</v>
      </c>
      <c r="T2" s="15"/>
      <c r="U2" s="16" t="s">
        <v>18</v>
      </c>
      <c r="V2" s="17" t="s">
        <v>25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8"/>
    </row>
    <row r="3">
      <c r="A3" s="10" t="s">
        <v>27</v>
      </c>
      <c r="B3" s="11" t="s">
        <v>28</v>
      </c>
      <c r="C3" s="16" t="s">
        <v>29</v>
      </c>
      <c r="D3" s="11" t="str">
        <f t="shared" si="1"/>
        <v>DAP01 - Double Action Press</v>
      </c>
      <c r="E3" s="13" t="s">
        <v>30</v>
      </c>
      <c r="F3" s="11"/>
      <c r="G3" s="13">
        <v>4.5</v>
      </c>
      <c r="H3" s="13">
        <v>2015.0</v>
      </c>
      <c r="I3" s="11" t="s">
        <v>22</v>
      </c>
      <c r="J3" s="11" t="s">
        <v>23</v>
      </c>
      <c r="K3" s="13" t="s">
        <v>23</v>
      </c>
      <c r="L3" s="11"/>
      <c r="M3" s="19"/>
      <c r="N3" s="13" t="s">
        <v>23</v>
      </c>
      <c r="O3" s="15"/>
      <c r="P3" s="15"/>
      <c r="Q3" s="15"/>
      <c r="R3" s="17" t="s">
        <v>31</v>
      </c>
      <c r="S3" s="17" t="s">
        <v>26</v>
      </c>
      <c r="T3" s="15"/>
      <c r="U3" s="17" t="s">
        <v>28</v>
      </c>
      <c r="V3" s="17" t="s">
        <v>29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8"/>
    </row>
    <row r="4">
      <c r="A4" s="10" t="s">
        <v>27</v>
      </c>
      <c r="B4" s="11" t="s">
        <v>28</v>
      </c>
      <c r="C4" s="12" t="s">
        <v>32</v>
      </c>
      <c r="D4" s="11" t="str">
        <f t="shared" si="1"/>
        <v>DAP01 - Double Action Press</v>
      </c>
      <c r="E4" s="13" t="s">
        <v>30</v>
      </c>
      <c r="F4" s="11"/>
      <c r="G4" s="13">
        <v>4.5</v>
      </c>
      <c r="H4" s="13">
        <v>2015.0</v>
      </c>
      <c r="I4" s="11" t="s">
        <v>22</v>
      </c>
      <c r="J4" s="11" t="s">
        <v>23</v>
      </c>
      <c r="K4" s="13" t="s">
        <v>23</v>
      </c>
      <c r="L4" s="11"/>
      <c r="M4" s="19"/>
      <c r="N4" s="13" t="s">
        <v>23</v>
      </c>
      <c r="O4" s="15"/>
      <c r="P4" s="15"/>
      <c r="Q4" s="15"/>
      <c r="R4" s="17" t="s">
        <v>31</v>
      </c>
      <c r="S4" s="17" t="s">
        <v>26</v>
      </c>
      <c r="T4" s="15"/>
      <c r="U4" s="17" t="s">
        <v>28</v>
      </c>
      <c r="V4" s="17" t="s">
        <v>29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8"/>
    </row>
    <row r="5">
      <c r="A5" s="10" t="s">
        <v>27</v>
      </c>
      <c r="B5" s="11" t="s">
        <v>33</v>
      </c>
      <c r="C5" s="16" t="s">
        <v>34</v>
      </c>
      <c r="D5" s="11" t="str">
        <f t="shared" si="1"/>
        <v>DAP02 - Double Action Press</v>
      </c>
      <c r="E5" s="13" t="s">
        <v>30</v>
      </c>
      <c r="F5" s="11"/>
      <c r="G5" s="13">
        <v>4.5</v>
      </c>
      <c r="H5" s="13">
        <v>2012.0</v>
      </c>
      <c r="I5" s="11" t="s">
        <v>22</v>
      </c>
      <c r="J5" s="11" t="s">
        <v>23</v>
      </c>
      <c r="K5" s="13" t="s">
        <v>23</v>
      </c>
      <c r="L5" s="11"/>
      <c r="M5" s="19"/>
      <c r="N5" s="13" t="s">
        <v>23</v>
      </c>
      <c r="O5" s="15"/>
      <c r="P5" s="15"/>
      <c r="Q5" s="15"/>
      <c r="R5" s="16" t="s">
        <v>29</v>
      </c>
      <c r="S5" s="17" t="s">
        <v>35</v>
      </c>
      <c r="T5" s="15"/>
      <c r="U5" s="16" t="s">
        <v>33</v>
      </c>
      <c r="V5" s="17" t="s">
        <v>34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8"/>
    </row>
    <row r="6">
      <c r="A6" s="10" t="s">
        <v>27</v>
      </c>
      <c r="B6" s="11" t="s">
        <v>33</v>
      </c>
      <c r="C6" s="12" t="s">
        <v>36</v>
      </c>
      <c r="D6" s="11" t="str">
        <f t="shared" si="1"/>
        <v>DAP02 - Double Action Press</v>
      </c>
      <c r="E6" s="13" t="s">
        <v>30</v>
      </c>
      <c r="F6" s="11"/>
      <c r="G6" s="13">
        <v>4.5</v>
      </c>
      <c r="H6" s="13">
        <v>2012.0</v>
      </c>
      <c r="I6" s="11" t="s">
        <v>22</v>
      </c>
      <c r="J6" s="11" t="s">
        <v>23</v>
      </c>
      <c r="K6" s="13" t="s">
        <v>23</v>
      </c>
      <c r="L6" s="11"/>
      <c r="M6" s="19"/>
      <c r="N6" s="13" t="s">
        <v>23</v>
      </c>
      <c r="O6" s="15"/>
      <c r="P6" s="15"/>
      <c r="Q6" s="15"/>
      <c r="R6" s="16"/>
      <c r="S6" s="17"/>
      <c r="T6" s="15"/>
      <c r="U6" s="16"/>
      <c r="V6" s="17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8"/>
    </row>
    <row r="7">
      <c r="A7" s="10" t="s">
        <v>27</v>
      </c>
      <c r="B7" s="11" t="s">
        <v>37</v>
      </c>
      <c r="C7" s="16" t="s">
        <v>38</v>
      </c>
      <c r="D7" s="11" t="str">
        <f t="shared" si="1"/>
        <v>DAP03 - Double Action Press</v>
      </c>
      <c r="E7" s="13" t="s">
        <v>30</v>
      </c>
      <c r="F7" s="11"/>
      <c r="G7" s="13">
        <v>3.5</v>
      </c>
      <c r="H7" s="13">
        <v>2010.0</v>
      </c>
      <c r="I7" s="11" t="s">
        <v>22</v>
      </c>
      <c r="J7" s="11" t="s">
        <v>23</v>
      </c>
      <c r="K7" s="13" t="s">
        <v>23</v>
      </c>
      <c r="L7" s="11"/>
      <c r="M7" s="19"/>
      <c r="N7" s="13" t="s">
        <v>23</v>
      </c>
      <c r="O7" s="15"/>
      <c r="P7" s="15"/>
      <c r="Q7" s="15"/>
      <c r="R7" s="16" t="s">
        <v>34</v>
      </c>
      <c r="S7" s="17" t="s">
        <v>35</v>
      </c>
      <c r="T7" s="15"/>
      <c r="U7" s="16" t="s">
        <v>37</v>
      </c>
      <c r="V7" s="17" t="s">
        <v>38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8"/>
    </row>
    <row r="8">
      <c r="A8" s="10" t="s">
        <v>39</v>
      </c>
      <c r="B8" s="11" t="s">
        <v>40</v>
      </c>
      <c r="C8" s="16"/>
      <c r="D8" s="11" t="str">
        <f t="shared" si="1"/>
        <v>HYP01 - Hydrualic Press - 100Tn</v>
      </c>
      <c r="E8" s="13" t="s">
        <v>41</v>
      </c>
      <c r="F8" s="11"/>
      <c r="G8" s="13" t="s">
        <v>42</v>
      </c>
      <c r="H8" s="13">
        <v>2020.0</v>
      </c>
      <c r="I8" s="13" t="s">
        <v>43</v>
      </c>
      <c r="J8" s="11"/>
      <c r="K8" s="13" t="s">
        <v>23</v>
      </c>
      <c r="L8" s="11"/>
      <c r="M8" s="19"/>
      <c r="N8" s="13" t="s">
        <v>23</v>
      </c>
      <c r="O8" s="15"/>
      <c r="P8" s="15"/>
      <c r="Q8" s="15"/>
      <c r="R8" s="16" t="s">
        <v>38</v>
      </c>
      <c r="S8" s="17" t="s">
        <v>35</v>
      </c>
      <c r="T8" s="15"/>
      <c r="U8" s="16" t="s">
        <v>40</v>
      </c>
      <c r="V8" s="17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8"/>
    </row>
    <row r="9">
      <c r="A9" s="10" t="s">
        <v>44</v>
      </c>
      <c r="B9" s="11" t="s">
        <v>45</v>
      </c>
      <c r="C9" s="12" t="s">
        <v>46</v>
      </c>
      <c r="D9" s="11" t="str">
        <f t="shared" si="1"/>
        <v>HYP02 - Hydrualic Press - 50Tn</v>
      </c>
      <c r="E9" s="13" t="s">
        <v>47</v>
      </c>
      <c r="F9" s="11"/>
      <c r="G9" s="13" t="s">
        <v>48</v>
      </c>
      <c r="H9" s="13">
        <v>2023.0</v>
      </c>
      <c r="I9" s="13" t="s">
        <v>22</v>
      </c>
      <c r="J9" s="11"/>
      <c r="K9" s="13" t="s">
        <v>23</v>
      </c>
      <c r="L9" s="11"/>
      <c r="M9" s="19"/>
      <c r="N9" s="13" t="s">
        <v>23</v>
      </c>
      <c r="O9" s="15"/>
      <c r="P9" s="15"/>
      <c r="Q9" s="15"/>
      <c r="R9" s="16" t="s">
        <v>49</v>
      </c>
      <c r="S9" s="17" t="s">
        <v>50</v>
      </c>
      <c r="T9" s="15"/>
      <c r="U9" s="16" t="s">
        <v>45</v>
      </c>
      <c r="V9" s="17" t="s">
        <v>49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8"/>
    </row>
    <row r="10">
      <c r="A10" s="10" t="s">
        <v>44</v>
      </c>
      <c r="B10" s="11" t="s">
        <v>45</v>
      </c>
      <c r="C10" s="20" t="s">
        <v>51</v>
      </c>
      <c r="D10" s="11" t="str">
        <f t="shared" si="1"/>
        <v>HYP02 - Hydrualic Press - 50Tn</v>
      </c>
      <c r="E10" s="13" t="s">
        <v>47</v>
      </c>
      <c r="F10" s="11"/>
      <c r="G10" s="13" t="s">
        <v>48</v>
      </c>
      <c r="H10" s="13">
        <v>2023.0</v>
      </c>
      <c r="I10" s="13" t="s">
        <v>22</v>
      </c>
      <c r="J10" s="11"/>
      <c r="K10" s="13" t="s">
        <v>23</v>
      </c>
      <c r="L10" s="11"/>
      <c r="M10" s="19"/>
      <c r="N10" s="13" t="s">
        <v>23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8"/>
    </row>
    <row r="11">
      <c r="A11" s="10" t="s">
        <v>44</v>
      </c>
      <c r="B11" s="11" t="s">
        <v>45</v>
      </c>
      <c r="C11" s="20" t="s">
        <v>52</v>
      </c>
      <c r="D11" s="11" t="str">
        <f t="shared" si="1"/>
        <v>HYP02 - Hydrualic Press - 50Tn</v>
      </c>
      <c r="E11" s="13" t="s">
        <v>47</v>
      </c>
      <c r="F11" s="11"/>
      <c r="G11" s="13" t="s">
        <v>48</v>
      </c>
      <c r="H11" s="13">
        <v>2023.0</v>
      </c>
      <c r="I11" s="13" t="s">
        <v>22</v>
      </c>
      <c r="J11" s="11"/>
      <c r="K11" s="13" t="s">
        <v>23</v>
      </c>
      <c r="L11" s="11"/>
      <c r="M11" s="19"/>
      <c r="N11" s="13" t="s">
        <v>23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8"/>
    </row>
    <row r="12">
      <c r="A12" s="10" t="s">
        <v>44</v>
      </c>
      <c r="B12" s="11" t="s">
        <v>45</v>
      </c>
      <c r="C12" s="20" t="s">
        <v>53</v>
      </c>
      <c r="D12" s="11" t="str">
        <f t="shared" si="1"/>
        <v>HYP02 - Hydrualic Press - 50Tn</v>
      </c>
      <c r="E12" s="13" t="s">
        <v>47</v>
      </c>
      <c r="F12" s="13"/>
      <c r="G12" s="13" t="s">
        <v>48</v>
      </c>
      <c r="H12" s="13">
        <v>2023.0</v>
      </c>
      <c r="I12" s="13" t="s">
        <v>22</v>
      </c>
      <c r="J12" s="13"/>
      <c r="K12" s="13" t="s">
        <v>23</v>
      </c>
      <c r="L12" s="13"/>
      <c r="M12" s="21"/>
      <c r="N12" s="13" t="s">
        <v>23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8"/>
    </row>
    <row r="13">
      <c r="A13" s="10" t="s">
        <v>44</v>
      </c>
      <c r="B13" s="11" t="s">
        <v>45</v>
      </c>
      <c r="C13" s="20" t="s">
        <v>54</v>
      </c>
      <c r="D13" s="11" t="str">
        <f t="shared" si="1"/>
        <v>HYP02 - Hydrualic Press - 50Tn</v>
      </c>
      <c r="E13" s="13" t="s">
        <v>47</v>
      </c>
      <c r="F13" s="13"/>
      <c r="G13" s="13" t="s">
        <v>48</v>
      </c>
      <c r="H13" s="13">
        <v>2023.0</v>
      </c>
      <c r="I13" s="13" t="s">
        <v>22</v>
      </c>
      <c r="J13" s="13"/>
      <c r="K13" s="13" t="s">
        <v>23</v>
      </c>
      <c r="L13" s="13"/>
      <c r="M13" s="21"/>
      <c r="N13" s="13" t="s">
        <v>23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8"/>
    </row>
    <row r="14">
      <c r="A14" s="10" t="s">
        <v>44</v>
      </c>
      <c r="B14" s="11" t="s">
        <v>45</v>
      </c>
      <c r="C14" s="20" t="s">
        <v>55</v>
      </c>
      <c r="D14" s="11" t="str">
        <f t="shared" si="1"/>
        <v>HYP02 - Hydrualic Press - 50Tn</v>
      </c>
      <c r="E14" s="13" t="s">
        <v>47</v>
      </c>
      <c r="F14" s="13"/>
      <c r="G14" s="13" t="s">
        <v>48</v>
      </c>
      <c r="H14" s="13">
        <v>2023.0</v>
      </c>
      <c r="I14" s="13" t="s">
        <v>22</v>
      </c>
      <c r="J14" s="13"/>
      <c r="K14" s="13" t="s">
        <v>23</v>
      </c>
      <c r="L14" s="13"/>
      <c r="M14" s="21"/>
      <c r="N14" s="13" t="s">
        <v>23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8"/>
    </row>
    <row r="15">
      <c r="A15" s="10" t="s">
        <v>44</v>
      </c>
      <c r="B15" s="11" t="s">
        <v>45</v>
      </c>
      <c r="C15" s="20" t="s">
        <v>56</v>
      </c>
      <c r="D15" s="11" t="str">
        <f t="shared" si="1"/>
        <v>HYP02 - Hydrualic Press - 50Tn</v>
      </c>
      <c r="E15" s="13" t="s">
        <v>47</v>
      </c>
      <c r="F15" s="13"/>
      <c r="G15" s="13" t="s">
        <v>48</v>
      </c>
      <c r="H15" s="13">
        <v>2023.0</v>
      </c>
      <c r="I15" s="13" t="s">
        <v>22</v>
      </c>
      <c r="J15" s="13"/>
      <c r="K15" s="13" t="s">
        <v>23</v>
      </c>
      <c r="L15" s="13"/>
      <c r="M15" s="21"/>
      <c r="N15" s="13" t="s">
        <v>23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8"/>
    </row>
    <row r="16">
      <c r="A16" s="22" t="s">
        <v>39</v>
      </c>
      <c r="B16" s="13" t="s">
        <v>57</v>
      </c>
      <c r="C16" s="20" t="s">
        <v>58</v>
      </c>
      <c r="D16" s="11" t="str">
        <f t="shared" si="1"/>
        <v>HYP03 - Hydrualic Press - 100Tn</v>
      </c>
      <c r="E16" s="13" t="s">
        <v>41</v>
      </c>
      <c r="F16" s="13"/>
      <c r="G16" s="13" t="s">
        <v>42</v>
      </c>
      <c r="H16" s="13">
        <v>2025.0</v>
      </c>
      <c r="I16" s="13" t="s">
        <v>22</v>
      </c>
      <c r="J16" s="13"/>
      <c r="K16" s="13" t="s">
        <v>23</v>
      </c>
      <c r="L16" s="13"/>
      <c r="M16" s="21"/>
      <c r="N16" s="13" t="s">
        <v>23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8"/>
    </row>
    <row r="17">
      <c r="A17" s="22" t="s">
        <v>39</v>
      </c>
      <c r="B17" s="13" t="s">
        <v>57</v>
      </c>
      <c r="C17" s="12" t="s">
        <v>59</v>
      </c>
      <c r="D17" s="11" t="str">
        <f t="shared" si="1"/>
        <v>HYP03 - Hydrualic Press - 100Tn</v>
      </c>
      <c r="E17" s="13" t="s">
        <v>41</v>
      </c>
      <c r="F17" s="13"/>
      <c r="G17" s="13" t="s">
        <v>42</v>
      </c>
      <c r="H17" s="13">
        <v>2025.0</v>
      </c>
      <c r="I17" s="13" t="s">
        <v>22</v>
      </c>
      <c r="J17" s="13"/>
      <c r="K17" s="13" t="s">
        <v>23</v>
      </c>
      <c r="L17" s="13"/>
      <c r="M17" s="21"/>
      <c r="N17" s="13" t="s">
        <v>23</v>
      </c>
      <c r="O17" s="15"/>
      <c r="P17" s="15"/>
      <c r="Q17" s="15"/>
      <c r="R17" s="23"/>
      <c r="S17" s="24"/>
      <c r="T17" s="15"/>
      <c r="U17" s="23"/>
      <c r="V17" s="24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8"/>
    </row>
    <row r="18">
      <c r="A18" s="22" t="s">
        <v>60</v>
      </c>
      <c r="B18" s="13" t="s">
        <v>61</v>
      </c>
      <c r="C18" s="12" t="s">
        <v>29</v>
      </c>
      <c r="D18" s="11" t="str">
        <f t="shared" si="1"/>
        <v>HYP04 - Hydrualic Press - 80Tn</v>
      </c>
      <c r="E18" s="13" t="s">
        <v>41</v>
      </c>
      <c r="F18" s="13"/>
      <c r="G18" s="13" t="s">
        <v>62</v>
      </c>
      <c r="H18" s="13">
        <v>2026.0</v>
      </c>
      <c r="I18" s="13" t="s">
        <v>22</v>
      </c>
      <c r="J18" s="13"/>
      <c r="K18" s="13" t="s">
        <v>23</v>
      </c>
      <c r="L18" s="13"/>
      <c r="M18" s="21"/>
      <c r="N18" s="13" t="s">
        <v>23</v>
      </c>
      <c r="O18" s="15"/>
      <c r="P18" s="15"/>
      <c r="Q18" s="15"/>
      <c r="R18" s="23"/>
      <c r="S18" s="24"/>
      <c r="T18" s="15"/>
      <c r="U18" s="23"/>
      <c r="V18" s="2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8"/>
    </row>
    <row r="19">
      <c r="A19" s="22" t="s">
        <v>39</v>
      </c>
      <c r="B19" s="13" t="s">
        <v>63</v>
      </c>
      <c r="C19" s="12" t="s">
        <v>64</v>
      </c>
      <c r="D19" s="11" t="str">
        <f t="shared" si="1"/>
        <v>HYP06 - Hydrualic Press - 100Tn</v>
      </c>
      <c r="E19" s="13" t="s">
        <v>41</v>
      </c>
      <c r="F19" s="13"/>
      <c r="G19" s="13" t="s">
        <v>42</v>
      </c>
      <c r="H19" s="13">
        <v>2026.0</v>
      </c>
      <c r="I19" s="13" t="s">
        <v>22</v>
      </c>
      <c r="J19" s="13"/>
      <c r="K19" s="13" t="s">
        <v>23</v>
      </c>
      <c r="L19" s="13"/>
      <c r="M19" s="21"/>
      <c r="N19" s="13" t="s">
        <v>23</v>
      </c>
      <c r="O19" s="15"/>
      <c r="P19" s="15"/>
      <c r="Q19" s="15"/>
      <c r="R19" s="23"/>
      <c r="S19" s="24"/>
      <c r="T19" s="15"/>
      <c r="U19" s="23"/>
      <c r="V19" s="24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8"/>
    </row>
    <row r="20">
      <c r="A20" s="10" t="s">
        <v>65</v>
      </c>
      <c r="B20" s="11" t="s">
        <v>66</v>
      </c>
      <c r="C20" s="12" t="s">
        <v>67</v>
      </c>
      <c r="D20" s="11" t="str">
        <f t="shared" si="1"/>
        <v>SAP01 - Single Action Press</v>
      </c>
      <c r="E20" s="13" t="s">
        <v>68</v>
      </c>
      <c r="F20" s="11"/>
      <c r="G20" s="13" t="s">
        <v>69</v>
      </c>
      <c r="H20" s="13">
        <v>2011.0</v>
      </c>
      <c r="I20" s="13" t="s">
        <v>22</v>
      </c>
      <c r="J20" s="11"/>
      <c r="K20" s="13" t="s">
        <v>23</v>
      </c>
      <c r="L20" s="11"/>
      <c r="M20" s="19"/>
      <c r="N20" s="13" t="s">
        <v>23</v>
      </c>
      <c r="O20" s="15"/>
      <c r="P20" s="15"/>
      <c r="Q20" s="15"/>
      <c r="R20" s="16" t="s">
        <v>70</v>
      </c>
      <c r="S20" s="17" t="s">
        <v>71</v>
      </c>
      <c r="T20" s="15"/>
      <c r="U20" s="16" t="s">
        <v>66</v>
      </c>
      <c r="V20" s="17" t="s">
        <v>70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8"/>
    </row>
    <row r="21">
      <c r="A21" s="10" t="s">
        <v>65</v>
      </c>
      <c r="B21" s="11" t="s">
        <v>66</v>
      </c>
      <c r="C21" s="12" t="s">
        <v>72</v>
      </c>
      <c r="D21" s="11" t="str">
        <f t="shared" si="1"/>
        <v>SAP01 - Single Action Press</v>
      </c>
      <c r="E21" s="13" t="s">
        <v>68</v>
      </c>
      <c r="F21" s="11"/>
      <c r="G21" s="13" t="s">
        <v>69</v>
      </c>
      <c r="H21" s="13">
        <v>2011.0</v>
      </c>
      <c r="I21" s="13" t="s">
        <v>22</v>
      </c>
      <c r="J21" s="11"/>
      <c r="K21" s="13" t="s">
        <v>23</v>
      </c>
      <c r="L21" s="11"/>
      <c r="M21" s="19"/>
      <c r="N21" s="13" t="s">
        <v>23</v>
      </c>
      <c r="O21" s="15"/>
      <c r="P21" s="15"/>
      <c r="Q21" s="15"/>
      <c r="R21" s="16"/>
      <c r="S21" s="17"/>
      <c r="T21" s="15"/>
      <c r="U21" s="16"/>
      <c r="V21" s="17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8"/>
    </row>
    <row r="22">
      <c r="A22" s="10" t="s">
        <v>65</v>
      </c>
      <c r="B22" s="11" t="s">
        <v>66</v>
      </c>
      <c r="C22" s="12" t="s">
        <v>73</v>
      </c>
      <c r="D22" s="11" t="str">
        <f t="shared" si="1"/>
        <v>SAP01 - Single Action Press</v>
      </c>
      <c r="E22" s="13" t="s">
        <v>68</v>
      </c>
      <c r="F22" s="11"/>
      <c r="G22" s="13" t="s">
        <v>69</v>
      </c>
      <c r="H22" s="13">
        <v>2011.0</v>
      </c>
      <c r="I22" s="13" t="s">
        <v>22</v>
      </c>
      <c r="J22" s="11"/>
      <c r="K22" s="13" t="s">
        <v>23</v>
      </c>
      <c r="L22" s="11"/>
      <c r="M22" s="19"/>
      <c r="N22" s="13" t="s">
        <v>23</v>
      </c>
      <c r="O22" s="15"/>
      <c r="P22" s="15"/>
      <c r="Q22" s="15"/>
      <c r="R22" s="16"/>
      <c r="S22" s="17"/>
      <c r="T22" s="15"/>
      <c r="U22" s="16"/>
      <c r="V22" s="17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8"/>
    </row>
    <row r="23">
      <c r="A23" s="10" t="s">
        <v>65</v>
      </c>
      <c r="B23" s="11" t="s">
        <v>74</v>
      </c>
      <c r="C23" s="12" t="s">
        <v>49</v>
      </c>
      <c r="D23" s="11" t="str">
        <f t="shared" si="1"/>
        <v>SAP02 - Single Action Press</v>
      </c>
      <c r="E23" s="13" t="s">
        <v>75</v>
      </c>
      <c r="F23" s="11"/>
      <c r="G23" s="13" t="s">
        <v>69</v>
      </c>
      <c r="H23" s="13">
        <v>2021.0</v>
      </c>
      <c r="I23" s="13" t="s">
        <v>22</v>
      </c>
      <c r="J23" s="11"/>
      <c r="K23" s="13" t="s">
        <v>23</v>
      </c>
      <c r="L23" s="11"/>
      <c r="M23" s="19"/>
      <c r="N23" s="13" t="s">
        <v>23</v>
      </c>
      <c r="O23" s="15"/>
      <c r="P23" s="15"/>
      <c r="Q23" s="15"/>
      <c r="R23" s="16" t="s">
        <v>76</v>
      </c>
      <c r="S23" s="17" t="s">
        <v>77</v>
      </c>
      <c r="T23" s="15"/>
      <c r="U23" s="16" t="s">
        <v>74</v>
      </c>
      <c r="V23" s="17" t="s">
        <v>76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8"/>
    </row>
    <row r="24">
      <c r="A24" s="10" t="s">
        <v>65</v>
      </c>
      <c r="B24" s="11" t="s">
        <v>74</v>
      </c>
      <c r="C24" s="12" t="s">
        <v>78</v>
      </c>
      <c r="D24" s="11" t="str">
        <f t="shared" si="1"/>
        <v>SAP02 - Single Action Press</v>
      </c>
      <c r="E24" s="13" t="s">
        <v>75</v>
      </c>
      <c r="F24" s="11"/>
      <c r="G24" s="13" t="s">
        <v>69</v>
      </c>
      <c r="H24" s="13">
        <v>2021.0</v>
      </c>
      <c r="I24" s="13" t="s">
        <v>22</v>
      </c>
      <c r="J24" s="11"/>
      <c r="K24" s="13" t="s">
        <v>23</v>
      </c>
      <c r="L24" s="11"/>
      <c r="M24" s="19"/>
      <c r="N24" s="13" t="s">
        <v>23</v>
      </c>
      <c r="O24" s="15"/>
      <c r="P24" s="15"/>
      <c r="Q24" s="15"/>
      <c r="R24" s="16"/>
      <c r="S24" s="17"/>
      <c r="T24" s="15"/>
      <c r="U24" s="16"/>
      <c r="V24" s="17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8"/>
    </row>
    <row r="25">
      <c r="A25" s="10" t="s">
        <v>65</v>
      </c>
      <c r="B25" s="11" t="s">
        <v>79</v>
      </c>
      <c r="C25" s="12" t="s">
        <v>67</v>
      </c>
      <c r="D25" s="11" t="str">
        <f t="shared" si="1"/>
        <v>SAP03 - Single Action Press</v>
      </c>
      <c r="E25" s="13" t="s">
        <v>80</v>
      </c>
      <c r="F25" s="11"/>
      <c r="G25" s="13" t="s">
        <v>69</v>
      </c>
      <c r="H25" s="13">
        <v>2019.0</v>
      </c>
      <c r="I25" s="13" t="s">
        <v>22</v>
      </c>
      <c r="J25" s="11"/>
      <c r="K25" s="13" t="s">
        <v>23</v>
      </c>
      <c r="L25" s="11"/>
      <c r="M25" s="19"/>
      <c r="N25" s="13" t="s">
        <v>23</v>
      </c>
      <c r="O25" s="15"/>
      <c r="P25" s="15"/>
      <c r="Q25" s="15"/>
      <c r="R25" s="16" t="s">
        <v>81</v>
      </c>
      <c r="S25" s="17" t="s">
        <v>80</v>
      </c>
      <c r="T25" s="15"/>
      <c r="U25" s="16" t="s">
        <v>79</v>
      </c>
      <c r="V25" s="17" t="s">
        <v>81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8"/>
    </row>
    <row r="26">
      <c r="A26" s="10" t="s">
        <v>65</v>
      </c>
      <c r="B26" s="11" t="s">
        <v>82</v>
      </c>
      <c r="C26" s="12" t="s">
        <v>83</v>
      </c>
      <c r="D26" s="11" t="str">
        <f t="shared" si="1"/>
        <v>SAP04 - Single Action Press</v>
      </c>
      <c r="E26" s="13" t="s">
        <v>84</v>
      </c>
      <c r="F26" s="11"/>
      <c r="G26" s="13" t="s">
        <v>69</v>
      </c>
      <c r="H26" s="13">
        <v>2011.0</v>
      </c>
      <c r="I26" s="13" t="s">
        <v>22</v>
      </c>
      <c r="J26" s="11"/>
      <c r="K26" s="13" t="s">
        <v>23</v>
      </c>
      <c r="L26" s="11"/>
      <c r="M26" s="19"/>
      <c r="N26" s="13" t="s">
        <v>23</v>
      </c>
      <c r="O26" s="15"/>
      <c r="P26" s="15"/>
      <c r="Q26" s="15"/>
      <c r="R26" s="16" t="s">
        <v>85</v>
      </c>
      <c r="S26" s="17" t="s">
        <v>84</v>
      </c>
      <c r="T26" s="15"/>
      <c r="U26" s="16" t="s">
        <v>82</v>
      </c>
      <c r="V26" s="17" t="s">
        <v>85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8"/>
    </row>
    <row r="27">
      <c r="A27" s="10" t="s">
        <v>65</v>
      </c>
      <c r="B27" s="11" t="s">
        <v>82</v>
      </c>
      <c r="C27" s="12" t="s">
        <v>86</v>
      </c>
      <c r="D27" s="11" t="str">
        <f t="shared" si="1"/>
        <v>SAP04 - Single Action Press</v>
      </c>
      <c r="E27" s="13" t="s">
        <v>84</v>
      </c>
      <c r="F27" s="11"/>
      <c r="G27" s="13" t="s">
        <v>69</v>
      </c>
      <c r="H27" s="13">
        <v>2011.0</v>
      </c>
      <c r="I27" s="13" t="s">
        <v>22</v>
      </c>
      <c r="J27" s="11"/>
      <c r="K27" s="13" t="s">
        <v>23</v>
      </c>
      <c r="L27" s="11"/>
      <c r="M27" s="19"/>
      <c r="N27" s="13" t="s">
        <v>23</v>
      </c>
      <c r="O27" s="15"/>
      <c r="P27" s="15"/>
      <c r="Q27" s="15"/>
      <c r="R27" s="16" t="s">
        <v>85</v>
      </c>
      <c r="S27" s="17" t="s">
        <v>84</v>
      </c>
      <c r="T27" s="15"/>
      <c r="U27" s="16" t="s">
        <v>82</v>
      </c>
      <c r="V27" s="17" t="s">
        <v>85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8"/>
    </row>
    <row r="28">
      <c r="A28" s="10" t="s">
        <v>65</v>
      </c>
      <c r="B28" s="11" t="s">
        <v>87</v>
      </c>
      <c r="C28" s="12" t="s">
        <v>88</v>
      </c>
      <c r="D28" s="11" t="str">
        <f t="shared" si="1"/>
        <v>SAP05 - Single Action Press</v>
      </c>
      <c r="E28" s="13" t="s">
        <v>89</v>
      </c>
      <c r="F28" s="11"/>
      <c r="G28" s="13" t="s">
        <v>69</v>
      </c>
      <c r="H28" s="13">
        <v>2011.0</v>
      </c>
      <c r="I28" s="13" t="s">
        <v>22</v>
      </c>
      <c r="J28" s="11"/>
      <c r="K28" s="13" t="s">
        <v>23</v>
      </c>
      <c r="L28" s="11"/>
      <c r="M28" s="19"/>
      <c r="N28" s="13" t="s">
        <v>23</v>
      </c>
      <c r="O28" s="15"/>
      <c r="P28" s="15"/>
      <c r="Q28" s="15"/>
      <c r="R28" s="16" t="s">
        <v>90</v>
      </c>
      <c r="S28" s="17" t="s">
        <v>89</v>
      </c>
      <c r="T28" s="15"/>
      <c r="U28" s="16" t="s">
        <v>87</v>
      </c>
      <c r="V28" s="17" t="s">
        <v>90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8"/>
    </row>
    <row r="29">
      <c r="A29" s="10" t="s">
        <v>65</v>
      </c>
      <c r="B29" s="11" t="s">
        <v>91</v>
      </c>
      <c r="C29" s="12" t="s">
        <v>70</v>
      </c>
      <c r="D29" s="11" t="str">
        <f t="shared" si="1"/>
        <v>SAP06 - Single Action Press</v>
      </c>
      <c r="E29" s="13" t="s">
        <v>92</v>
      </c>
      <c r="F29" s="11"/>
      <c r="G29" s="13" t="s">
        <v>69</v>
      </c>
      <c r="H29" s="13">
        <v>2012.0</v>
      </c>
      <c r="I29" s="13" t="s">
        <v>22</v>
      </c>
      <c r="J29" s="11"/>
      <c r="K29" s="13" t="s">
        <v>23</v>
      </c>
      <c r="L29" s="11"/>
      <c r="M29" s="19"/>
      <c r="N29" s="13" t="s">
        <v>23</v>
      </c>
      <c r="O29" s="15"/>
      <c r="P29" s="15"/>
      <c r="Q29" s="15"/>
      <c r="R29" s="16" t="s">
        <v>64</v>
      </c>
      <c r="S29" s="17" t="s">
        <v>93</v>
      </c>
      <c r="T29" s="15"/>
      <c r="U29" s="16" t="s">
        <v>91</v>
      </c>
      <c r="V29" s="17" t="s">
        <v>64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8"/>
    </row>
    <row r="30">
      <c r="A30" s="10" t="s">
        <v>65</v>
      </c>
      <c r="B30" s="11" t="s">
        <v>94</v>
      </c>
      <c r="C30" s="12" t="s">
        <v>95</v>
      </c>
      <c r="D30" s="11" t="str">
        <f t="shared" si="1"/>
        <v>SAP07 - Single Action Press</v>
      </c>
      <c r="E30" s="13" t="s">
        <v>84</v>
      </c>
      <c r="F30" s="11"/>
      <c r="G30" s="13" t="s">
        <v>96</v>
      </c>
      <c r="H30" s="13">
        <v>2022.0</v>
      </c>
      <c r="I30" s="13" t="s">
        <v>22</v>
      </c>
      <c r="J30" s="11"/>
      <c r="K30" s="13" t="s">
        <v>23</v>
      </c>
      <c r="L30" s="11"/>
      <c r="M30" s="19"/>
      <c r="N30" s="13" t="s">
        <v>23</v>
      </c>
      <c r="O30" s="15"/>
      <c r="P30" s="15"/>
      <c r="Q30" s="15"/>
      <c r="R30" s="16" t="s">
        <v>97</v>
      </c>
      <c r="S30" s="17" t="s">
        <v>98</v>
      </c>
      <c r="T30" s="15"/>
      <c r="U30" s="16" t="s">
        <v>94</v>
      </c>
      <c r="V30" s="17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8"/>
    </row>
    <row r="31">
      <c r="A31" s="10" t="s">
        <v>65</v>
      </c>
      <c r="B31" s="11" t="s">
        <v>99</v>
      </c>
      <c r="C31" s="12" t="s">
        <v>64</v>
      </c>
      <c r="D31" s="11" t="str">
        <f t="shared" si="1"/>
        <v>SAP08 - Single Action Press</v>
      </c>
      <c r="E31" s="13" t="s">
        <v>89</v>
      </c>
      <c r="F31" s="11"/>
      <c r="G31" s="13" t="s">
        <v>69</v>
      </c>
      <c r="H31" s="13">
        <v>2022.0</v>
      </c>
      <c r="I31" s="13" t="s">
        <v>22</v>
      </c>
      <c r="J31" s="11"/>
      <c r="K31" s="13" t="s">
        <v>23</v>
      </c>
      <c r="L31" s="11"/>
      <c r="M31" s="19"/>
      <c r="N31" s="13" t="s">
        <v>23</v>
      </c>
      <c r="O31" s="15"/>
      <c r="P31" s="15"/>
      <c r="Q31" s="15"/>
      <c r="R31" s="16" t="s">
        <v>100</v>
      </c>
      <c r="S31" s="17" t="s">
        <v>98</v>
      </c>
      <c r="T31" s="15"/>
      <c r="U31" s="16" t="s">
        <v>99</v>
      </c>
      <c r="V31" s="17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8"/>
    </row>
    <row r="32">
      <c r="A32" s="10" t="s">
        <v>101</v>
      </c>
      <c r="B32" s="11" t="s">
        <v>102</v>
      </c>
      <c r="C32" s="12" t="s">
        <v>103</v>
      </c>
      <c r="D32" s="11" t="str">
        <f t="shared" si="1"/>
        <v>S01 - Spinning / Rolling Machine</v>
      </c>
      <c r="E32" s="13" t="s">
        <v>104</v>
      </c>
      <c r="F32" s="11"/>
      <c r="G32" s="13" t="s">
        <v>69</v>
      </c>
      <c r="H32" s="13">
        <v>2010.0</v>
      </c>
      <c r="I32" s="13" t="s">
        <v>22</v>
      </c>
      <c r="J32" s="11"/>
      <c r="K32" s="13" t="s">
        <v>23</v>
      </c>
      <c r="L32" s="11"/>
      <c r="M32" s="19"/>
      <c r="N32" s="13" t="s">
        <v>23</v>
      </c>
      <c r="O32" s="15"/>
      <c r="P32" s="15"/>
      <c r="Q32" s="15"/>
      <c r="R32" s="16" t="s">
        <v>105</v>
      </c>
      <c r="S32" s="17" t="s">
        <v>98</v>
      </c>
      <c r="T32" s="15"/>
      <c r="U32" s="16" t="s">
        <v>102</v>
      </c>
      <c r="V32" s="17" t="s">
        <v>97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8"/>
    </row>
    <row r="33">
      <c r="A33" s="10" t="s">
        <v>101</v>
      </c>
      <c r="B33" s="11" t="s">
        <v>106</v>
      </c>
      <c r="C33" s="12" t="s">
        <v>107</v>
      </c>
      <c r="D33" s="11" t="str">
        <f t="shared" si="1"/>
        <v>S02 - Spinning / Rolling Machine</v>
      </c>
      <c r="E33" s="13" t="s">
        <v>104</v>
      </c>
      <c r="F33" s="11"/>
      <c r="G33" s="13" t="s">
        <v>69</v>
      </c>
      <c r="H33" s="13">
        <v>2010.0</v>
      </c>
      <c r="I33" s="13" t="s">
        <v>22</v>
      </c>
      <c r="J33" s="11"/>
      <c r="K33" s="13" t="s">
        <v>23</v>
      </c>
      <c r="L33" s="11"/>
      <c r="M33" s="19"/>
      <c r="N33" s="13" t="s">
        <v>23</v>
      </c>
      <c r="O33" s="15"/>
      <c r="P33" s="15"/>
      <c r="Q33" s="15"/>
      <c r="R33" s="16" t="s">
        <v>108</v>
      </c>
      <c r="S33" s="17" t="s">
        <v>98</v>
      </c>
      <c r="T33" s="15"/>
      <c r="U33" s="16" t="s">
        <v>106</v>
      </c>
      <c r="V33" s="17" t="s">
        <v>100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8"/>
    </row>
    <row r="34">
      <c r="A34" s="10" t="s">
        <v>101</v>
      </c>
      <c r="B34" s="11" t="s">
        <v>109</v>
      </c>
      <c r="C34" s="12" t="s">
        <v>110</v>
      </c>
      <c r="D34" s="11" t="str">
        <f t="shared" si="1"/>
        <v>S03 - Spinning / Rolling Machine</v>
      </c>
      <c r="E34" s="13" t="s">
        <v>104</v>
      </c>
      <c r="F34" s="11"/>
      <c r="G34" s="13" t="s">
        <v>69</v>
      </c>
      <c r="H34" s="13">
        <v>2010.0</v>
      </c>
      <c r="I34" s="13" t="s">
        <v>22</v>
      </c>
      <c r="J34" s="11"/>
      <c r="K34" s="13" t="s">
        <v>23</v>
      </c>
      <c r="L34" s="11"/>
      <c r="M34" s="19"/>
      <c r="N34" s="13" t="s">
        <v>23</v>
      </c>
      <c r="O34" s="15"/>
      <c r="P34" s="15"/>
      <c r="Q34" s="15"/>
      <c r="R34" s="16" t="s">
        <v>111</v>
      </c>
      <c r="S34" s="17" t="s">
        <v>98</v>
      </c>
      <c r="T34" s="15"/>
      <c r="U34" s="16" t="s">
        <v>109</v>
      </c>
      <c r="V34" s="17" t="s">
        <v>105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8"/>
    </row>
    <row r="35">
      <c r="A35" s="10" t="s">
        <v>101</v>
      </c>
      <c r="B35" s="11" t="s">
        <v>112</v>
      </c>
      <c r="C35" s="12" t="s">
        <v>113</v>
      </c>
      <c r="D35" s="11" t="str">
        <f t="shared" si="1"/>
        <v>S04 - Spinning / Rolling Machine</v>
      </c>
      <c r="E35" s="13" t="s">
        <v>104</v>
      </c>
      <c r="F35" s="11"/>
      <c r="G35" s="13" t="s">
        <v>69</v>
      </c>
      <c r="H35" s="13">
        <v>2010.0</v>
      </c>
      <c r="I35" s="13" t="s">
        <v>22</v>
      </c>
      <c r="J35" s="11"/>
      <c r="K35" s="13" t="s">
        <v>23</v>
      </c>
      <c r="L35" s="11"/>
      <c r="M35" s="19"/>
      <c r="N35" s="13" t="s">
        <v>23</v>
      </c>
      <c r="O35" s="15"/>
      <c r="P35" s="15"/>
      <c r="Q35" s="15"/>
      <c r="R35" s="16" t="s">
        <v>114</v>
      </c>
      <c r="S35" s="17" t="s">
        <v>98</v>
      </c>
      <c r="T35" s="15"/>
      <c r="U35" s="16" t="s">
        <v>112</v>
      </c>
      <c r="V35" s="17" t="s">
        <v>108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8"/>
    </row>
    <row r="36">
      <c r="A36" s="10" t="s">
        <v>101</v>
      </c>
      <c r="B36" s="11" t="s">
        <v>115</v>
      </c>
      <c r="C36" s="12" t="s">
        <v>116</v>
      </c>
      <c r="D36" s="11" t="str">
        <f t="shared" si="1"/>
        <v>S05 - Spinning / Rolling Machine</v>
      </c>
      <c r="E36" s="13" t="s">
        <v>104</v>
      </c>
      <c r="F36" s="11"/>
      <c r="G36" s="13" t="s">
        <v>69</v>
      </c>
      <c r="H36" s="13">
        <v>2010.0</v>
      </c>
      <c r="I36" s="13" t="s">
        <v>43</v>
      </c>
      <c r="J36" s="11"/>
      <c r="K36" s="13" t="s">
        <v>23</v>
      </c>
      <c r="L36" s="11"/>
      <c r="M36" s="19"/>
      <c r="N36" s="13" t="s">
        <v>23</v>
      </c>
      <c r="O36" s="15"/>
      <c r="P36" s="15"/>
      <c r="Q36" s="15"/>
      <c r="R36" s="16" t="s">
        <v>117</v>
      </c>
      <c r="S36" s="17" t="s">
        <v>98</v>
      </c>
      <c r="T36" s="15"/>
      <c r="U36" s="16" t="s">
        <v>115</v>
      </c>
      <c r="V36" s="17" t="s">
        <v>111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8"/>
    </row>
    <row r="37">
      <c r="A37" s="10" t="s">
        <v>101</v>
      </c>
      <c r="B37" s="11" t="s">
        <v>118</v>
      </c>
      <c r="C37" s="12" t="s">
        <v>111</v>
      </c>
      <c r="D37" s="11" t="str">
        <f t="shared" si="1"/>
        <v>S06 - Spinning / Rolling Machine</v>
      </c>
      <c r="E37" s="13" t="s">
        <v>104</v>
      </c>
      <c r="F37" s="11"/>
      <c r="G37" s="13" t="s">
        <v>69</v>
      </c>
      <c r="H37" s="13">
        <v>2010.0</v>
      </c>
      <c r="I37" s="13" t="s">
        <v>22</v>
      </c>
      <c r="J37" s="11"/>
      <c r="K37" s="13" t="s">
        <v>23</v>
      </c>
      <c r="L37" s="11"/>
      <c r="M37" s="19"/>
      <c r="N37" s="13" t="s">
        <v>23</v>
      </c>
      <c r="O37" s="15"/>
      <c r="P37" s="15"/>
      <c r="Q37" s="15"/>
      <c r="R37" s="16" t="s">
        <v>119</v>
      </c>
      <c r="S37" s="17" t="s">
        <v>98</v>
      </c>
      <c r="T37" s="15"/>
      <c r="U37" s="16" t="s">
        <v>118</v>
      </c>
      <c r="V37" s="17" t="s">
        <v>114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8"/>
    </row>
    <row r="38">
      <c r="A38" s="10" t="s">
        <v>101</v>
      </c>
      <c r="B38" s="11" t="s">
        <v>120</v>
      </c>
      <c r="C38" s="12" t="s">
        <v>121</v>
      </c>
      <c r="D38" s="11" t="str">
        <f t="shared" si="1"/>
        <v>S07 - Spinning / Rolling Machine</v>
      </c>
      <c r="E38" s="13" t="s">
        <v>104</v>
      </c>
      <c r="F38" s="11"/>
      <c r="G38" s="13" t="s">
        <v>69</v>
      </c>
      <c r="H38" s="13">
        <v>2010.0</v>
      </c>
      <c r="I38" s="13" t="s">
        <v>22</v>
      </c>
      <c r="J38" s="11"/>
      <c r="K38" s="13" t="s">
        <v>23</v>
      </c>
      <c r="L38" s="11"/>
      <c r="M38" s="19"/>
      <c r="N38" s="13" t="s">
        <v>23</v>
      </c>
      <c r="O38" s="15"/>
      <c r="P38" s="15"/>
      <c r="Q38" s="15"/>
      <c r="R38" s="16" t="s">
        <v>122</v>
      </c>
      <c r="S38" s="17" t="s">
        <v>98</v>
      </c>
      <c r="T38" s="15"/>
      <c r="U38" s="16" t="s">
        <v>120</v>
      </c>
      <c r="V38" s="17" t="s">
        <v>117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8"/>
    </row>
    <row r="39">
      <c r="A39" s="10" t="s">
        <v>101</v>
      </c>
      <c r="B39" s="11" t="s">
        <v>120</v>
      </c>
      <c r="C39" s="12" t="s">
        <v>123</v>
      </c>
      <c r="D39" s="11" t="str">
        <f t="shared" si="1"/>
        <v>S07 - Spinning / Rolling Machine</v>
      </c>
      <c r="E39" s="13" t="s">
        <v>104</v>
      </c>
      <c r="F39" s="11"/>
      <c r="G39" s="13" t="s">
        <v>69</v>
      </c>
      <c r="H39" s="13">
        <v>2010.0</v>
      </c>
      <c r="I39" s="13" t="s">
        <v>22</v>
      </c>
      <c r="J39" s="11"/>
      <c r="K39" s="13" t="s">
        <v>23</v>
      </c>
      <c r="L39" s="11"/>
      <c r="M39" s="19"/>
      <c r="N39" s="13" t="s">
        <v>23</v>
      </c>
      <c r="O39" s="15"/>
      <c r="P39" s="15"/>
      <c r="Q39" s="15"/>
      <c r="R39" s="16"/>
      <c r="S39" s="17"/>
      <c r="T39" s="15"/>
      <c r="U39" s="16"/>
      <c r="V39" s="17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8"/>
    </row>
    <row r="40">
      <c r="A40" s="10" t="s">
        <v>101</v>
      </c>
      <c r="B40" s="11" t="s">
        <v>124</v>
      </c>
      <c r="C40" s="12" t="s">
        <v>122</v>
      </c>
      <c r="D40" s="11" t="str">
        <f t="shared" si="1"/>
        <v>S08 - Spinning / Rolling Machine</v>
      </c>
      <c r="E40" s="13" t="s">
        <v>104</v>
      </c>
      <c r="F40" s="11"/>
      <c r="G40" s="13" t="s">
        <v>69</v>
      </c>
      <c r="H40" s="13">
        <v>2010.0</v>
      </c>
      <c r="I40" s="13" t="s">
        <v>22</v>
      </c>
      <c r="J40" s="11"/>
      <c r="K40" s="13" t="s">
        <v>23</v>
      </c>
      <c r="L40" s="11"/>
      <c r="M40" s="19"/>
      <c r="N40" s="13" t="s">
        <v>23</v>
      </c>
      <c r="O40" s="15"/>
      <c r="P40" s="15"/>
      <c r="Q40" s="15"/>
      <c r="R40" s="16" t="s">
        <v>125</v>
      </c>
      <c r="S40" s="17" t="s">
        <v>126</v>
      </c>
      <c r="T40" s="15"/>
      <c r="U40" s="16" t="s">
        <v>124</v>
      </c>
      <c r="V40" s="17" t="s">
        <v>119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8"/>
    </row>
    <row r="41">
      <c r="A41" s="10" t="s">
        <v>101</v>
      </c>
      <c r="B41" s="11" t="s">
        <v>127</v>
      </c>
      <c r="C41" s="12" t="s">
        <v>119</v>
      </c>
      <c r="D41" s="11" t="str">
        <f t="shared" si="1"/>
        <v>S09 - Spinning / Rolling Machine</v>
      </c>
      <c r="E41" s="13" t="s">
        <v>104</v>
      </c>
      <c r="F41" s="11"/>
      <c r="G41" s="13" t="s">
        <v>69</v>
      </c>
      <c r="H41" s="13">
        <v>2010.0</v>
      </c>
      <c r="I41" s="13" t="s">
        <v>22</v>
      </c>
      <c r="J41" s="11"/>
      <c r="K41" s="13" t="s">
        <v>23</v>
      </c>
      <c r="L41" s="11"/>
      <c r="M41" s="19"/>
      <c r="N41" s="13" t="s">
        <v>23</v>
      </c>
      <c r="O41" s="15"/>
      <c r="P41" s="15"/>
      <c r="Q41" s="15"/>
      <c r="R41" s="16" t="s">
        <v>128</v>
      </c>
      <c r="S41" s="17" t="s">
        <v>126</v>
      </c>
      <c r="T41" s="15"/>
      <c r="U41" s="16" t="s">
        <v>127</v>
      </c>
      <c r="V41" s="17" t="s">
        <v>122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8"/>
    </row>
    <row r="42">
      <c r="A42" s="10" t="s">
        <v>101</v>
      </c>
      <c r="B42" s="11" t="s">
        <v>129</v>
      </c>
      <c r="C42" s="16"/>
      <c r="D42" s="11" t="str">
        <f t="shared" si="1"/>
        <v>S10 - Spinning / Rolling Machine</v>
      </c>
      <c r="E42" s="13" t="s">
        <v>104</v>
      </c>
      <c r="F42" s="11"/>
      <c r="G42" s="13" t="s">
        <v>69</v>
      </c>
      <c r="H42" s="13">
        <v>2010.0</v>
      </c>
      <c r="I42" s="13" t="s">
        <v>43</v>
      </c>
      <c r="J42" s="11"/>
      <c r="K42" s="13" t="s">
        <v>23</v>
      </c>
      <c r="L42" s="11"/>
      <c r="M42" s="19"/>
      <c r="N42" s="13" t="s">
        <v>23</v>
      </c>
      <c r="O42" s="15"/>
      <c r="P42" s="15"/>
      <c r="Q42" s="15"/>
      <c r="R42" s="16" t="s">
        <v>130</v>
      </c>
      <c r="S42" s="17" t="s">
        <v>126</v>
      </c>
      <c r="T42" s="15"/>
      <c r="U42" s="16" t="s">
        <v>129</v>
      </c>
      <c r="V42" s="17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8"/>
    </row>
    <row r="43">
      <c r="A43" s="10" t="s">
        <v>101</v>
      </c>
      <c r="B43" s="11" t="s">
        <v>131</v>
      </c>
      <c r="C43" s="12" t="s">
        <v>132</v>
      </c>
      <c r="D43" s="11" t="str">
        <f t="shared" si="1"/>
        <v>S11 - Spinning / Rolling Machine</v>
      </c>
      <c r="E43" s="13" t="s">
        <v>104</v>
      </c>
      <c r="F43" s="11"/>
      <c r="G43" s="13" t="s">
        <v>69</v>
      </c>
      <c r="H43" s="13">
        <v>2014.0</v>
      </c>
      <c r="I43" s="13" t="s">
        <v>22</v>
      </c>
      <c r="J43" s="11"/>
      <c r="K43" s="13" t="s">
        <v>23</v>
      </c>
      <c r="L43" s="11"/>
      <c r="M43" s="19"/>
      <c r="N43" s="13" t="s">
        <v>23</v>
      </c>
      <c r="O43" s="15"/>
      <c r="P43" s="15"/>
      <c r="Q43" s="15"/>
      <c r="R43" s="16" t="s">
        <v>133</v>
      </c>
      <c r="S43" s="17" t="s">
        <v>126</v>
      </c>
      <c r="T43" s="15"/>
      <c r="U43" s="16" t="s">
        <v>131</v>
      </c>
      <c r="V43" s="17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8"/>
    </row>
    <row r="44">
      <c r="A44" s="10" t="s">
        <v>101</v>
      </c>
      <c r="B44" s="11" t="s">
        <v>134</v>
      </c>
      <c r="C44" s="12" t="s">
        <v>135</v>
      </c>
      <c r="D44" s="11" t="str">
        <f t="shared" si="1"/>
        <v>S12 - Spinning / Rolling Machine</v>
      </c>
      <c r="E44" s="13" t="s">
        <v>104</v>
      </c>
      <c r="F44" s="11"/>
      <c r="G44" s="13" t="s">
        <v>69</v>
      </c>
      <c r="H44" s="13">
        <v>2014.0</v>
      </c>
      <c r="I44" s="13" t="s">
        <v>22</v>
      </c>
      <c r="J44" s="11"/>
      <c r="K44" s="13" t="s">
        <v>23</v>
      </c>
      <c r="L44" s="11"/>
      <c r="M44" s="19"/>
      <c r="N44" s="13" t="s">
        <v>23</v>
      </c>
      <c r="O44" s="15"/>
      <c r="P44" s="15"/>
      <c r="Q44" s="15"/>
      <c r="R44" s="16" t="s">
        <v>136</v>
      </c>
      <c r="S44" s="17" t="s">
        <v>137</v>
      </c>
      <c r="T44" s="15"/>
      <c r="U44" s="16" t="s">
        <v>134</v>
      </c>
      <c r="V44" s="17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8"/>
    </row>
    <row r="45">
      <c r="A45" s="10" t="s">
        <v>101</v>
      </c>
      <c r="B45" s="11" t="s">
        <v>134</v>
      </c>
      <c r="C45" s="20" t="s">
        <v>138</v>
      </c>
      <c r="D45" s="11" t="str">
        <f t="shared" si="1"/>
        <v>S12 - Spinning / Rolling Machine</v>
      </c>
      <c r="E45" s="13" t="s">
        <v>104</v>
      </c>
      <c r="F45" s="11"/>
      <c r="G45" s="13" t="s">
        <v>69</v>
      </c>
      <c r="H45" s="13">
        <v>2014.0</v>
      </c>
      <c r="I45" s="13" t="s">
        <v>22</v>
      </c>
      <c r="J45" s="11"/>
      <c r="K45" s="13" t="s">
        <v>23</v>
      </c>
      <c r="L45" s="11"/>
      <c r="M45" s="19"/>
      <c r="N45" s="13" t="s">
        <v>23</v>
      </c>
      <c r="O45" s="15"/>
      <c r="P45" s="15"/>
      <c r="Q45" s="15"/>
      <c r="R45" s="16"/>
      <c r="S45" s="17"/>
      <c r="T45" s="15"/>
      <c r="U45" s="16"/>
      <c r="V45" s="17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8"/>
    </row>
    <row r="46">
      <c r="A46" s="10" t="s">
        <v>101</v>
      </c>
      <c r="B46" s="11" t="s">
        <v>134</v>
      </c>
      <c r="C46" s="20" t="s">
        <v>139</v>
      </c>
      <c r="D46" s="11" t="str">
        <f t="shared" si="1"/>
        <v>S12 - Spinning / Rolling Machine</v>
      </c>
      <c r="E46" s="13" t="s">
        <v>104</v>
      </c>
      <c r="F46" s="11"/>
      <c r="G46" s="13" t="s">
        <v>69</v>
      </c>
      <c r="H46" s="13">
        <v>2014.0</v>
      </c>
      <c r="I46" s="13" t="s">
        <v>22</v>
      </c>
      <c r="J46" s="11"/>
      <c r="K46" s="13" t="s">
        <v>23</v>
      </c>
      <c r="L46" s="11"/>
      <c r="M46" s="19"/>
      <c r="N46" s="13" t="s">
        <v>23</v>
      </c>
      <c r="O46" s="15"/>
      <c r="P46" s="15"/>
      <c r="Q46" s="15"/>
      <c r="R46" s="16"/>
      <c r="S46" s="17"/>
      <c r="T46" s="15"/>
      <c r="U46" s="16"/>
      <c r="V46" s="17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8"/>
    </row>
    <row r="47">
      <c r="A47" s="10" t="s">
        <v>101</v>
      </c>
      <c r="B47" s="11" t="s">
        <v>140</v>
      </c>
      <c r="C47" s="20" t="s">
        <v>141</v>
      </c>
      <c r="D47" s="11" t="str">
        <f t="shared" si="1"/>
        <v>S13 - Spinning / Rolling Machine</v>
      </c>
      <c r="E47" s="13" t="s">
        <v>104</v>
      </c>
      <c r="F47" s="11"/>
      <c r="G47" s="13" t="s">
        <v>69</v>
      </c>
      <c r="H47" s="13">
        <v>2014.0</v>
      </c>
      <c r="I47" s="13" t="s">
        <v>22</v>
      </c>
      <c r="J47" s="11"/>
      <c r="K47" s="13" t="s">
        <v>23</v>
      </c>
      <c r="L47" s="11"/>
      <c r="M47" s="19"/>
      <c r="N47" s="13" t="s">
        <v>23</v>
      </c>
      <c r="O47" s="15"/>
      <c r="P47" s="15"/>
      <c r="Q47" s="15"/>
      <c r="R47" s="16" t="s">
        <v>142</v>
      </c>
      <c r="S47" s="17" t="s">
        <v>137</v>
      </c>
      <c r="T47" s="15"/>
      <c r="U47" s="16" t="s">
        <v>140</v>
      </c>
      <c r="V47" s="17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8"/>
    </row>
    <row r="48">
      <c r="A48" s="10" t="s">
        <v>101</v>
      </c>
      <c r="B48" s="11" t="s">
        <v>143</v>
      </c>
      <c r="C48" s="20" t="s">
        <v>144</v>
      </c>
      <c r="D48" s="11" t="str">
        <f t="shared" si="1"/>
        <v>S14 - Spinning / Rolling Machine</v>
      </c>
      <c r="E48" s="13" t="s">
        <v>104</v>
      </c>
      <c r="F48" s="11"/>
      <c r="G48" s="13" t="s">
        <v>69</v>
      </c>
      <c r="H48" s="13">
        <v>2014.0</v>
      </c>
      <c r="I48" s="13" t="s">
        <v>22</v>
      </c>
      <c r="J48" s="11"/>
      <c r="K48" s="13" t="s">
        <v>23</v>
      </c>
      <c r="L48" s="11"/>
      <c r="M48" s="19"/>
      <c r="N48" s="13" t="s">
        <v>23</v>
      </c>
      <c r="O48" s="15"/>
      <c r="P48" s="15"/>
      <c r="Q48" s="15"/>
      <c r="R48" s="15"/>
      <c r="S48" s="15"/>
      <c r="T48" s="15"/>
      <c r="U48" s="15" t="s">
        <v>143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8"/>
    </row>
    <row r="49">
      <c r="A49" s="10" t="s">
        <v>101</v>
      </c>
      <c r="B49" s="11" t="s">
        <v>143</v>
      </c>
      <c r="C49" s="12" t="s">
        <v>117</v>
      </c>
      <c r="D49" s="11" t="str">
        <f t="shared" si="1"/>
        <v>S14 - Spinning / Rolling Machine</v>
      </c>
      <c r="E49" s="13" t="s">
        <v>104</v>
      </c>
      <c r="F49" s="11"/>
      <c r="G49" s="13" t="s">
        <v>69</v>
      </c>
      <c r="H49" s="13">
        <v>2014.0</v>
      </c>
      <c r="I49" s="13" t="s">
        <v>22</v>
      </c>
      <c r="J49" s="11"/>
      <c r="K49" s="13" t="s">
        <v>23</v>
      </c>
      <c r="L49" s="11"/>
      <c r="M49" s="19"/>
      <c r="N49" s="13" t="s">
        <v>23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8"/>
    </row>
    <row r="50">
      <c r="A50" s="25" t="s">
        <v>101</v>
      </c>
      <c r="B50" s="26" t="s">
        <v>145</v>
      </c>
      <c r="C50" s="27" t="s">
        <v>146</v>
      </c>
      <c r="D50" s="28" t="str">
        <f t="shared" si="1"/>
        <v>S15 - Spinning / Rolling Machine</v>
      </c>
      <c r="E50" s="29" t="s">
        <v>104</v>
      </c>
      <c r="F50" s="30"/>
      <c r="G50" s="29" t="s">
        <v>69</v>
      </c>
      <c r="H50" s="29">
        <v>2018.0</v>
      </c>
      <c r="I50" s="29" t="s">
        <v>22</v>
      </c>
      <c r="J50" s="30"/>
      <c r="K50" s="29" t="s">
        <v>23</v>
      </c>
      <c r="L50" s="30"/>
      <c r="M50" s="30"/>
      <c r="N50" s="29" t="s">
        <v>23</v>
      </c>
      <c r="O50" s="31"/>
      <c r="P50" s="31"/>
      <c r="Q50" s="31"/>
      <c r="R50" s="31"/>
      <c r="S50" s="31"/>
      <c r="T50" s="31"/>
      <c r="U50" s="31" t="s">
        <v>147</v>
      </c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A51" s="10" t="s">
        <v>101</v>
      </c>
      <c r="B51" s="11" t="s">
        <v>145</v>
      </c>
      <c r="C51" s="12" t="s">
        <v>148</v>
      </c>
      <c r="D51" s="11" t="str">
        <f t="shared" si="1"/>
        <v>S15 - Spinning / Rolling Machine</v>
      </c>
      <c r="E51" s="13" t="s">
        <v>104</v>
      </c>
      <c r="F51" s="11"/>
      <c r="G51" s="13" t="s">
        <v>69</v>
      </c>
      <c r="H51" s="13">
        <v>2018.0</v>
      </c>
      <c r="I51" s="13" t="s">
        <v>22</v>
      </c>
      <c r="J51" s="11"/>
      <c r="K51" s="13" t="s">
        <v>23</v>
      </c>
      <c r="L51" s="11"/>
      <c r="M51" s="19"/>
      <c r="N51" s="13" t="s">
        <v>23</v>
      </c>
      <c r="O51" s="15"/>
      <c r="P51" s="15"/>
      <c r="Q51" s="15"/>
      <c r="R51" s="15"/>
      <c r="S51" s="15"/>
      <c r="T51" s="15"/>
      <c r="U51" s="15" t="s">
        <v>145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8"/>
    </row>
    <row r="52">
      <c r="A52" s="10" t="s">
        <v>101</v>
      </c>
      <c r="B52" s="11" t="s">
        <v>147</v>
      </c>
      <c r="C52" s="20" t="s">
        <v>114</v>
      </c>
      <c r="D52" s="11" t="str">
        <f t="shared" si="1"/>
        <v>S16 - Spinning / Rolling Machine</v>
      </c>
      <c r="E52" s="13" t="s">
        <v>104</v>
      </c>
      <c r="F52" s="11"/>
      <c r="G52" s="13" t="s">
        <v>69</v>
      </c>
      <c r="H52" s="13">
        <v>2018.0</v>
      </c>
      <c r="I52" s="13" t="s">
        <v>22</v>
      </c>
      <c r="J52" s="11"/>
      <c r="K52" s="13" t="s">
        <v>23</v>
      </c>
      <c r="L52" s="11"/>
      <c r="M52" s="19"/>
      <c r="N52" s="13" t="s">
        <v>23</v>
      </c>
      <c r="O52" s="15"/>
      <c r="P52" s="15"/>
      <c r="Q52" s="15"/>
      <c r="R52" s="15"/>
      <c r="S52" s="15"/>
      <c r="T52" s="15"/>
      <c r="U52" s="15" t="s">
        <v>147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8"/>
    </row>
    <row r="53">
      <c r="A53" s="10" t="s">
        <v>101</v>
      </c>
      <c r="B53" s="13" t="s">
        <v>149</v>
      </c>
      <c r="C53" s="20"/>
      <c r="D53" s="11" t="str">
        <f t="shared" si="1"/>
        <v>S17 - Spinning / Rolling Machine</v>
      </c>
      <c r="E53" s="13" t="s">
        <v>104</v>
      </c>
      <c r="F53" s="11"/>
      <c r="G53" s="13" t="s">
        <v>69</v>
      </c>
      <c r="H53" s="13">
        <v>2018.0</v>
      </c>
      <c r="I53" s="13" t="s">
        <v>22</v>
      </c>
      <c r="J53" s="11"/>
      <c r="K53" s="13" t="s">
        <v>23</v>
      </c>
      <c r="L53" s="11"/>
      <c r="M53" s="19"/>
      <c r="N53" s="13" t="s">
        <v>23</v>
      </c>
      <c r="O53" s="15"/>
      <c r="P53" s="15"/>
      <c r="Q53" s="15"/>
      <c r="R53" s="15"/>
      <c r="S53" s="15"/>
      <c r="T53" s="15"/>
      <c r="U53" s="15" t="s">
        <v>147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8"/>
    </row>
    <row r="54">
      <c r="A54" s="10" t="s">
        <v>101</v>
      </c>
      <c r="B54" s="13" t="s">
        <v>149</v>
      </c>
      <c r="C54" s="20" t="s">
        <v>150</v>
      </c>
      <c r="D54" s="11" t="str">
        <f t="shared" si="1"/>
        <v>S17 - Spinning / Rolling Machine</v>
      </c>
      <c r="E54" s="13" t="s">
        <v>104</v>
      </c>
      <c r="F54" s="11"/>
      <c r="G54" s="13" t="s">
        <v>69</v>
      </c>
      <c r="H54" s="13">
        <v>2018.0</v>
      </c>
      <c r="I54" s="13" t="s">
        <v>22</v>
      </c>
      <c r="J54" s="11"/>
      <c r="K54" s="13" t="s">
        <v>23</v>
      </c>
      <c r="L54" s="11"/>
      <c r="M54" s="19"/>
      <c r="N54" s="13" t="s">
        <v>23</v>
      </c>
      <c r="O54" s="15"/>
      <c r="P54" s="15"/>
      <c r="Q54" s="15"/>
      <c r="R54" s="15"/>
      <c r="S54" s="15"/>
      <c r="T54" s="15"/>
      <c r="U54" s="15" t="s">
        <v>147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8"/>
    </row>
    <row r="55">
      <c r="A55" s="10" t="s">
        <v>101</v>
      </c>
      <c r="B55" s="13" t="s">
        <v>149</v>
      </c>
      <c r="C55" s="20" t="s">
        <v>138</v>
      </c>
      <c r="D55" s="11" t="str">
        <f t="shared" si="1"/>
        <v>S17 - Spinning / Rolling Machine</v>
      </c>
      <c r="E55" s="13" t="s">
        <v>104</v>
      </c>
      <c r="F55" s="11"/>
      <c r="G55" s="13" t="s">
        <v>69</v>
      </c>
      <c r="H55" s="13">
        <v>2025.0</v>
      </c>
      <c r="I55" s="13" t="s">
        <v>22</v>
      </c>
      <c r="J55" s="11"/>
      <c r="K55" s="13" t="s">
        <v>23</v>
      </c>
      <c r="L55" s="11"/>
      <c r="M55" s="19"/>
      <c r="N55" s="13" t="s">
        <v>23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8"/>
    </row>
    <row r="56">
      <c r="A56" s="10" t="s">
        <v>101</v>
      </c>
      <c r="B56" s="13" t="s">
        <v>151</v>
      </c>
      <c r="C56" s="20"/>
      <c r="D56" s="11" t="str">
        <f t="shared" si="1"/>
        <v>S18 - Spinning / Rolling Machine</v>
      </c>
      <c r="E56" s="13" t="s">
        <v>104</v>
      </c>
      <c r="F56" s="11"/>
      <c r="G56" s="13" t="s">
        <v>69</v>
      </c>
      <c r="H56" s="13">
        <v>2026.0</v>
      </c>
      <c r="I56" s="13" t="s">
        <v>22</v>
      </c>
      <c r="J56" s="11"/>
      <c r="K56" s="13" t="s">
        <v>23</v>
      </c>
      <c r="L56" s="11"/>
      <c r="M56" s="19"/>
      <c r="N56" s="13" t="s">
        <v>23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8"/>
    </row>
    <row r="57">
      <c r="A57" s="10" t="s">
        <v>152</v>
      </c>
      <c r="B57" s="11" t="s">
        <v>153</v>
      </c>
      <c r="C57" s="20" t="s">
        <v>81</v>
      </c>
      <c r="D57" s="11" t="str">
        <f t="shared" si="1"/>
        <v>C01 - Cutting Machine</v>
      </c>
      <c r="E57" s="13" t="s">
        <v>80</v>
      </c>
      <c r="F57" s="11"/>
      <c r="G57" s="13" t="s">
        <v>69</v>
      </c>
      <c r="H57" s="13">
        <v>2010.0</v>
      </c>
      <c r="I57" s="13" t="s">
        <v>22</v>
      </c>
      <c r="J57" s="11"/>
      <c r="K57" s="13" t="s">
        <v>23</v>
      </c>
      <c r="L57" s="11"/>
      <c r="M57" s="19"/>
      <c r="N57" s="13" t="s">
        <v>23</v>
      </c>
      <c r="O57" s="15"/>
      <c r="P57" s="15"/>
      <c r="Q57" s="15"/>
      <c r="R57" s="15"/>
      <c r="S57" s="15"/>
      <c r="T57" s="15"/>
      <c r="U57" s="15" t="s">
        <v>153</v>
      </c>
      <c r="V57" s="15" t="s">
        <v>125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8"/>
    </row>
    <row r="58">
      <c r="A58" s="10" t="s">
        <v>152</v>
      </c>
      <c r="B58" s="11" t="s">
        <v>153</v>
      </c>
      <c r="C58" s="20" t="s">
        <v>154</v>
      </c>
      <c r="D58" s="11" t="str">
        <f t="shared" si="1"/>
        <v>C01 - Cutting Machine</v>
      </c>
      <c r="E58" s="13" t="s">
        <v>80</v>
      </c>
      <c r="F58" s="11"/>
      <c r="G58" s="13" t="s">
        <v>69</v>
      </c>
      <c r="H58" s="13">
        <v>2010.0</v>
      </c>
      <c r="I58" s="13" t="s">
        <v>22</v>
      </c>
      <c r="J58" s="11"/>
      <c r="K58" s="13" t="s">
        <v>23</v>
      </c>
      <c r="L58" s="11"/>
      <c r="M58" s="19"/>
      <c r="N58" s="13" t="s">
        <v>23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8"/>
    </row>
    <row r="59">
      <c r="A59" s="10" t="s">
        <v>152</v>
      </c>
      <c r="B59" s="11" t="s">
        <v>153</v>
      </c>
      <c r="C59" s="20" t="s">
        <v>155</v>
      </c>
      <c r="D59" s="11" t="str">
        <f t="shared" si="1"/>
        <v>C01 - Cutting Machine</v>
      </c>
      <c r="E59" s="13" t="s">
        <v>80</v>
      </c>
      <c r="F59" s="11"/>
      <c r="G59" s="13" t="s">
        <v>69</v>
      </c>
      <c r="H59" s="13">
        <v>2010.0</v>
      </c>
      <c r="I59" s="13" t="s">
        <v>22</v>
      </c>
      <c r="J59" s="11"/>
      <c r="K59" s="13" t="s">
        <v>23</v>
      </c>
      <c r="L59" s="11"/>
      <c r="M59" s="19"/>
      <c r="N59" s="13" t="s">
        <v>23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8"/>
    </row>
    <row r="60">
      <c r="A60" s="10" t="s">
        <v>152</v>
      </c>
      <c r="B60" s="11" t="s">
        <v>156</v>
      </c>
      <c r="C60" s="20" t="s">
        <v>157</v>
      </c>
      <c r="D60" s="11" t="str">
        <f t="shared" si="1"/>
        <v>C02 - Cutting Machine</v>
      </c>
      <c r="E60" s="13" t="s">
        <v>80</v>
      </c>
      <c r="F60" s="11"/>
      <c r="G60" s="13" t="s">
        <v>69</v>
      </c>
      <c r="H60" s="13">
        <v>2010.0</v>
      </c>
      <c r="I60" s="13" t="s">
        <v>22</v>
      </c>
      <c r="J60" s="11"/>
      <c r="K60" s="13" t="s">
        <v>23</v>
      </c>
      <c r="L60" s="11"/>
      <c r="M60" s="19"/>
      <c r="N60" s="13" t="s">
        <v>23</v>
      </c>
      <c r="O60" s="15"/>
      <c r="P60" s="15"/>
      <c r="Q60" s="15"/>
      <c r="R60" s="15"/>
      <c r="S60" s="15"/>
      <c r="T60" s="15"/>
      <c r="U60" s="15" t="s">
        <v>156</v>
      </c>
      <c r="V60" s="15" t="s">
        <v>128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8"/>
    </row>
    <row r="61">
      <c r="A61" s="10" t="s">
        <v>152</v>
      </c>
      <c r="B61" s="11" t="s">
        <v>158</v>
      </c>
      <c r="C61" s="20" t="s">
        <v>159</v>
      </c>
      <c r="D61" s="11" t="str">
        <f t="shared" si="1"/>
        <v>C03 - Cutting Machine</v>
      </c>
      <c r="E61" s="13" t="s">
        <v>80</v>
      </c>
      <c r="F61" s="11"/>
      <c r="G61" s="13" t="s">
        <v>69</v>
      </c>
      <c r="H61" s="13">
        <v>2010.0</v>
      </c>
      <c r="I61" s="13" t="s">
        <v>22</v>
      </c>
      <c r="J61" s="11"/>
      <c r="K61" s="13" t="s">
        <v>23</v>
      </c>
      <c r="L61" s="11"/>
      <c r="M61" s="19"/>
      <c r="N61" s="13" t="s">
        <v>23</v>
      </c>
      <c r="O61" s="15"/>
      <c r="P61" s="15"/>
      <c r="Q61" s="15"/>
      <c r="R61" s="15"/>
      <c r="S61" s="15"/>
      <c r="T61" s="15"/>
      <c r="U61" s="15" t="s">
        <v>158</v>
      </c>
      <c r="V61" s="15" t="s">
        <v>130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8"/>
    </row>
    <row r="62">
      <c r="A62" s="10" t="s">
        <v>152</v>
      </c>
      <c r="B62" s="11" t="s">
        <v>158</v>
      </c>
      <c r="C62" s="20" t="s">
        <v>160</v>
      </c>
      <c r="D62" s="11" t="str">
        <f t="shared" si="1"/>
        <v>C03 - Cutting Machine</v>
      </c>
      <c r="E62" s="13" t="s">
        <v>80</v>
      </c>
      <c r="F62" s="11"/>
      <c r="G62" s="13" t="s">
        <v>69</v>
      </c>
      <c r="H62" s="13">
        <v>2010.0</v>
      </c>
      <c r="I62" s="13" t="s">
        <v>22</v>
      </c>
      <c r="J62" s="11"/>
      <c r="K62" s="13" t="s">
        <v>23</v>
      </c>
      <c r="L62" s="11"/>
      <c r="M62" s="19"/>
      <c r="N62" s="13" t="s">
        <v>23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8"/>
    </row>
    <row r="63">
      <c r="A63" s="10" t="s">
        <v>152</v>
      </c>
      <c r="B63" s="11" t="s">
        <v>158</v>
      </c>
      <c r="C63" s="20" t="s">
        <v>161</v>
      </c>
      <c r="D63" s="11" t="str">
        <f t="shared" si="1"/>
        <v>C03 - Cutting Machine</v>
      </c>
      <c r="E63" s="13" t="s">
        <v>80</v>
      </c>
      <c r="F63" s="11"/>
      <c r="G63" s="13" t="s">
        <v>69</v>
      </c>
      <c r="H63" s="13">
        <v>2010.0</v>
      </c>
      <c r="I63" s="13" t="s">
        <v>22</v>
      </c>
      <c r="J63" s="11"/>
      <c r="K63" s="13" t="s">
        <v>23</v>
      </c>
      <c r="L63" s="11"/>
      <c r="M63" s="19"/>
      <c r="N63" s="13" t="s">
        <v>23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8"/>
    </row>
    <row r="64">
      <c r="A64" s="10" t="s">
        <v>152</v>
      </c>
      <c r="B64" s="11" t="s">
        <v>158</v>
      </c>
      <c r="C64" s="20" t="s">
        <v>162</v>
      </c>
      <c r="D64" s="11" t="str">
        <f t="shared" si="1"/>
        <v>C03 - Cutting Machine</v>
      </c>
      <c r="E64" s="13" t="s">
        <v>80</v>
      </c>
      <c r="F64" s="11"/>
      <c r="G64" s="13" t="s">
        <v>69</v>
      </c>
      <c r="H64" s="13">
        <v>2010.0</v>
      </c>
      <c r="I64" s="13" t="s">
        <v>22</v>
      </c>
      <c r="J64" s="11"/>
      <c r="K64" s="13" t="s">
        <v>23</v>
      </c>
      <c r="L64" s="11"/>
      <c r="M64" s="19"/>
      <c r="N64" s="13" t="s">
        <v>23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8"/>
    </row>
    <row r="65">
      <c r="A65" s="10" t="s">
        <v>152</v>
      </c>
      <c r="B65" s="11" t="s">
        <v>158</v>
      </c>
      <c r="C65" s="20" t="s">
        <v>163</v>
      </c>
      <c r="D65" s="11" t="str">
        <f t="shared" si="1"/>
        <v>C03 - Cutting Machine</v>
      </c>
      <c r="E65" s="13" t="s">
        <v>80</v>
      </c>
      <c r="F65" s="11"/>
      <c r="G65" s="13" t="s">
        <v>69</v>
      </c>
      <c r="H65" s="13">
        <v>2010.0</v>
      </c>
      <c r="I65" s="13" t="s">
        <v>22</v>
      </c>
      <c r="J65" s="11"/>
      <c r="K65" s="13" t="s">
        <v>23</v>
      </c>
      <c r="L65" s="11"/>
      <c r="M65" s="19"/>
      <c r="N65" s="13" t="s">
        <v>23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8"/>
    </row>
    <row r="66">
      <c r="A66" s="10" t="s">
        <v>152</v>
      </c>
      <c r="B66" s="11" t="s">
        <v>158</v>
      </c>
      <c r="C66" s="20" t="s">
        <v>164</v>
      </c>
      <c r="D66" s="11" t="str">
        <f t="shared" si="1"/>
        <v>C03 - Cutting Machine</v>
      </c>
      <c r="E66" s="13" t="s">
        <v>80</v>
      </c>
      <c r="F66" s="11"/>
      <c r="G66" s="13" t="s">
        <v>69</v>
      </c>
      <c r="H66" s="13">
        <v>2010.0</v>
      </c>
      <c r="I66" s="13" t="s">
        <v>22</v>
      </c>
      <c r="J66" s="11"/>
      <c r="K66" s="13" t="s">
        <v>23</v>
      </c>
      <c r="L66" s="11"/>
      <c r="M66" s="19"/>
      <c r="N66" s="13" t="s">
        <v>23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8"/>
    </row>
    <row r="67">
      <c r="A67" s="10" t="s">
        <v>152</v>
      </c>
      <c r="B67" s="11" t="s">
        <v>165</v>
      </c>
      <c r="C67" s="20" t="s">
        <v>166</v>
      </c>
      <c r="D67" s="11" t="str">
        <f t="shared" si="1"/>
        <v>C04 - Cutting Machine</v>
      </c>
      <c r="E67" s="13" t="s">
        <v>80</v>
      </c>
      <c r="F67" s="11"/>
      <c r="G67" s="13" t="s">
        <v>69</v>
      </c>
      <c r="H67" s="13">
        <v>2010.0</v>
      </c>
      <c r="I67" s="13" t="s">
        <v>22</v>
      </c>
      <c r="J67" s="11"/>
      <c r="K67" s="13" t="s">
        <v>23</v>
      </c>
      <c r="L67" s="11"/>
      <c r="M67" s="19"/>
      <c r="N67" s="13" t="s">
        <v>23</v>
      </c>
      <c r="O67" s="15"/>
      <c r="P67" s="15"/>
      <c r="Q67" s="15"/>
      <c r="R67" s="15"/>
      <c r="S67" s="15"/>
      <c r="T67" s="15"/>
      <c r="U67" s="15" t="s">
        <v>165</v>
      </c>
      <c r="V67" s="15" t="s">
        <v>133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8"/>
    </row>
    <row r="68">
      <c r="A68" s="10" t="s">
        <v>152</v>
      </c>
      <c r="B68" s="11" t="s">
        <v>165</v>
      </c>
      <c r="C68" s="20" t="s">
        <v>167</v>
      </c>
      <c r="D68" s="11" t="str">
        <f t="shared" si="1"/>
        <v>C04 - Cutting Machine</v>
      </c>
      <c r="E68" s="13" t="s">
        <v>80</v>
      </c>
      <c r="F68" s="13"/>
      <c r="G68" s="13" t="s">
        <v>69</v>
      </c>
      <c r="H68" s="13">
        <v>2010.0</v>
      </c>
      <c r="I68" s="13" t="s">
        <v>22</v>
      </c>
      <c r="J68" s="13"/>
      <c r="K68" s="13" t="s">
        <v>23</v>
      </c>
      <c r="L68" s="13"/>
      <c r="M68" s="21"/>
      <c r="N68" s="13" t="s">
        <v>23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8"/>
    </row>
    <row r="69">
      <c r="A69" s="10" t="s">
        <v>152</v>
      </c>
      <c r="B69" s="13" t="s">
        <v>168</v>
      </c>
      <c r="C69" s="20" t="s">
        <v>169</v>
      </c>
      <c r="D69" s="11" t="str">
        <f t="shared" si="1"/>
        <v>C05 - Cutting Machine</v>
      </c>
      <c r="E69" s="13" t="s">
        <v>80</v>
      </c>
      <c r="F69" s="13"/>
      <c r="G69" s="13" t="s">
        <v>69</v>
      </c>
      <c r="H69" s="13">
        <v>2024.0</v>
      </c>
      <c r="I69" s="13" t="s">
        <v>22</v>
      </c>
      <c r="J69" s="13"/>
      <c r="K69" s="13" t="s">
        <v>23</v>
      </c>
      <c r="L69" s="13"/>
      <c r="M69" s="21"/>
      <c r="N69" s="13" t="s">
        <v>23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8"/>
    </row>
    <row r="70">
      <c r="A70" s="10" t="s">
        <v>152</v>
      </c>
      <c r="B70" s="13" t="s">
        <v>168</v>
      </c>
      <c r="C70" s="20" t="s">
        <v>170</v>
      </c>
      <c r="D70" s="11" t="str">
        <f t="shared" si="1"/>
        <v>C05 - Cutting Machine</v>
      </c>
      <c r="E70" s="13" t="s">
        <v>80</v>
      </c>
      <c r="F70" s="13"/>
      <c r="G70" s="13" t="s">
        <v>69</v>
      </c>
      <c r="H70" s="13">
        <v>2024.0</v>
      </c>
      <c r="I70" s="13" t="s">
        <v>22</v>
      </c>
      <c r="J70" s="13"/>
      <c r="K70" s="13" t="s">
        <v>23</v>
      </c>
      <c r="L70" s="13"/>
      <c r="M70" s="21"/>
      <c r="N70" s="13" t="s">
        <v>23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8"/>
    </row>
    <row r="71">
      <c r="A71" s="10" t="s">
        <v>152</v>
      </c>
      <c r="B71" s="13" t="s">
        <v>168</v>
      </c>
      <c r="C71" s="20" t="s">
        <v>171</v>
      </c>
      <c r="D71" s="11" t="str">
        <f t="shared" si="1"/>
        <v>C05 - Cutting Machine</v>
      </c>
      <c r="E71" s="13" t="s">
        <v>80</v>
      </c>
      <c r="F71" s="13"/>
      <c r="G71" s="13" t="s">
        <v>69</v>
      </c>
      <c r="H71" s="13">
        <v>2024.0</v>
      </c>
      <c r="I71" s="13" t="s">
        <v>22</v>
      </c>
      <c r="J71" s="13"/>
      <c r="K71" s="13" t="s">
        <v>23</v>
      </c>
      <c r="L71" s="13"/>
      <c r="M71" s="21"/>
      <c r="N71" s="13" t="s">
        <v>23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8"/>
    </row>
    <row r="72">
      <c r="A72" s="10" t="s">
        <v>152</v>
      </c>
      <c r="B72" s="13" t="s">
        <v>168</v>
      </c>
      <c r="C72" s="20" t="s">
        <v>172</v>
      </c>
      <c r="D72" s="11" t="str">
        <f t="shared" si="1"/>
        <v>C05 - Cutting Machine</v>
      </c>
      <c r="E72" s="13" t="s">
        <v>80</v>
      </c>
      <c r="F72" s="13"/>
      <c r="G72" s="13" t="s">
        <v>69</v>
      </c>
      <c r="H72" s="13">
        <v>2024.0</v>
      </c>
      <c r="I72" s="13" t="s">
        <v>22</v>
      </c>
      <c r="J72" s="13"/>
      <c r="K72" s="13" t="s">
        <v>23</v>
      </c>
      <c r="L72" s="13"/>
      <c r="M72" s="21"/>
      <c r="N72" s="13" t="s">
        <v>23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8"/>
    </row>
    <row r="73">
      <c r="A73" s="10" t="s">
        <v>152</v>
      </c>
      <c r="B73" s="13" t="s">
        <v>168</v>
      </c>
      <c r="C73" s="20" t="s">
        <v>173</v>
      </c>
      <c r="D73" s="11" t="str">
        <f t="shared" si="1"/>
        <v>C05 - Cutting Machine</v>
      </c>
      <c r="E73" s="13" t="s">
        <v>80</v>
      </c>
      <c r="F73" s="13"/>
      <c r="G73" s="13" t="s">
        <v>69</v>
      </c>
      <c r="H73" s="13">
        <v>2024.0</v>
      </c>
      <c r="I73" s="13" t="s">
        <v>22</v>
      </c>
      <c r="J73" s="13"/>
      <c r="K73" s="13" t="s">
        <v>23</v>
      </c>
      <c r="L73" s="13"/>
      <c r="M73" s="21"/>
      <c r="N73" s="13" t="s">
        <v>23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8"/>
    </row>
    <row r="74">
      <c r="A74" s="10" t="s">
        <v>152</v>
      </c>
      <c r="B74" s="13" t="s">
        <v>168</v>
      </c>
      <c r="C74" s="20" t="s">
        <v>174</v>
      </c>
      <c r="D74" s="11" t="str">
        <f t="shared" si="1"/>
        <v>C05 - Cutting Machine</v>
      </c>
      <c r="E74" s="13" t="s">
        <v>80</v>
      </c>
      <c r="F74" s="13"/>
      <c r="G74" s="13" t="s">
        <v>69</v>
      </c>
      <c r="H74" s="13">
        <v>2024.0</v>
      </c>
      <c r="I74" s="13" t="s">
        <v>22</v>
      </c>
      <c r="J74" s="13"/>
      <c r="K74" s="13" t="s">
        <v>23</v>
      </c>
      <c r="L74" s="13"/>
      <c r="M74" s="21"/>
      <c r="N74" s="13" t="s">
        <v>23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8"/>
    </row>
    <row r="75">
      <c r="A75" s="10" t="s">
        <v>152</v>
      </c>
      <c r="B75" s="13" t="s">
        <v>168</v>
      </c>
      <c r="C75" s="20" t="s">
        <v>175</v>
      </c>
      <c r="D75" s="11" t="str">
        <f t="shared" si="1"/>
        <v>C05 - Cutting Machine</v>
      </c>
      <c r="E75" s="13" t="s">
        <v>80</v>
      </c>
      <c r="F75" s="13"/>
      <c r="G75" s="13" t="s">
        <v>69</v>
      </c>
      <c r="H75" s="13">
        <v>2024.0</v>
      </c>
      <c r="I75" s="13" t="s">
        <v>22</v>
      </c>
      <c r="J75" s="13"/>
      <c r="K75" s="13" t="s">
        <v>23</v>
      </c>
      <c r="L75" s="13"/>
      <c r="M75" s="21"/>
      <c r="N75" s="13" t="s">
        <v>23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8"/>
    </row>
    <row r="76">
      <c r="A76" s="10" t="s">
        <v>152</v>
      </c>
      <c r="B76" s="13" t="s">
        <v>168</v>
      </c>
      <c r="C76" s="20" t="s">
        <v>97</v>
      </c>
      <c r="D76" s="11" t="str">
        <f t="shared" si="1"/>
        <v>C05 - Cutting Machine</v>
      </c>
      <c r="E76" s="13" t="s">
        <v>80</v>
      </c>
      <c r="F76" s="13"/>
      <c r="G76" s="13" t="s">
        <v>69</v>
      </c>
      <c r="H76" s="13">
        <v>2024.0</v>
      </c>
      <c r="I76" s="13" t="s">
        <v>22</v>
      </c>
      <c r="J76" s="11"/>
      <c r="K76" s="13" t="s">
        <v>23</v>
      </c>
      <c r="L76" s="11"/>
      <c r="M76" s="19"/>
      <c r="N76" s="13" t="s">
        <v>23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8"/>
    </row>
    <row r="77">
      <c r="A77" s="10" t="s">
        <v>152</v>
      </c>
      <c r="B77" s="13" t="s">
        <v>176</v>
      </c>
      <c r="C77" s="20" t="s">
        <v>177</v>
      </c>
      <c r="D77" s="11" t="str">
        <f t="shared" si="1"/>
        <v>C06 - Cutting Machine</v>
      </c>
      <c r="E77" s="13" t="s">
        <v>80</v>
      </c>
      <c r="F77" s="11"/>
      <c r="G77" s="13" t="s">
        <v>69</v>
      </c>
      <c r="H77" s="13">
        <v>2025.0</v>
      </c>
      <c r="I77" s="13" t="s">
        <v>22</v>
      </c>
      <c r="J77" s="11"/>
      <c r="K77" s="13" t="s">
        <v>23</v>
      </c>
      <c r="L77" s="11"/>
      <c r="M77" s="19"/>
      <c r="N77" s="13" t="s">
        <v>23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8"/>
    </row>
    <row r="78">
      <c r="A78" s="10" t="s">
        <v>152</v>
      </c>
      <c r="B78" s="13" t="s">
        <v>176</v>
      </c>
      <c r="C78" s="20" t="s">
        <v>178</v>
      </c>
      <c r="D78" s="11" t="str">
        <f t="shared" si="1"/>
        <v>C06 - Cutting Machine</v>
      </c>
      <c r="E78" s="13" t="s">
        <v>80</v>
      </c>
      <c r="F78" s="11"/>
      <c r="G78" s="13" t="s">
        <v>69</v>
      </c>
      <c r="H78" s="13">
        <v>2025.0</v>
      </c>
      <c r="I78" s="13" t="s">
        <v>22</v>
      </c>
      <c r="J78" s="11"/>
      <c r="K78" s="13" t="s">
        <v>23</v>
      </c>
      <c r="L78" s="11"/>
      <c r="M78" s="19"/>
      <c r="N78" s="13" t="s">
        <v>23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8"/>
    </row>
    <row r="79">
      <c r="A79" s="10" t="s">
        <v>152</v>
      </c>
      <c r="B79" s="13" t="s">
        <v>176</v>
      </c>
      <c r="C79" s="20" t="s">
        <v>179</v>
      </c>
      <c r="D79" s="11" t="str">
        <f t="shared" si="1"/>
        <v>C06 - Cutting Machine</v>
      </c>
      <c r="E79" s="13" t="s">
        <v>80</v>
      </c>
      <c r="F79" s="11"/>
      <c r="G79" s="13" t="s">
        <v>69</v>
      </c>
      <c r="H79" s="13">
        <v>2025.0</v>
      </c>
      <c r="I79" s="13" t="s">
        <v>22</v>
      </c>
      <c r="J79" s="11"/>
      <c r="K79" s="13" t="s">
        <v>23</v>
      </c>
      <c r="L79" s="11"/>
      <c r="M79" s="19"/>
      <c r="N79" s="13" t="s">
        <v>23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8"/>
    </row>
    <row r="80">
      <c r="A80" s="10" t="s">
        <v>180</v>
      </c>
      <c r="B80" s="11" t="s">
        <v>181</v>
      </c>
      <c r="C80" s="20" t="s">
        <v>182</v>
      </c>
      <c r="D80" s="11" t="str">
        <f t="shared" si="1"/>
        <v>L01 - Lathe Machine</v>
      </c>
      <c r="E80" s="13" t="s">
        <v>183</v>
      </c>
      <c r="F80" s="11"/>
      <c r="G80" s="13" t="s">
        <v>69</v>
      </c>
      <c r="H80" s="13">
        <v>2010.0</v>
      </c>
      <c r="I80" s="13" t="s">
        <v>22</v>
      </c>
      <c r="J80" s="11"/>
      <c r="K80" s="13" t="s">
        <v>23</v>
      </c>
      <c r="L80" s="11"/>
      <c r="M80" s="19"/>
      <c r="N80" s="13" t="s">
        <v>23</v>
      </c>
      <c r="O80" s="15"/>
      <c r="P80" s="15"/>
      <c r="Q80" s="15"/>
      <c r="R80" s="15"/>
      <c r="S80" s="15"/>
      <c r="T80" s="15"/>
      <c r="U80" s="15" t="s">
        <v>181</v>
      </c>
      <c r="V80" s="15" t="s">
        <v>136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8"/>
    </row>
    <row r="81">
      <c r="A81" s="10" t="s">
        <v>180</v>
      </c>
      <c r="B81" s="11" t="s">
        <v>184</v>
      </c>
      <c r="C81" s="20" t="s">
        <v>185</v>
      </c>
      <c r="D81" s="11" t="str">
        <f t="shared" si="1"/>
        <v>L02 - Lathe Machine</v>
      </c>
      <c r="E81" s="13" t="s">
        <v>183</v>
      </c>
      <c r="F81" s="11"/>
      <c r="G81" s="13" t="s">
        <v>96</v>
      </c>
      <c r="H81" s="13">
        <v>2011.0</v>
      </c>
      <c r="I81" s="13" t="s">
        <v>22</v>
      </c>
      <c r="J81" s="11"/>
      <c r="K81" s="13" t="s">
        <v>23</v>
      </c>
      <c r="L81" s="11"/>
      <c r="M81" s="19"/>
      <c r="N81" s="13" t="s">
        <v>23</v>
      </c>
      <c r="O81" s="15"/>
      <c r="P81" s="15"/>
      <c r="Q81" s="15"/>
      <c r="R81" s="15"/>
      <c r="S81" s="15"/>
      <c r="T81" s="15"/>
      <c r="U81" s="15" t="s">
        <v>184</v>
      </c>
      <c r="V81" s="15" t="s">
        <v>142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8"/>
    </row>
    <row r="82">
      <c r="A82" s="10" t="s">
        <v>180</v>
      </c>
      <c r="B82" s="11" t="s">
        <v>186</v>
      </c>
      <c r="C82" s="20"/>
      <c r="D82" s="11" t="str">
        <f t="shared" si="1"/>
        <v>L03 - Lathe Machine</v>
      </c>
      <c r="E82" s="13" t="s">
        <v>183</v>
      </c>
      <c r="F82" s="11"/>
      <c r="G82" s="13" t="s">
        <v>69</v>
      </c>
      <c r="H82" s="13">
        <v>2012.0</v>
      </c>
      <c r="I82" s="13" t="s">
        <v>22</v>
      </c>
      <c r="J82" s="11"/>
      <c r="K82" s="13" t="s">
        <v>23</v>
      </c>
      <c r="L82" s="11"/>
      <c r="M82" s="19"/>
      <c r="N82" s="13" t="s">
        <v>23</v>
      </c>
      <c r="O82" s="15"/>
      <c r="P82" s="15"/>
      <c r="Q82" s="15"/>
      <c r="R82" s="15"/>
      <c r="S82" s="15"/>
      <c r="T82" s="15"/>
      <c r="U82" s="15" t="s">
        <v>186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8"/>
    </row>
    <row r="83">
      <c r="A83" s="10" t="s">
        <v>187</v>
      </c>
      <c r="B83" s="13" t="s">
        <v>188</v>
      </c>
      <c r="C83" s="20"/>
      <c r="D83" s="11" t="str">
        <f t="shared" si="1"/>
        <v>BF01 - Buffing Motor</v>
      </c>
      <c r="E83" s="13" t="s">
        <v>189</v>
      </c>
      <c r="F83" s="11"/>
      <c r="G83" s="13" t="s">
        <v>190</v>
      </c>
      <c r="H83" s="13">
        <v>2010.0</v>
      </c>
      <c r="I83" s="13" t="s">
        <v>22</v>
      </c>
      <c r="J83" s="11"/>
      <c r="K83" s="13" t="s">
        <v>23</v>
      </c>
      <c r="L83" s="11"/>
      <c r="M83" s="19"/>
      <c r="N83" s="13" t="s">
        <v>23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8"/>
    </row>
    <row r="84">
      <c r="A84" s="10" t="s">
        <v>187</v>
      </c>
      <c r="B84" s="13" t="s">
        <v>191</v>
      </c>
      <c r="C84" s="20"/>
      <c r="D84" s="11" t="str">
        <f t="shared" si="1"/>
        <v>BF02 - Buffing Motor</v>
      </c>
      <c r="E84" s="13" t="s">
        <v>189</v>
      </c>
      <c r="F84" s="11"/>
      <c r="G84" s="13" t="s">
        <v>69</v>
      </c>
      <c r="H84" s="13">
        <v>2010.0</v>
      </c>
      <c r="I84" s="13" t="s">
        <v>22</v>
      </c>
      <c r="J84" s="11"/>
      <c r="K84" s="13" t="s">
        <v>23</v>
      </c>
      <c r="L84" s="11"/>
      <c r="M84" s="19"/>
      <c r="N84" s="13" t="s">
        <v>23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8"/>
    </row>
    <row r="85">
      <c r="A85" s="10" t="s">
        <v>187</v>
      </c>
      <c r="B85" s="13" t="s">
        <v>192</v>
      </c>
      <c r="C85" s="20"/>
      <c r="D85" s="11" t="str">
        <f t="shared" si="1"/>
        <v>BF03 - Buffing Motor</v>
      </c>
      <c r="E85" s="13" t="s">
        <v>189</v>
      </c>
      <c r="F85" s="11"/>
      <c r="G85" s="13" t="s">
        <v>69</v>
      </c>
      <c r="H85" s="13">
        <v>2010.0</v>
      </c>
      <c r="I85" s="13" t="s">
        <v>22</v>
      </c>
      <c r="J85" s="11"/>
      <c r="K85" s="13" t="s">
        <v>23</v>
      </c>
      <c r="L85" s="11"/>
      <c r="M85" s="19"/>
      <c r="N85" s="13" t="s">
        <v>23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8"/>
    </row>
    <row r="86">
      <c r="A86" s="10" t="s">
        <v>187</v>
      </c>
      <c r="B86" s="13" t="s">
        <v>193</v>
      </c>
      <c r="C86" s="20"/>
      <c r="D86" s="11" t="str">
        <f t="shared" si="1"/>
        <v>BF04 - Buffing Motor</v>
      </c>
      <c r="E86" s="13" t="s">
        <v>189</v>
      </c>
      <c r="F86" s="11"/>
      <c r="G86" s="13" t="s">
        <v>69</v>
      </c>
      <c r="H86" s="13">
        <v>2010.0</v>
      </c>
      <c r="I86" s="13" t="s">
        <v>22</v>
      </c>
      <c r="J86" s="11"/>
      <c r="K86" s="13" t="s">
        <v>23</v>
      </c>
      <c r="L86" s="11"/>
      <c r="M86" s="19"/>
      <c r="N86" s="13" t="s">
        <v>23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8"/>
    </row>
    <row r="87">
      <c r="A87" s="10" t="s">
        <v>187</v>
      </c>
      <c r="B87" s="13" t="s">
        <v>194</v>
      </c>
      <c r="C87" s="20"/>
      <c r="D87" s="11" t="str">
        <f t="shared" si="1"/>
        <v>BF05 - Buffing Motor</v>
      </c>
      <c r="E87" s="13" t="s">
        <v>189</v>
      </c>
      <c r="F87" s="11"/>
      <c r="G87" s="13" t="s">
        <v>69</v>
      </c>
      <c r="H87" s="13">
        <v>2010.0</v>
      </c>
      <c r="I87" s="13" t="s">
        <v>22</v>
      </c>
      <c r="J87" s="11"/>
      <c r="K87" s="13" t="s">
        <v>23</v>
      </c>
      <c r="L87" s="11"/>
      <c r="M87" s="19"/>
      <c r="N87" s="13" t="s">
        <v>23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8"/>
    </row>
    <row r="88">
      <c r="A88" s="10" t="s">
        <v>187</v>
      </c>
      <c r="B88" s="13" t="s">
        <v>195</v>
      </c>
      <c r="C88" s="20"/>
      <c r="D88" s="11" t="str">
        <f t="shared" si="1"/>
        <v>BF06 - Buffing Motor</v>
      </c>
      <c r="E88" s="13" t="s">
        <v>189</v>
      </c>
      <c r="F88" s="11"/>
      <c r="G88" s="13" t="s">
        <v>69</v>
      </c>
      <c r="H88" s="13">
        <v>2010.0</v>
      </c>
      <c r="I88" s="13" t="s">
        <v>22</v>
      </c>
      <c r="J88" s="11"/>
      <c r="K88" s="13" t="s">
        <v>23</v>
      </c>
      <c r="L88" s="11"/>
      <c r="M88" s="19"/>
      <c r="N88" s="13" t="s">
        <v>23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8"/>
    </row>
    <row r="89">
      <c r="A89" s="10" t="s">
        <v>187</v>
      </c>
      <c r="B89" s="13" t="s">
        <v>196</v>
      </c>
      <c r="C89" s="20"/>
      <c r="D89" s="11" t="str">
        <f t="shared" si="1"/>
        <v>BF07 - Buffing Motor</v>
      </c>
      <c r="E89" s="13" t="s">
        <v>189</v>
      </c>
      <c r="F89" s="11"/>
      <c r="G89" s="13" t="s">
        <v>69</v>
      </c>
      <c r="H89" s="13">
        <v>2010.0</v>
      </c>
      <c r="I89" s="13" t="s">
        <v>22</v>
      </c>
      <c r="J89" s="11"/>
      <c r="K89" s="13" t="s">
        <v>23</v>
      </c>
      <c r="L89" s="11"/>
      <c r="M89" s="19"/>
      <c r="N89" s="13" t="s">
        <v>23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8"/>
    </row>
    <row r="90">
      <c r="A90" s="10" t="s">
        <v>187</v>
      </c>
      <c r="B90" s="13" t="s">
        <v>197</v>
      </c>
      <c r="C90" s="20"/>
      <c r="D90" s="11" t="str">
        <f t="shared" si="1"/>
        <v>BF08 - Buffing Motor</v>
      </c>
      <c r="E90" s="13" t="s">
        <v>189</v>
      </c>
      <c r="F90" s="11"/>
      <c r="G90" s="13" t="s">
        <v>69</v>
      </c>
      <c r="H90" s="13">
        <v>2010.0</v>
      </c>
      <c r="I90" s="13" t="s">
        <v>22</v>
      </c>
      <c r="J90" s="11"/>
      <c r="K90" s="13" t="s">
        <v>23</v>
      </c>
      <c r="L90" s="11"/>
      <c r="M90" s="19"/>
      <c r="N90" s="13" t="s">
        <v>23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8"/>
    </row>
    <row r="91">
      <c r="A91" s="10" t="s">
        <v>187</v>
      </c>
      <c r="B91" s="13" t="s">
        <v>198</v>
      </c>
      <c r="C91" s="20"/>
      <c r="D91" s="11" t="str">
        <f t="shared" si="1"/>
        <v>BF09 - Buffing Motor</v>
      </c>
      <c r="E91" s="13" t="s">
        <v>189</v>
      </c>
      <c r="F91" s="11"/>
      <c r="G91" s="13" t="s">
        <v>69</v>
      </c>
      <c r="H91" s="13">
        <v>2017.0</v>
      </c>
      <c r="I91" s="13" t="s">
        <v>22</v>
      </c>
      <c r="J91" s="11"/>
      <c r="K91" s="13" t="s">
        <v>23</v>
      </c>
      <c r="L91" s="11"/>
      <c r="M91" s="14" t="s">
        <v>24</v>
      </c>
      <c r="N91" s="13" t="s">
        <v>23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8"/>
    </row>
    <row r="92">
      <c r="A92" s="10" t="s">
        <v>187</v>
      </c>
      <c r="B92" s="13" t="s">
        <v>199</v>
      </c>
      <c r="C92" s="20"/>
      <c r="D92" s="11" t="str">
        <f t="shared" si="1"/>
        <v>BF10 - Buffing Motor</v>
      </c>
      <c r="E92" s="13" t="s">
        <v>189</v>
      </c>
      <c r="F92" s="11"/>
      <c r="G92" s="13" t="s">
        <v>69</v>
      </c>
      <c r="H92" s="13">
        <v>2017.0</v>
      </c>
      <c r="I92" s="13" t="s">
        <v>22</v>
      </c>
      <c r="J92" s="11"/>
      <c r="K92" s="13" t="s">
        <v>23</v>
      </c>
      <c r="L92" s="11"/>
      <c r="M92" s="19"/>
      <c r="N92" s="13" t="s">
        <v>23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8"/>
    </row>
    <row r="93">
      <c r="A93" s="10" t="s">
        <v>187</v>
      </c>
      <c r="B93" s="13" t="s">
        <v>200</v>
      </c>
      <c r="C93" s="20" t="s">
        <v>201</v>
      </c>
      <c r="D93" s="11" t="str">
        <f t="shared" si="1"/>
        <v>BF11 - Buffing Motor</v>
      </c>
      <c r="E93" s="13" t="s">
        <v>202</v>
      </c>
      <c r="F93" s="11"/>
      <c r="G93" s="13" t="s">
        <v>69</v>
      </c>
      <c r="H93" s="13">
        <v>2022.0</v>
      </c>
      <c r="I93" s="13" t="s">
        <v>22</v>
      </c>
      <c r="J93" s="11"/>
      <c r="K93" s="13" t="s">
        <v>23</v>
      </c>
      <c r="L93" s="11"/>
      <c r="M93" s="19"/>
      <c r="N93" s="13" t="s">
        <v>23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8"/>
    </row>
    <row r="94">
      <c r="A94" s="10" t="s">
        <v>187</v>
      </c>
      <c r="B94" s="13" t="s">
        <v>203</v>
      </c>
      <c r="C94" s="20" t="s">
        <v>204</v>
      </c>
      <c r="D94" s="11" t="str">
        <f t="shared" si="1"/>
        <v>BF12 - Buffing Motor</v>
      </c>
      <c r="E94" s="13" t="s">
        <v>202</v>
      </c>
      <c r="F94" s="11"/>
      <c r="G94" s="13" t="s">
        <v>69</v>
      </c>
      <c r="H94" s="13">
        <v>2022.0</v>
      </c>
      <c r="I94" s="13" t="s">
        <v>22</v>
      </c>
      <c r="J94" s="11"/>
      <c r="K94" s="13" t="s">
        <v>23</v>
      </c>
      <c r="L94" s="11"/>
      <c r="M94" s="19"/>
      <c r="N94" s="13" t="s">
        <v>23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8"/>
    </row>
    <row r="95">
      <c r="A95" s="10" t="s">
        <v>187</v>
      </c>
      <c r="B95" s="13" t="s">
        <v>205</v>
      </c>
      <c r="C95" s="20" t="s">
        <v>206</v>
      </c>
      <c r="D95" s="11" t="str">
        <f t="shared" si="1"/>
        <v>BF13 - Buffing Motor</v>
      </c>
      <c r="E95" s="13" t="s">
        <v>202</v>
      </c>
      <c r="F95" s="11"/>
      <c r="G95" s="13" t="s">
        <v>69</v>
      </c>
      <c r="H95" s="13">
        <v>2022.0</v>
      </c>
      <c r="I95" s="13" t="s">
        <v>22</v>
      </c>
      <c r="J95" s="11"/>
      <c r="K95" s="13" t="s">
        <v>23</v>
      </c>
      <c r="L95" s="11"/>
      <c r="M95" s="19"/>
      <c r="N95" s="13" t="s">
        <v>23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8"/>
    </row>
    <row r="96">
      <c r="A96" s="10" t="s">
        <v>187</v>
      </c>
      <c r="B96" s="13" t="s">
        <v>207</v>
      </c>
      <c r="C96" s="20" t="s">
        <v>208</v>
      </c>
      <c r="D96" s="11" t="str">
        <f t="shared" si="1"/>
        <v>BF14 - Buffing Motor</v>
      </c>
      <c r="E96" s="13" t="s">
        <v>202</v>
      </c>
      <c r="F96" s="11"/>
      <c r="G96" s="13" t="s">
        <v>69</v>
      </c>
      <c r="H96" s="13">
        <v>2022.0</v>
      </c>
      <c r="I96" s="13" t="s">
        <v>22</v>
      </c>
      <c r="J96" s="11"/>
      <c r="K96" s="13" t="s">
        <v>23</v>
      </c>
      <c r="L96" s="11"/>
      <c r="M96" s="19"/>
      <c r="N96" s="13" t="s">
        <v>23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8"/>
    </row>
    <row r="97">
      <c r="A97" s="10" t="s">
        <v>187</v>
      </c>
      <c r="B97" s="13" t="s">
        <v>209</v>
      </c>
      <c r="C97" s="20" t="s">
        <v>210</v>
      </c>
      <c r="D97" s="11" t="str">
        <f t="shared" si="1"/>
        <v>BF15 - Buffing Motor</v>
      </c>
      <c r="E97" s="13" t="s">
        <v>202</v>
      </c>
      <c r="F97" s="11"/>
      <c r="G97" s="13" t="s">
        <v>69</v>
      </c>
      <c r="H97" s="13">
        <v>2022.0</v>
      </c>
      <c r="I97" s="13" t="s">
        <v>22</v>
      </c>
      <c r="J97" s="11"/>
      <c r="K97" s="13" t="s">
        <v>23</v>
      </c>
      <c r="L97" s="11"/>
      <c r="M97" s="19"/>
      <c r="N97" s="13" t="s">
        <v>23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8"/>
    </row>
    <row r="98">
      <c r="A98" s="10" t="s">
        <v>187</v>
      </c>
      <c r="B98" s="13" t="s">
        <v>211</v>
      </c>
      <c r="C98" s="20" t="s">
        <v>212</v>
      </c>
      <c r="D98" s="11" t="str">
        <f t="shared" si="1"/>
        <v>BF16 - Buffing Motor</v>
      </c>
      <c r="E98" s="13" t="s">
        <v>202</v>
      </c>
      <c r="F98" s="11"/>
      <c r="G98" s="13" t="s">
        <v>69</v>
      </c>
      <c r="H98" s="13">
        <v>2022.0</v>
      </c>
      <c r="I98" s="13" t="s">
        <v>22</v>
      </c>
      <c r="J98" s="11"/>
      <c r="K98" s="13" t="s">
        <v>23</v>
      </c>
      <c r="L98" s="11"/>
      <c r="M98" s="19"/>
      <c r="N98" s="13" t="s">
        <v>23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8"/>
    </row>
    <row r="99">
      <c r="A99" s="10" t="s">
        <v>187</v>
      </c>
      <c r="B99" s="13" t="s">
        <v>213</v>
      </c>
      <c r="C99" s="20" t="s">
        <v>214</v>
      </c>
      <c r="D99" s="11" t="str">
        <f t="shared" si="1"/>
        <v>BF17 - Buffing Motor</v>
      </c>
      <c r="E99" s="13" t="s">
        <v>215</v>
      </c>
      <c r="F99" s="11"/>
      <c r="G99" s="13" t="s">
        <v>69</v>
      </c>
      <c r="H99" s="13">
        <v>2022.0</v>
      </c>
      <c r="I99" s="13" t="s">
        <v>22</v>
      </c>
      <c r="J99" s="11"/>
      <c r="K99" s="13" t="s">
        <v>23</v>
      </c>
      <c r="L99" s="11"/>
      <c r="M99" s="19"/>
      <c r="N99" s="13" t="s">
        <v>23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8"/>
    </row>
    <row r="100">
      <c r="A100" s="10" t="s">
        <v>187</v>
      </c>
      <c r="B100" s="13" t="s">
        <v>216</v>
      </c>
      <c r="C100" s="20" t="s">
        <v>217</v>
      </c>
      <c r="D100" s="11" t="str">
        <f t="shared" si="1"/>
        <v>BF18 - Buffing Motor</v>
      </c>
      <c r="E100" s="13" t="s">
        <v>215</v>
      </c>
      <c r="F100" s="11"/>
      <c r="G100" s="13" t="s">
        <v>69</v>
      </c>
      <c r="H100" s="13">
        <v>2022.0</v>
      </c>
      <c r="I100" s="13" t="s">
        <v>22</v>
      </c>
      <c r="J100" s="11"/>
      <c r="K100" s="13" t="s">
        <v>23</v>
      </c>
      <c r="L100" s="11"/>
      <c r="M100" s="19"/>
      <c r="N100" s="13" t="s">
        <v>23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8"/>
    </row>
    <row r="101">
      <c r="A101" s="10" t="s">
        <v>187</v>
      </c>
      <c r="B101" s="13" t="s">
        <v>218</v>
      </c>
      <c r="C101" s="20" t="s">
        <v>219</v>
      </c>
      <c r="D101" s="11" t="str">
        <f t="shared" si="1"/>
        <v>BF19 - Buffing Motor</v>
      </c>
      <c r="E101" s="13" t="s">
        <v>215</v>
      </c>
      <c r="F101" s="11"/>
      <c r="G101" s="13" t="s">
        <v>69</v>
      </c>
      <c r="H101" s="13">
        <v>2022.0</v>
      </c>
      <c r="I101" s="13" t="s">
        <v>22</v>
      </c>
      <c r="J101" s="11"/>
      <c r="K101" s="13" t="s">
        <v>23</v>
      </c>
      <c r="L101" s="11"/>
      <c r="M101" s="19"/>
      <c r="N101" s="13" t="s">
        <v>23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8"/>
    </row>
    <row r="102">
      <c r="A102" s="10" t="s">
        <v>187</v>
      </c>
      <c r="B102" s="13" t="s">
        <v>220</v>
      </c>
      <c r="C102" s="32" t="s">
        <v>221</v>
      </c>
      <c r="D102" s="11" t="str">
        <f t="shared" si="1"/>
        <v>BF20 - Buffing Motor</v>
      </c>
      <c r="E102" s="13" t="s">
        <v>215</v>
      </c>
      <c r="F102" s="11"/>
      <c r="G102" s="13" t="s">
        <v>69</v>
      </c>
      <c r="H102" s="13">
        <v>2022.0</v>
      </c>
      <c r="I102" s="13" t="s">
        <v>22</v>
      </c>
      <c r="J102" s="11"/>
      <c r="K102" s="13" t="s">
        <v>23</v>
      </c>
      <c r="L102" s="11"/>
      <c r="M102" s="19"/>
      <c r="N102" s="13" t="s">
        <v>23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8"/>
    </row>
    <row r="103" ht="15.75" customHeight="1">
      <c r="A103" s="10" t="s">
        <v>187</v>
      </c>
      <c r="B103" s="13" t="s">
        <v>222</v>
      </c>
      <c r="C103" s="20" t="s">
        <v>223</v>
      </c>
      <c r="D103" s="11" t="str">
        <f t="shared" si="1"/>
        <v>BF21 - Buffing Motor</v>
      </c>
      <c r="E103" s="13" t="s">
        <v>215</v>
      </c>
      <c r="F103" s="11"/>
      <c r="G103" s="13" t="s">
        <v>69</v>
      </c>
      <c r="H103" s="13">
        <v>2017.0</v>
      </c>
      <c r="I103" s="13" t="s">
        <v>22</v>
      </c>
      <c r="J103" s="11"/>
      <c r="K103" s="13" t="s">
        <v>23</v>
      </c>
      <c r="L103" s="11"/>
      <c r="M103" s="19"/>
      <c r="N103" s="13" t="s">
        <v>23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8"/>
    </row>
    <row r="104" ht="15.75" customHeight="1">
      <c r="A104" s="10" t="s">
        <v>187</v>
      </c>
      <c r="B104" s="13" t="s">
        <v>222</v>
      </c>
      <c r="C104" s="20" t="s">
        <v>224</v>
      </c>
      <c r="D104" s="11" t="str">
        <f t="shared" si="1"/>
        <v>BF21 - Buffing Motor</v>
      </c>
      <c r="E104" s="13" t="s">
        <v>215</v>
      </c>
      <c r="F104" s="11"/>
      <c r="G104" s="13" t="s">
        <v>69</v>
      </c>
      <c r="H104" s="13">
        <v>2017.0</v>
      </c>
      <c r="I104" s="13" t="s">
        <v>22</v>
      </c>
      <c r="J104" s="11"/>
      <c r="K104" s="13" t="s">
        <v>23</v>
      </c>
      <c r="L104" s="11"/>
      <c r="M104" s="19"/>
      <c r="N104" s="13" t="s">
        <v>23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8"/>
    </row>
    <row r="105">
      <c r="A105" s="10" t="s">
        <v>187</v>
      </c>
      <c r="B105" s="13" t="s">
        <v>225</v>
      </c>
      <c r="C105" s="20" t="s">
        <v>226</v>
      </c>
      <c r="D105" s="11" t="str">
        <f t="shared" si="1"/>
        <v>BF22 - Buffing Motor</v>
      </c>
      <c r="E105" s="13" t="s">
        <v>215</v>
      </c>
      <c r="F105" s="11"/>
      <c r="G105" s="13" t="s">
        <v>69</v>
      </c>
      <c r="H105" s="13">
        <v>2017.0</v>
      </c>
      <c r="I105" s="13" t="s">
        <v>22</v>
      </c>
      <c r="J105" s="11"/>
      <c r="K105" s="13" t="s">
        <v>23</v>
      </c>
      <c r="L105" s="11"/>
      <c r="M105" s="19"/>
      <c r="N105" s="13" t="s">
        <v>23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8"/>
    </row>
    <row r="106">
      <c r="A106" s="10" t="s">
        <v>187</v>
      </c>
      <c r="B106" s="13" t="s">
        <v>227</v>
      </c>
      <c r="C106" s="20" t="s">
        <v>228</v>
      </c>
      <c r="D106" s="11" t="str">
        <f t="shared" si="1"/>
        <v>BF23 - Buffing Motor</v>
      </c>
      <c r="E106" s="13" t="s">
        <v>229</v>
      </c>
      <c r="F106" s="11"/>
      <c r="G106" s="13" t="s">
        <v>69</v>
      </c>
      <c r="H106" s="13">
        <v>2022.0</v>
      </c>
      <c r="I106" s="13" t="s">
        <v>22</v>
      </c>
      <c r="J106" s="11"/>
      <c r="K106" s="13" t="s">
        <v>23</v>
      </c>
      <c r="L106" s="11"/>
      <c r="M106" s="19"/>
      <c r="N106" s="13" t="s">
        <v>23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8"/>
    </row>
    <row r="107">
      <c r="A107" s="10" t="s">
        <v>187</v>
      </c>
      <c r="B107" s="13" t="s">
        <v>230</v>
      </c>
      <c r="C107" s="20" t="s">
        <v>231</v>
      </c>
      <c r="D107" s="11" t="str">
        <f t="shared" si="1"/>
        <v>BF24 - Buffing Motor</v>
      </c>
      <c r="E107" s="13" t="s">
        <v>229</v>
      </c>
      <c r="F107" s="11"/>
      <c r="G107" s="13" t="s">
        <v>69</v>
      </c>
      <c r="H107" s="13">
        <v>2022.0</v>
      </c>
      <c r="I107" s="13" t="s">
        <v>22</v>
      </c>
      <c r="J107" s="11"/>
      <c r="K107" s="13" t="s">
        <v>23</v>
      </c>
      <c r="L107" s="11"/>
      <c r="M107" s="19"/>
      <c r="N107" s="13" t="s">
        <v>23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8"/>
    </row>
    <row r="108">
      <c r="A108" s="10" t="s">
        <v>187</v>
      </c>
      <c r="B108" s="13" t="s">
        <v>230</v>
      </c>
      <c r="C108" s="20" t="s">
        <v>232</v>
      </c>
      <c r="D108" s="11" t="str">
        <f t="shared" si="1"/>
        <v>BF24 - Buffing Motor</v>
      </c>
      <c r="E108" s="13" t="s">
        <v>229</v>
      </c>
      <c r="F108" s="11"/>
      <c r="G108" s="13" t="s">
        <v>69</v>
      </c>
      <c r="H108" s="13">
        <v>2022.0</v>
      </c>
      <c r="I108" s="13" t="s">
        <v>22</v>
      </c>
      <c r="J108" s="11"/>
      <c r="K108" s="13" t="s">
        <v>23</v>
      </c>
      <c r="L108" s="11"/>
      <c r="M108" s="19"/>
      <c r="N108" s="13" t="s">
        <v>23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8"/>
    </row>
    <row r="109">
      <c r="A109" s="10" t="s">
        <v>187</v>
      </c>
      <c r="B109" s="13" t="s">
        <v>230</v>
      </c>
      <c r="C109" s="20" t="s">
        <v>233</v>
      </c>
      <c r="D109" s="11" t="str">
        <f t="shared" si="1"/>
        <v>BF24 - Buffing Motor</v>
      </c>
      <c r="E109" s="13" t="s">
        <v>229</v>
      </c>
      <c r="F109" s="11"/>
      <c r="G109" s="13" t="s">
        <v>69</v>
      </c>
      <c r="H109" s="13">
        <v>2022.0</v>
      </c>
      <c r="I109" s="13" t="s">
        <v>22</v>
      </c>
      <c r="J109" s="11"/>
      <c r="K109" s="13" t="s">
        <v>23</v>
      </c>
      <c r="L109" s="11"/>
      <c r="M109" s="19"/>
      <c r="N109" s="13" t="s">
        <v>23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8"/>
    </row>
    <row r="110">
      <c r="A110" s="10" t="s">
        <v>187</v>
      </c>
      <c r="B110" s="13" t="s">
        <v>230</v>
      </c>
      <c r="C110" s="33" t="s">
        <v>234</v>
      </c>
      <c r="D110" s="11" t="str">
        <f t="shared" si="1"/>
        <v>BF24 - Buffing Motor</v>
      </c>
      <c r="E110" s="13" t="s">
        <v>229</v>
      </c>
      <c r="F110" s="34"/>
      <c r="G110" s="13" t="s">
        <v>69</v>
      </c>
      <c r="H110" s="13">
        <v>2022.0</v>
      </c>
      <c r="I110" s="13" t="s">
        <v>22</v>
      </c>
      <c r="J110" s="11"/>
      <c r="K110" s="13" t="s">
        <v>23</v>
      </c>
      <c r="L110" s="11"/>
      <c r="M110" s="19"/>
      <c r="N110" s="13" t="s">
        <v>23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8"/>
    </row>
    <row r="111">
      <c r="A111" s="10"/>
      <c r="B111" s="13"/>
      <c r="C111" s="33" t="s">
        <v>235</v>
      </c>
      <c r="D111" s="11"/>
      <c r="E111" s="13" t="s">
        <v>236</v>
      </c>
      <c r="F111" s="34"/>
      <c r="G111" s="13"/>
      <c r="H111" s="13"/>
      <c r="I111" s="13" t="s">
        <v>22</v>
      </c>
      <c r="J111" s="11"/>
      <c r="K111" s="13"/>
      <c r="L111" s="11"/>
      <c r="M111" s="19"/>
      <c r="N111" s="13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8"/>
    </row>
    <row r="112">
      <c r="A112" s="10"/>
      <c r="B112" s="13"/>
      <c r="C112" s="33" t="s">
        <v>237</v>
      </c>
      <c r="D112" s="11"/>
      <c r="E112" s="13" t="s">
        <v>236</v>
      </c>
      <c r="F112" s="34"/>
      <c r="G112" s="13"/>
      <c r="H112" s="13"/>
      <c r="I112" s="13" t="s">
        <v>22</v>
      </c>
      <c r="J112" s="11"/>
      <c r="K112" s="13"/>
      <c r="L112" s="11"/>
      <c r="M112" s="19"/>
      <c r="N112" s="13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8"/>
    </row>
    <row r="113">
      <c r="A113" s="10"/>
      <c r="B113" s="13"/>
      <c r="C113" s="33" t="s">
        <v>238</v>
      </c>
      <c r="D113" s="11"/>
      <c r="E113" s="13" t="s">
        <v>236</v>
      </c>
      <c r="F113" s="34"/>
      <c r="G113" s="13"/>
      <c r="H113" s="13"/>
      <c r="I113" s="13" t="s">
        <v>22</v>
      </c>
      <c r="J113" s="11"/>
      <c r="K113" s="13"/>
      <c r="L113" s="11"/>
      <c r="M113" s="19"/>
      <c r="N113" s="13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8"/>
    </row>
    <row r="114">
      <c r="A114" s="10"/>
      <c r="B114" s="13"/>
      <c r="C114" s="33" t="s">
        <v>239</v>
      </c>
      <c r="D114" s="11"/>
      <c r="E114" s="13" t="s">
        <v>236</v>
      </c>
      <c r="F114" s="34"/>
      <c r="G114" s="13"/>
      <c r="H114" s="13"/>
      <c r="I114" s="13" t="s">
        <v>22</v>
      </c>
      <c r="J114" s="11"/>
      <c r="K114" s="13"/>
      <c r="L114" s="11"/>
      <c r="M114" s="19"/>
      <c r="N114" s="13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8"/>
    </row>
    <row r="115">
      <c r="A115" s="10"/>
      <c r="B115" s="13"/>
      <c r="C115" s="33" t="s">
        <v>240</v>
      </c>
      <c r="D115" s="11"/>
      <c r="E115" s="13" t="s">
        <v>236</v>
      </c>
      <c r="F115" s="34"/>
      <c r="G115" s="13"/>
      <c r="H115" s="13"/>
      <c r="I115" s="13" t="s">
        <v>22</v>
      </c>
      <c r="J115" s="11"/>
      <c r="K115" s="13"/>
      <c r="L115" s="11"/>
      <c r="M115" s="19"/>
      <c r="N115" s="13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8"/>
    </row>
    <row r="116">
      <c r="A116" s="10"/>
      <c r="B116" s="13"/>
      <c r="C116" s="33" t="s">
        <v>241</v>
      </c>
      <c r="D116" s="11"/>
      <c r="E116" s="13" t="s">
        <v>236</v>
      </c>
      <c r="F116" s="34"/>
      <c r="G116" s="13"/>
      <c r="H116" s="13"/>
      <c r="I116" s="13" t="s">
        <v>22</v>
      </c>
      <c r="J116" s="11"/>
      <c r="K116" s="13"/>
      <c r="L116" s="11"/>
      <c r="M116" s="19"/>
      <c r="N116" s="13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8"/>
    </row>
    <row r="117">
      <c r="A117" s="10"/>
      <c r="B117" s="13"/>
      <c r="C117" s="33" t="s">
        <v>242</v>
      </c>
      <c r="D117" s="11"/>
      <c r="E117" s="13" t="s">
        <v>236</v>
      </c>
      <c r="F117" s="34"/>
      <c r="G117" s="13"/>
      <c r="H117" s="13"/>
      <c r="I117" s="13" t="s">
        <v>22</v>
      </c>
      <c r="J117" s="11"/>
      <c r="K117" s="13"/>
      <c r="L117" s="11"/>
      <c r="M117" s="19"/>
      <c r="N117" s="13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8"/>
    </row>
    <row r="118">
      <c r="A118" s="10"/>
      <c r="B118" s="13"/>
      <c r="C118" s="33" t="s">
        <v>240</v>
      </c>
      <c r="D118" s="11" t="str">
        <f t="shared" ref="D118:D124" si="2">if(A118="","", B118&amp;" - "&amp;A118)</f>
        <v/>
      </c>
      <c r="E118" s="13" t="s">
        <v>236</v>
      </c>
      <c r="F118" s="34"/>
      <c r="G118" s="13"/>
      <c r="H118" s="13"/>
      <c r="I118" s="13" t="s">
        <v>22</v>
      </c>
      <c r="J118" s="11"/>
      <c r="K118" s="13"/>
      <c r="L118" s="11"/>
      <c r="M118" s="19"/>
      <c r="N118" s="13" t="s">
        <v>23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8"/>
    </row>
    <row r="119">
      <c r="A119" s="10"/>
      <c r="B119" s="13"/>
      <c r="C119" s="33" t="s">
        <v>243</v>
      </c>
      <c r="D119" s="11" t="str">
        <f t="shared" si="2"/>
        <v/>
      </c>
      <c r="E119" s="13" t="s">
        <v>236</v>
      </c>
      <c r="F119" s="34"/>
      <c r="G119" s="13"/>
      <c r="H119" s="13"/>
      <c r="I119" s="13" t="s">
        <v>22</v>
      </c>
      <c r="J119" s="11"/>
      <c r="K119" s="13"/>
      <c r="L119" s="11"/>
      <c r="M119" s="19"/>
      <c r="N119" s="13" t="s">
        <v>23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8"/>
    </row>
    <row r="120">
      <c r="A120" s="10"/>
      <c r="B120" s="13"/>
      <c r="C120" s="33" t="s">
        <v>244</v>
      </c>
      <c r="D120" s="11" t="str">
        <f t="shared" si="2"/>
        <v/>
      </c>
      <c r="E120" s="13" t="s">
        <v>236</v>
      </c>
      <c r="F120" s="34"/>
      <c r="G120" s="13"/>
      <c r="H120" s="13"/>
      <c r="I120" s="13" t="s">
        <v>22</v>
      </c>
      <c r="J120" s="11"/>
      <c r="K120" s="13"/>
      <c r="L120" s="11"/>
      <c r="M120" s="19"/>
      <c r="N120" s="13" t="s">
        <v>23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8"/>
    </row>
    <row r="121">
      <c r="A121" s="10"/>
      <c r="B121" s="13"/>
      <c r="C121" s="33"/>
      <c r="D121" s="11" t="str">
        <f t="shared" si="2"/>
        <v/>
      </c>
      <c r="E121" s="13" t="s">
        <v>236</v>
      </c>
      <c r="F121" s="34"/>
      <c r="G121" s="13"/>
      <c r="H121" s="13"/>
      <c r="I121" s="13" t="s">
        <v>22</v>
      </c>
      <c r="J121" s="11"/>
      <c r="K121" s="13"/>
      <c r="L121" s="11"/>
      <c r="M121" s="19"/>
      <c r="N121" s="13" t="s">
        <v>23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8"/>
    </row>
    <row r="122">
      <c r="A122" s="10"/>
      <c r="B122" s="13"/>
      <c r="C122" s="33"/>
      <c r="D122" s="11" t="str">
        <f t="shared" si="2"/>
        <v/>
      </c>
      <c r="E122" s="13" t="s">
        <v>236</v>
      </c>
      <c r="F122" s="34"/>
      <c r="G122" s="13"/>
      <c r="H122" s="13"/>
      <c r="I122" s="13" t="s">
        <v>22</v>
      </c>
      <c r="J122" s="11"/>
      <c r="K122" s="13"/>
      <c r="L122" s="11"/>
      <c r="M122" s="19"/>
      <c r="N122" s="13" t="s">
        <v>23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8"/>
    </row>
    <row r="123">
      <c r="A123" s="10"/>
      <c r="B123" s="13"/>
      <c r="C123" s="33"/>
      <c r="D123" s="11" t="str">
        <f t="shared" si="2"/>
        <v/>
      </c>
      <c r="E123" s="13" t="s">
        <v>236</v>
      </c>
      <c r="F123" s="34"/>
      <c r="G123" s="13"/>
      <c r="H123" s="13"/>
      <c r="I123" s="13" t="s">
        <v>22</v>
      </c>
      <c r="J123" s="11"/>
      <c r="K123" s="13"/>
      <c r="L123" s="11"/>
      <c r="M123" s="19"/>
      <c r="N123" s="13" t="s">
        <v>23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8"/>
    </row>
    <row r="124">
      <c r="A124" s="10"/>
      <c r="B124" s="13"/>
      <c r="C124" s="33"/>
      <c r="D124" s="11" t="str">
        <f t="shared" si="2"/>
        <v/>
      </c>
      <c r="E124" s="13" t="s">
        <v>236</v>
      </c>
      <c r="F124" s="34"/>
      <c r="G124" s="13"/>
      <c r="H124" s="13"/>
      <c r="I124" s="13" t="s">
        <v>22</v>
      </c>
      <c r="J124" s="11"/>
      <c r="K124" s="13"/>
      <c r="L124" s="11"/>
      <c r="M124" s="19"/>
      <c r="N124" s="13" t="s">
        <v>23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8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3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8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3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8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3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8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3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8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3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8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3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8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3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8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3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8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3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8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3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8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3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8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3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8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3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8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3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8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3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8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3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8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3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8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3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8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3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8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3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8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3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8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3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8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3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8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3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8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3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8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3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8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3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8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3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8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3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8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3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8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3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8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3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8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3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8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3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8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3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8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3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8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3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8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3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8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3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8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3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8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3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8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3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8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3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8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3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8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3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8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3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8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3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8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3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8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3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8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3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8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8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3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8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3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8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3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8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3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8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3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8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3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8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3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8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3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8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3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8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3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8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3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8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3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8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3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8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3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8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3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8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3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8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3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8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3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8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3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8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3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8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3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8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3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8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3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8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3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8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3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8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3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8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3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8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3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8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3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8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3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8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3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8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3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8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3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8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3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8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3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8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3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8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3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8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3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8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3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8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3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8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3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8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3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8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3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8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3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8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3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8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3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8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3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8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3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8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3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8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3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8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3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8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3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8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3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8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3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8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3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8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3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8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3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8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3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8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3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8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3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8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3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8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3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8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3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8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3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8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3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8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3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8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3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8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3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8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3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8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3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8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3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8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3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8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3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8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3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8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3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8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3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8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3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8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3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8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3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8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3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8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3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8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3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8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3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8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3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8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3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8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3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8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3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8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3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8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3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8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3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8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3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8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3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8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3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8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3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8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3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8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3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8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3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8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3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8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3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8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3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8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3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8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8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3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8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3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8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3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8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3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8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3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8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3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8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3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8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3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8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3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8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3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8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3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8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3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8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3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8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3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8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3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8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3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8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3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8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3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8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3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8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3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8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3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8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3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8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3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8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3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8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3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8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3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8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3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8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3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8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3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8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3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8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3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8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3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8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3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8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3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8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3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8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3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8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3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8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3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8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3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8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3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8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3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8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3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8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3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8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3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8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3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8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3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8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3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8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3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8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3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8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3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8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3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8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3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8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3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8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3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8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3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8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3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8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3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8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3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8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3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8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3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8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3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8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3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8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3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8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3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8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3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8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3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8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3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8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3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8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3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8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3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8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3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8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3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8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3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8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3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8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3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8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3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8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3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8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3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8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3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8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3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8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3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8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3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8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3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8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3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8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3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8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3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8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3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8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3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8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3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8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3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8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3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8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3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8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3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8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3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8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3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8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3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8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3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8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3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8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3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8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3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8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3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8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3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8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3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8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3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8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3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8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3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8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3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8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3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8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3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8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3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8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3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8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3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8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3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8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3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8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3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8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3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8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3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8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3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8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3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8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3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8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3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8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3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8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3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8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3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8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3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8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3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8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3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8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3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8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3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8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3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8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3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8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3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8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3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8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3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8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3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8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3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8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3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8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3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8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3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8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3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8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3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8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3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8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3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8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3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8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3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8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3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8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3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8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3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8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3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8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3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8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3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8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3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8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3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8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3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8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3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8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3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8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3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8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3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8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3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8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3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8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3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8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3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8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3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8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3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8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3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8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3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8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3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8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3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8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3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8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3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8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3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8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3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8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3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8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3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8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3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8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3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8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3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8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3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8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3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8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3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8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3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8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3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8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3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8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3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8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3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8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3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8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3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8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3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8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3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8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3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8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3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8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3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8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3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8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3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8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3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8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3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8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3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8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3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8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3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8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3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8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3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8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3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8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3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8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3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8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3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8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3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8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3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8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3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8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3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8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3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8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3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8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3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8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3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8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3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8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3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8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3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8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3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8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3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8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3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8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3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8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3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8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3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8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3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8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3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8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3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8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3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8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3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8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3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8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3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8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3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8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3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8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3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8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3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8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3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8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3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8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3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8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3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8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3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8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3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8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3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8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3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8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3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8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3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8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3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8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3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8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3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8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3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8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3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8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3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8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3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8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3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8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3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8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3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8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3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8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3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8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3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8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3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8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3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8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3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8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3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8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3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8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3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8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3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8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3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8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3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8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3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8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3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8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3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8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3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8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3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8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3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8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3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8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3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8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3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8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3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8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3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8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3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8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3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8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3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8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3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8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3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8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3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8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3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8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3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8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3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8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3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8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3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8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3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8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3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8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3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8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3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8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3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8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3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8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3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8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3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8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3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8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3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8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3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8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3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8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3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8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3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8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3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8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3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8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3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8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3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8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3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8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3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8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3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8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3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8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3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8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3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8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3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8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3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8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3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8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3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8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3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8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3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8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3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8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3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8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3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8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3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8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3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8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3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8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3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8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3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8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3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8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3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8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3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8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3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8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3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8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3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8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3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8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3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8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3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8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3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8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3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8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3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8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3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8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3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8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3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8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3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8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3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8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3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8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3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8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3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8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3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8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3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8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3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8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3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8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3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8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3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8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3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8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3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8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3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8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3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8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3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8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3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8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3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8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3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8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3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8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3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8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3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8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3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8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3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8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3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8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3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8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3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8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3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8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3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8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3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8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3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8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3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8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3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8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3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8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3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8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3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8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3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8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3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8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3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8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3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8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3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8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3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8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3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8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3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8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3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8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3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8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3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8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3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8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3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8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3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8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3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8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3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8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3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8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3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8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3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8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3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8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3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8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3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8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3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8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3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8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3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8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3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8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3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8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3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8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3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8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3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8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3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8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3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8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3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8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3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8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3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8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3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8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3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8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3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8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3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8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3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8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3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8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3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8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3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8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3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8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3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8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3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8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3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8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3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8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3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8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3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8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3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8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3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8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3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8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3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8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3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8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3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8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3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8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3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8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3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8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3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8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3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8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3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8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3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8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3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8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3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8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3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8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3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8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3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8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3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8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3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8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3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8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3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8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3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8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3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8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3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8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3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8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3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8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3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8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3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8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3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8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3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8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3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8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3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8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3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8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3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8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3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8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3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8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3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8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3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8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3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8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3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8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3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8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3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8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3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8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3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8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3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8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3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8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3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8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3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8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3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8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3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8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3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8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3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8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3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8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3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8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3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8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3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8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3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8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3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8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3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8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3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8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3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8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3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8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3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8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3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8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3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8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3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8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3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8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3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8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3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8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3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8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3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8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3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8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3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8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3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8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3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8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3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8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3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8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3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8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3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8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3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8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3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8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3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8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3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8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3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8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3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8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3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8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3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8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3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8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3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8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3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8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3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8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3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8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3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8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3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8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3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8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3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8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3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8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3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8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3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8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3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8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3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8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3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8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3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8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3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8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3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8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3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8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3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8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3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8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3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8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3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8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3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8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3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8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3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8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3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8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3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8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3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8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3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8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3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8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3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8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3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8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3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8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3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8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3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8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3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8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3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8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3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8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3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8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3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8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3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8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3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8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3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8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3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8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3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8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3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8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3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8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3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8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3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8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3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8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3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8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3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8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3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8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3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8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3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8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3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8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3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8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3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8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3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8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3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8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3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8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3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8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3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8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3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8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3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8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3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8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3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8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3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8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3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8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3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8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3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8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3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8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3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8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3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8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3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8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3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8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3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8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3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8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3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8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3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8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3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8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3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8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3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8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3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8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3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8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3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8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3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8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3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8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3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8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3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8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3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8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3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8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3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8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3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8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3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8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3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8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3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8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3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8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3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8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3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8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3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8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3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8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3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8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3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8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3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8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3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8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3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8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3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8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3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8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3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8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3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8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3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8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3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8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3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8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3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8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3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8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3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8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3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8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3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8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3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8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3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8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3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8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3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8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3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8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3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8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3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8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3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8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3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8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3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8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3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8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3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8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3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8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3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8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3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8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3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8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3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8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3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8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3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8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3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8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3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8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3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8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3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8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3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8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3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8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3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8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3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8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3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8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3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8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3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8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3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8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3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8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3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8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3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8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3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8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3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8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3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8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3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8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3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8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3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8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3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8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3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8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3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8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3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8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3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8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3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8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3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8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3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8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3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8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3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8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3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8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3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8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3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8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3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8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3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8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3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8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3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8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3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8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3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8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3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8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3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8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3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8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3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8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3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8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3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8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3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8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3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8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3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8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3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8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3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8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3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8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3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8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3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8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3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8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3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8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3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8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3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8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3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8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3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8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3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8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3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8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3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8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3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8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3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8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3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8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3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8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3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8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3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8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3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8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3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8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3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8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3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8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3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8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3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8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3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8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3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8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3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8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3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8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3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8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3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8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3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8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3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8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3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8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3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8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3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8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3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8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3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8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3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8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3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8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3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8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3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8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3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8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3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8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3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8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3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8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3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8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3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8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3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8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3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8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3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8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3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8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3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8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3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8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3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8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3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8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3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8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3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8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3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8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3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8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3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8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3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8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3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8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3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8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3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8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3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8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3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8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3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8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3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8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3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8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3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8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3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8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3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8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3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8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3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8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3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8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3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8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3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8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3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8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3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8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3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8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3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8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3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8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3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8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3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8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3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8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3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8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3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8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3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8"/>
    </row>
  </sheetData>
  <hyperlinks>
    <hyperlink r:id="rId2" location="gid=0" ref="M2"/>
    <hyperlink r:id="rId3" location="gid=0" ref="M91"/>
  </hyperlinks>
  <drawing r:id="rId4"/>
  <legacyDrawing r:id="rId5"/>
</worksheet>
</file>